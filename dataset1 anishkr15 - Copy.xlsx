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0D47DE2FD483CC74/Documents/"/>
    </mc:Choice>
  </mc:AlternateContent>
  <xr:revisionPtr revIDLastSave="1332" documentId="8_{1B0CC049-82E3-4E62-A1DC-72F20510F6C8}" xr6:coauthVersionLast="47" xr6:coauthVersionMax="47" xr10:uidLastSave="{1A378608-B05D-48FD-BF1D-70DDC899370B}"/>
  <bookViews>
    <workbookView minimized="1" xWindow="4344" yWindow="2724" windowWidth="17280" windowHeight="9516" firstSheet="10" activeTab="11" xr2:uid="{00000000-000D-0000-FFFF-FFFF00000000}"/>
  </bookViews>
  <sheets>
    <sheet name="cleaned data set1" sheetId="2" r:id="rId1"/>
    <sheet name="cleaned dataset2" sheetId="4" r:id="rId2"/>
    <sheet name="insights data set1" sheetId="3" r:id="rId3"/>
    <sheet name="insights data set2" sheetId="5" r:id="rId4"/>
    <sheet name="data set1and2 merged" sheetId="8" r:id="rId5"/>
    <sheet name="cleaned dataset3" sheetId="13" r:id="rId6"/>
    <sheet name="mereged data 1,2and3" sheetId="14" r:id="rId7"/>
    <sheet name="Hour Wise Bike rentals" sheetId="16" r:id="rId8"/>
    <sheet name="Weather Wise Bike Rentals" sheetId="17" r:id="rId9"/>
    <sheet name="Month Wise Bike Rentals" sheetId="18" r:id="rId10"/>
    <sheet name="Season Wise Bike Rentals" sheetId="19" r:id="rId11"/>
    <sheet name="dashboard" sheetId="20" r:id="rId12"/>
    <sheet name="FINAL INSIGHTS" sheetId="24" r:id="rId13"/>
  </sheets>
  <definedNames>
    <definedName name="_xlnm._FilterDatabase" localSheetId="5" hidden="1">'cleaned dataset3'!$A$1:$P$391</definedName>
    <definedName name="Slicer_season">#N/A</definedName>
    <definedName name="Slicer_weathersit">#N/A</definedName>
    <definedName name="Slicer_weekday">#N/A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20" l="1"/>
  <c r="D9" i="20"/>
  <c r="D15" i="20"/>
  <c r="D13" i="20"/>
  <c r="U13" i="14"/>
  <c r="U11" i="14"/>
  <c r="U9" i="14"/>
  <c r="U7" i="14"/>
  <c r="Q2" i="14"/>
  <c r="Q3" i="14"/>
  <c r="Q4" i="14"/>
  <c r="Q5" i="14"/>
  <c r="Q6" i="14"/>
  <c r="Q7" i="14"/>
  <c r="Q8" i="14"/>
  <c r="Q9" i="14"/>
  <c r="Q10" i="14"/>
  <c r="Q11" i="14"/>
  <c r="Q12" i="14"/>
  <c r="Q13" i="14"/>
  <c r="Q14" i="14"/>
  <c r="Q15" i="14"/>
  <c r="Q16" i="14"/>
  <c r="Q17" i="14"/>
  <c r="Q18" i="14"/>
  <c r="Q19" i="14"/>
  <c r="Q20" i="14"/>
  <c r="Q21" i="14"/>
  <c r="Q22" i="14"/>
  <c r="Q23" i="14"/>
  <c r="Q24" i="14"/>
  <c r="Q25" i="14"/>
  <c r="Q26" i="14"/>
  <c r="Q27" i="14"/>
  <c r="Q28" i="14"/>
  <c r="Q29" i="14"/>
  <c r="Q30" i="14"/>
  <c r="Q31" i="14"/>
  <c r="Q32" i="14"/>
  <c r="Q33" i="14"/>
  <c r="Q34" i="14"/>
  <c r="Q35" i="14"/>
  <c r="Q36" i="14"/>
  <c r="Q37" i="14"/>
  <c r="Q38" i="14"/>
  <c r="Q39" i="14"/>
  <c r="Q40" i="14"/>
  <c r="Q41" i="14"/>
  <c r="Q42" i="14"/>
  <c r="Q43" i="14"/>
  <c r="Q44" i="14"/>
  <c r="Q45" i="14"/>
  <c r="Q46" i="14"/>
  <c r="Q47" i="14"/>
  <c r="Q48" i="14"/>
  <c r="Q49" i="14"/>
  <c r="Q50" i="14"/>
  <c r="Q51" i="14"/>
  <c r="Q52" i="14"/>
  <c r="Q53" i="14"/>
  <c r="Q54" i="14"/>
  <c r="Q55" i="14"/>
  <c r="Q56" i="14"/>
  <c r="Q57" i="14"/>
  <c r="Q58" i="14"/>
  <c r="Q59" i="14"/>
  <c r="Q60" i="14"/>
  <c r="Q61" i="14"/>
  <c r="Q62" i="14"/>
  <c r="Q63" i="14"/>
  <c r="Q64" i="14"/>
  <c r="Q65" i="14"/>
  <c r="Q66" i="14"/>
  <c r="Q67" i="14"/>
  <c r="Q68" i="14"/>
  <c r="Q69" i="14"/>
  <c r="Q70" i="14"/>
  <c r="Q71" i="14"/>
  <c r="Q72" i="14"/>
  <c r="Q73" i="14"/>
  <c r="Q74" i="14"/>
  <c r="Q75" i="14"/>
  <c r="Q76" i="14"/>
  <c r="Q77" i="14"/>
  <c r="Q78" i="14"/>
  <c r="Q79" i="14"/>
  <c r="Q80" i="14"/>
  <c r="Q81" i="14"/>
  <c r="Q82" i="14"/>
  <c r="Q83" i="14"/>
  <c r="Q84" i="14"/>
  <c r="Q85" i="14"/>
  <c r="Q86" i="14"/>
  <c r="Q87" i="14"/>
  <c r="Q88" i="14"/>
  <c r="Q89" i="14"/>
  <c r="Q90" i="14"/>
  <c r="Q91" i="14"/>
  <c r="Q92" i="14"/>
  <c r="Q93" i="14"/>
  <c r="Q94" i="14"/>
  <c r="Q95" i="14"/>
  <c r="Q96" i="14"/>
  <c r="Q97" i="14"/>
  <c r="Q98" i="14"/>
  <c r="Q99" i="14"/>
  <c r="Q100" i="14"/>
  <c r="Q101" i="14"/>
  <c r="Q102" i="14"/>
  <c r="Q103" i="14"/>
  <c r="Q104" i="14"/>
  <c r="Q105" i="14"/>
  <c r="Q106" i="14"/>
  <c r="Q107" i="14"/>
  <c r="Q108" i="14"/>
  <c r="Q109" i="14"/>
  <c r="Q110" i="14"/>
  <c r="Q111" i="14"/>
  <c r="Q112" i="14"/>
  <c r="Q113" i="14"/>
  <c r="Q114" i="14"/>
  <c r="Q115" i="14"/>
  <c r="Q116" i="14"/>
  <c r="Q117" i="14"/>
  <c r="Q118" i="14"/>
  <c r="Q119" i="14"/>
  <c r="Q120" i="14"/>
  <c r="Q121" i="14"/>
  <c r="Q122" i="14"/>
  <c r="Q123" i="14"/>
  <c r="Q124" i="14"/>
  <c r="Q125" i="14"/>
  <c r="Q126" i="14"/>
  <c r="Q127" i="14"/>
  <c r="Q128" i="14"/>
  <c r="Q129" i="14"/>
  <c r="Q130" i="14"/>
  <c r="Q131" i="14"/>
  <c r="Q132" i="14"/>
  <c r="Q133" i="14"/>
  <c r="Q134" i="14"/>
  <c r="Q135" i="14"/>
  <c r="Q136" i="14"/>
  <c r="Q137" i="14"/>
  <c r="Q138" i="14"/>
  <c r="Q139" i="14"/>
  <c r="Q140" i="14"/>
  <c r="Q141" i="14"/>
  <c r="Q142" i="14"/>
  <c r="Q143" i="14"/>
  <c r="Q144" i="14"/>
  <c r="Q145" i="14"/>
  <c r="Q146" i="14"/>
  <c r="Q147" i="14"/>
  <c r="Q148" i="14"/>
  <c r="Q149" i="14"/>
  <c r="Q150" i="14"/>
  <c r="Q151" i="14"/>
  <c r="Q152" i="14"/>
  <c r="Q153" i="14"/>
  <c r="Q154" i="14"/>
  <c r="Q155" i="14"/>
  <c r="Q156" i="14"/>
  <c r="Q157" i="14"/>
  <c r="Q158" i="14"/>
  <c r="Q159" i="14"/>
  <c r="Q160" i="14"/>
  <c r="Q161" i="14"/>
  <c r="Q162" i="14"/>
  <c r="Q163" i="14"/>
  <c r="Q164" i="14"/>
  <c r="Q165" i="14"/>
  <c r="Q166" i="14"/>
  <c r="Q167" i="14"/>
  <c r="Q168" i="14"/>
  <c r="Q169" i="14"/>
  <c r="Q170" i="14"/>
  <c r="Q171" i="14"/>
  <c r="Q172" i="14"/>
  <c r="Q173" i="14"/>
  <c r="Q174" i="14"/>
  <c r="Q175" i="14"/>
  <c r="Q176" i="14"/>
  <c r="Q177" i="14"/>
  <c r="Q178" i="14"/>
  <c r="Q179" i="14"/>
  <c r="Q180" i="14"/>
  <c r="Q181" i="14"/>
  <c r="Q182" i="14"/>
  <c r="Q183" i="14"/>
  <c r="Q184" i="14"/>
  <c r="Q185" i="14"/>
  <c r="Q186" i="14"/>
  <c r="Q187" i="14"/>
  <c r="Q188" i="14"/>
  <c r="Q189" i="14"/>
  <c r="Q190" i="14"/>
  <c r="Q191" i="14"/>
  <c r="Q192" i="14"/>
  <c r="Q193" i="14"/>
  <c r="Q194" i="14"/>
  <c r="Q195" i="14"/>
  <c r="Q196" i="14"/>
  <c r="Q197" i="14"/>
  <c r="Q198" i="14"/>
  <c r="Q199" i="14"/>
  <c r="Q200" i="14"/>
  <c r="Q201" i="14"/>
  <c r="Q202" i="14"/>
  <c r="Q203" i="14"/>
  <c r="Q204" i="14"/>
  <c r="Q205" i="14"/>
  <c r="Q206" i="14"/>
  <c r="Q207" i="14"/>
  <c r="Q208" i="14"/>
  <c r="Q209" i="14"/>
  <c r="Q210" i="14"/>
  <c r="Q211" i="14"/>
  <c r="Q212" i="14"/>
  <c r="Q213" i="14"/>
  <c r="Q214" i="14"/>
  <c r="Q215" i="14"/>
  <c r="Q216" i="14"/>
  <c r="Q217" i="14"/>
  <c r="Q218" i="14"/>
  <c r="Q219" i="14"/>
  <c r="Q220" i="14"/>
  <c r="Q221" i="14"/>
  <c r="Q222" i="14"/>
  <c r="Q223" i="14"/>
  <c r="Q224" i="14"/>
  <c r="Q225" i="14"/>
  <c r="Q226" i="14"/>
  <c r="Q227" i="14"/>
  <c r="Q228" i="14"/>
  <c r="Q229" i="14"/>
  <c r="Q230" i="14"/>
  <c r="Q231" i="14"/>
  <c r="Q232" i="14"/>
  <c r="Q233" i="14"/>
  <c r="Q234" i="14"/>
  <c r="Q235" i="14"/>
  <c r="Q236" i="14"/>
  <c r="Q237" i="14"/>
  <c r="Q238" i="14"/>
  <c r="Q239" i="14"/>
  <c r="Q240" i="14"/>
  <c r="Q241" i="14"/>
  <c r="Q242" i="14"/>
  <c r="Q243" i="14"/>
  <c r="Q244" i="14"/>
  <c r="Q245" i="14"/>
  <c r="Q246" i="14"/>
  <c r="Q247" i="14"/>
  <c r="Q248" i="14"/>
  <c r="Q249" i="14"/>
  <c r="Q250" i="14"/>
  <c r="Q251" i="14"/>
  <c r="Q252" i="14"/>
  <c r="Q253" i="14"/>
  <c r="Q254" i="14"/>
  <c r="Q255" i="14"/>
  <c r="Q256" i="14"/>
  <c r="Q257" i="14"/>
  <c r="Q258" i="14"/>
  <c r="Q259" i="14"/>
  <c r="Q260" i="14"/>
  <c r="Q261" i="14"/>
  <c r="Q262" i="14"/>
  <c r="Q263" i="14"/>
  <c r="Q264" i="14"/>
  <c r="Q265" i="14"/>
  <c r="Q266" i="14"/>
  <c r="Q267" i="14"/>
  <c r="Q268" i="14"/>
  <c r="Q269" i="14"/>
  <c r="Q270" i="14"/>
  <c r="Q271" i="14"/>
  <c r="Q272" i="14"/>
  <c r="Q273" i="14"/>
  <c r="Q274" i="14"/>
  <c r="Q275" i="14"/>
  <c r="Q276" i="14"/>
  <c r="Q277" i="14"/>
  <c r="Q278" i="14"/>
  <c r="Q279" i="14"/>
  <c r="Q280" i="14"/>
  <c r="Q281" i="14"/>
  <c r="Q282" i="14"/>
  <c r="Q283" i="14"/>
  <c r="Q284" i="14"/>
  <c r="Q285" i="14"/>
  <c r="Q286" i="14"/>
  <c r="Q287" i="14"/>
  <c r="Q288" i="14"/>
  <c r="Q289" i="14"/>
  <c r="Q290" i="14"/>
  <c r="Q291" i="14"/>
  <c r="Q292" i="14"/>
  <c r="Q293" i="14"/>
  <c r="Q294" i="14"/>
  <c r="Q295" i="14"/>
  <c r="Q296" i="14"/>
  <c r="Q297" i="14"/>
  <c r="Q298" i="14"/>
  <c r="Q299" i="14"/>
  <c r="Q300" i="14"/>
  <c r="Q301" i="14"/>
  <c r="Q302" i="14"/>
  <c r="Q303" i="14"/>
  <c r="Q304" i="14"/>
  <c r="Q305" i="14"/>
  <c r="Q306" i="14"/>
  <c r="Q307" i="14"/>
  <c r="Q308" i="14"/>
  <c r="Q309" i="14"/>
  <c r="Q310" i="14"/>
  <c r="Q311" i="14"/>
  <c r="Q312" i="14"/>
  <c r="Q313" i="14"/>
  <c r="Q314" i="14"/>
  <c r="Q315" i="14"/>
  <c r="Q316" i="14"/>
  <c r="Q317" i="14"/>
  <c r="Q318" i="14"/>
  <c r="Q319" i="14"/>
  <c r="Q320" i="14"/>
  <c r="Q321" i="14"/>
  <c r="Q322" i="14"/>
  <c r="Q323" i="14"/>
  <c r="Q324" i="14"/>
  <c r="Q325" i="14"/>
  <c r="Q326" i="14"/>
  <c r="Q327" i="14"/>
  <c r="Q328" i="14"/>
  <c r="Q329" i="14"/>
  <c r="Q330" i="14"/>
  <c r="Q331" i="14"/>
  <c r="Q332" i="14"/>
  <c r="Q333" i="14"/>
  <c r="Q334" i="14"/>
  <c r="Q335" i="14"/>
  <c r="Q336" i="14"/>
  <c r="Q337" i="14"/>
  <c r="Q338" i="14"/>
  <c r="Q339" i="14"/>
  <c r="Q340" i="14"/>
  <c r="Q341" i="14"/>
  <c r="Q342" i="14"/>
  <c r="Q343" i="14"/>
  <c r="Q344" i="14"/>
  <c r="Q345" i="14"/>
  <c r="Q346" i="14"/>
  <c r="Q347" i="14"/>
  <c r="Q348" i="14"/>
  <c r="Q349" i="14"/>
  <c r="Q350" i="14"/>
  <c r="Q351" i="14"/>
  <c r="Q352" i="14"/>
  <c r="Q353" i="14"/>
  <c r="Q354" i="14"/>
  <c r="Q355" i="14"/>
  <c r="Q356" i="14"/>
  <c r="Q357" i="14"/>
  <c r="Q358" i="14"/>
  <c r="Q359" i="14"/>
  <c r="Q360" i="14"/>
  <c r="Q361" i="14"/>
  <c r="Q362" i="14"/>
  <c r="Q363" i="14"/>
  <c r="Q364" i="14"/>
  <c r="Q365" i="14"/>
  <c r="Q366" i="14"/>
  <c r="Q367" i="14"/>
  <c r="Q368" i="14"/>
  <c r="Q369" i="14"/>
  <c r="Q370" i="14"/>
  <c r="Q371" i="14"/>
  <c r="Q372" i="14"/>
  <c r="Q373" i="14"/>
  <c r="Q374" i="14"/>
  <c r="Q375" i="14"/>
  <c r="Q376" i="14"/>
  <c r="Q377" i="14"/>
  <c r="Q378" i="14"/>
  <c r="Q379" i="14"/>
  <c r="Q380" i="14"/>
  <c r="Q381" i="14"/>
  <c r="Q382" i="14"/>
  <c r="Q383" i="14"/>
  <c r="Q384" i="14"/>
  <c r="Q385" i="14"/>
  <c r="Q386" i="14"/>
  <c r="Q387" i="14"/>
  <c r="Q388" i="14"/>
  <c r="Q389" i="14"/>
  <c r="Q390" i="14"/>
  <c r="Q391" i="14"/>
  <c r="Q392" i="14"/>
  <c r="Q393" i="14"/>
  <c r="Q394" i="14"/>
  <c r="Q395" i="14"/>
  <c r="Q396" i="14"/>
  <c r="Q397" i="14"/>
  <c r="Q398" i="14"/>
  <c r="Q399" i="14"/>
  <c r="Q400" i="14"/>
  <c r="Q401" i="14"/>
  <c r="Q402" i="14"/>
  <c r="Q403" i="14"/>
  <c r="Q404" i="14"/>
  <c r="Q405" i="14"/>
  <c r="Q406" i="14"/>
  <c r="Q407" i="14"/>
  <c r="Q408" i="14"/>
  <c r="Q409" i="14"/>
  <c r="Q410" i="14"/>
  <c r="Q411" i="14"/>
  <c r="Q412" i="14"/>
  <c r="Q413" i="14"/>
  <c r="Q414" i="14"/>
  <c r="Q415" i="14"/>
  <c r="Q416" i="14"/>
  <c r="Q417" i="14"/>
  <c r="Q418" i="14"/>
  <c r="Q419" i="14"/>
  <c r="Q420" i="14"/>
  <c r="Q421" i="14"/>
  <c r="Q422" i="14"/>
  <c r="Q423" i="14"/>
  <c r="Q424" i="14"/>
  <c r="Q425" i="14"/>
  <c r="Q426" i="14"/>
  <c r="Q427" i="14"/>
  <c r="Q428" i="14"/>
  <c r="Q429" i="14"/>
  <c r="Q430" i="14"/>
  <c r="Q431" i="14"/>
  <c r="Q432" i="14"/>
  <c r="Q433" i="14"/>
  <c r="Q434" i="14"/>
  <c r="Q435" i="14"/>
  <c r="Q436" i="14"/>
  <c r="Q437" i="14"/>
  <c r="Q438" i="14"/>
  <c r="Q439" i="14"/>
  <c r="Q440" i="14"/>
  <c r="Q441" i="14"/>
  <c r="Q442" i="14"/>
  <c r="Q443" i="14"/>
  <c r="Q444" i="14"/>
  <c r="Q445" i="14"/>
  <c r="Q446" i="14"/>
  <c r="Q447" i="14"/>
  <c r="Q448" i="14"/>
  <c r="Q449" i="14"/>
  <c r="Q450" i="14"/>
  <c r="Q451" i="14"/>
  <c r="Q452" i="14"/>
  <c r="Q453" i="14"/>
  <c r="Q454" i="14"/>
  <c r="Q455" i="14"/>
  <c r="Q456" i="14"/>
  <c r="Q457" i="14"/>
  <c r="Q458" i="14"/>
  <c r="Q459" i="14"/>
  <c r="Q460" i="14"/>
  <c r="Q461" i="14"/>
  <c r="Q462" i="14"/>
  <c r="Q463" i="14"/>
  <c r="Q464" i="14"/>
  <c r="Q465" i="14"/>
  <c r="Q466" i="14"/>
  <c r="Q467" i="14"/>
  <c r="Q468" i="14"/>
  <c r="Q469" i="14"/>
  <c r="Q470" i="14"/>
  <c r="Q471" i="14"/>
  <c r="Q472" i="14"/>
  <c r="Q473" i="14"/>
  <c r="Q474" i="14"/>
  <c r="Q475" i="14"/>
  <c r="Q476" i="14"/>
  <c r="Q477" i="14"/>
  <c r="Q478" i="14"/>
  <c r="Q479" i="14"/>
  <c r="Q480" i="14"/>
  <c r="Q481" i="14"/>
  <c r="Q482" i="14"/>
  <c r="Q483" i="14"/>
  <c r="Q484" i="14"/>
  <c r="Q485" i="14"/>
  <c r="Q486" i="14"/>
  <c r="Q487" i="14"/>
  <c r="Q488" i="14"/>
  <c r="Q489" i="14"/>
  <c r="Q490" i="14"/>
  <c r="Q491" i="14"/>
  <c r="Q492" i="14"/>
  <c r="Q493" i="14"/>
  <c r="Q494" i="14"/>
  <c r="Q495" i="14"/>
  <c r="Q496" i="14"/>
  <c r="Q497" i="14"/>
  <c r="Q498" i="14"/>
  <c r="Q499" i="14"/>
  <c r="Q500" i="14"/>
  <c r="Q501" i="14"/>
  <c r="Q502" i="14"/>
  <c r="Q503" i="14"/>
  <c r="Q504" i="14"/>
  <c r="Q505" i="14"/>
  <c r="Q506" i="14"/>
  <c r="Q507" i="14"/>
  <c r="Q508" i="14"/>
  <c r="Q509" i="14"/>
  <c r="Q510" i="14"/>
  <c r="Q511" i="14"/>
  <c r="Q512" i="14"/>
  <c r="Q513" i="14"/>
  <c r="Q514" i="14"/>
  <c r="Q515" i="14"/>
  <c r="Q516" i="14"/>
  <c r="Q517" i="14"/>
  <c r="Q518" i="14"/>
  <c r="Q519" i="14"/>
  <c r="Q520" i="14"/>
  <c r="Q521" i="14"/>
  <c r="Q522" i="14"/>
  <c r="Q523" i="14"/>
  <c r="Q524" i="14"/>
  <c r="Q525" i="14"/>
  <c r="Q526" i="14"/>
  <c r="Q527" i="14"/>
  <c r="Q528" i="14"/>
  <c r="Q529" i="14"/>
  <c r="Q530" i="14"/>
  <c r="Q531" i="14"/>
  <c r="Q532" i="14"/>
  <c r="Q533" i="14"/>
  <c r="Q534" i="14"/>
  <c r="Q535" i="14"/>
  <c r="Q536" i="14"/>
  <c r="Q537" i="14"/>
  <c r="Q538" i="14"/>
  <c r="Q539" i="14"/>
  <c r="Q540" i="14"/>
  <c r="Q541" i="14"/>
  <c r="Q542" i="14"/>
  <c r="Q543" i="14"/>
  <c r="Q544" i="14"/>
  <c r="Q545" i="14"/>
  <c r="Q546" i="14"/>
  <c r="Q547" i="14"/>
  <c r="Q548" i="14"/>
  <c r="Q549" i="14"/>
  <c r="Q550" i="14"/>
  <c r="Q551" i="14"/>
  <c r="Q552" i="14"/>
  <c r="Q553" i="14"/>
  <c r="Q554" i="14"/>
  <c r="Q555" i="14"/>
  <c r="Q556" i="14"/>
  <c r="Q557" i="14"/>
  <c r="Q558" i="14"/>
  <c r="Q559" i="14"/>
  <c r="Q560" i="14"/>
  <c r="Q561" i="14"/>
  <c r="Q562" i="14"/>
  <c r="Q563" i="14"/>
  <c r="Q564" i="14"/>
  <c r="Q565" i="14"/>
  <c r="Q566" i="14"/>
  <c r="Q567" i="14"/>
  <c r="Q568" i="14"/>
  <c r="Q569" i="14"/>
  <c r="Q570" i="14"/>
  <c r="Q571" i="14"/>
  <c r="Q572" i="14"/>
  <c r="Q573" i="14"/>
  <c r="Q574" i="14"/>
  <c r="Q575" i="14"/>
  <c r="Q576" i="14"/>
  <c r="Q577" i="14"/>
  <c r="Q578" i="14"/>
  <c r="Q579" i="14"/>
  <c r="Q580" i="14"/>
  <c r="Q581" i="14"/>
  <c r="Q582" i="14"/>
  <c r="Q583" i="14"/>
  <c r="Q584" i="14"/>
  <c r="Q585" i="14"/>
  <c r="Q586" i="14"/>
  <c r="Q587" i="14"/>
  <c r="Q588" i="14"/>
  <c r="Q589" i="14"/>
  <c r="Q590" i="14"/>
  <c r="Q591" i="14"/>
  <c r="Q592" i="14"/>
  <c r="Q593" i="14"/>
  <c r="Q594" i="14"/>
  <c r="Q595" i="14"/>
  <c r="Q596" i="14"/>
  <c r="Q597" i="14"/>
  <c r="Q598" i="14"/>
  <c r="Q599" i="14"/>
  <c r="Q600" i="14"/>
  <c r="Q601" i="14"/>
  <c r="Q602" i="14"/>
  <c r="Q603" i="14"/>
  <c r="Q604" i="14"/>
  <c r="Q605" i="14"/>
  <c r="Q606" i="14"/>
  <c r="Q607" i="14"/>
  <c r="Q608" i="14"/>
  <c r="Q609" i="14"/>
  <c r="Q610" i="14"/>
  <c r="Q611" i="14"/>
  <c r="Q612" i="14"/>
  <c r="Q613" i="14"/>
  <c r="Q614" i="14"/>
  <c r="Q615" i="14"/>
  <c r="Q616" i="14"/>
  <c r="Q617" i="14"/>
  <c r="Q618" i="14"/>
  <c r="Q619" i="14"/>
  <c r="Q620" i="14"/>
  <c r="Q621" i="14"/>
  <c r="Q622" i="14"/>
  <c r="Q623" i="14"/>
  <c r="Q624" i="14"/>
  <c r="Q625" i="14"/>
  <c r="Q626" i="14"/>
  <c r="Q627" i="14"/>
  <c r="Q628" i="14"/>
  <c r="Q629" i="14"/>
  <c r="Q630" i="14"/>
  <c r="Q631" i="14"/>
  <c r="Q632" i="14"/>
  <c r="Q633" i="14"/>
  <c r="Q634" i="14"/>
  <c r="Q635" i="14"/>
  <c r="Q636" i="14"/>
  <c r="Q637" i="14"/>
  <c r="Q638" i="14"/>
  <c r="Q639" i="14"/>
  <c r="Q640" i="14"/>
  <c r="Q641" i="14"/>
  <c r="Q642" i="14"/>
  <c r="Q643" i="14"/>
  <c r="Q644" i="14"/>
  <c r="Q645" i="14"/>
  <c r="Q646" i="14"/>
  <c r="Q647" i="14"/>
  <c r="Q648" i="14"/>
  <c r="Q649" i="14"/>
  <c r="Q650" i="14"/>
  <c r="Q651" i="14"/>
  <c r="Q652" i="14"/>
  <c r="Q653" i="14"/>
  <c r="Q654" i="14"/>
  <c r="Q655" i="14"/>
  <c r="Q656" i="14"/>
  <c r="Q657" i="14"/>
  <c r="Q658" i="14"/>
  <c r="Q659" i="14"/>
  <c r="Q660" i="14"/>
  <c r="Q661" i="14"/>
  <c r="Q662" i="14"/>
  <c r="Q663" i="14"/>
  <c r="Q664" i="14"/>
  <c r="Q665" i="14"/>
  <c r="Q666" i="14"/>
  <c r="Q667" i="14"/>
  <c r="Q668" i="14"/>
  <c r="Q669" i="14"/>
  <c r="Q670" i="14"/>
  <c r="Q671" i="14"/>
  <c r="Q672" i="14"/>
  <c r="Q673" i="14"/>
  <c r="Q674" i="14"/>
  <c r="Q675" i="14"/>
  <c r="Q676" i="14"/>
  <c r="Q677" i="14"/>
  <c r="Q678" i="14"/>
  <c r="Q679" i="14"/>
  <c r="Q680" i="14"/>
  <c r="Q681" i="14"/>
  <c r="Q682" i="14"/>
  <c r="Q683" i="14"/>
  <c r="Q684" i="14"/>
  <c r="Q685" i="14"/>
  <c r="Q686" i="14"/>
  <c r="Q687" i="14"/>
  <c r="Q688" i="14"/>
  <c r="Q689" i="14"/>
  <c r="Q690" i="14"/>
  <c r="Q691" i="14"/>
  <c r="Q692" i="14"/>
  <c r="Q693" i="14"/>
  <c r="Q694" i="14"/>
  <c r="Q695" i="14"/>
  <c r="Q696" i="14"/>
  <c r="Q697" i="14"/>
  <c r="Q698" i="14"/>
  <c r="Q699" i="14"/>
  <c r="Q700" i="14"/>
  <c r="Q701" i="14"/>
  <c r="Q702" i="14"/>
  <c r="Q703" i="14"/>
  <c r="Q704" i="14"/>
  <c r="Q705" i="14"/>
  <c r="Q706" i="14"/>
  <c r="Q707" i="14"/>
  <c r="Q708" i="14"/>
  <c r="Q709" i="14"/>
  <c r="Q710" i="14"/>
  <c r="Q711" i="14"/>
  <c r="Q712" i="14"/>
  <c r="Q713" i="14"/>
  <c r="Q714" i="14"/>
  <c r="Q715" i="14"/>
  <c r="Q716" i="14"/>
  <c r="Q717" i="14"/>
  <c r="Q718" i="14"/>
  <c r="Q719" i="14"/>
  <c r="Q720" i="14"/>
  <c r="Q721" i="14"/>
  <c r="Q722" i="14"/>
  <c r="Q723" i="14"/>
  <c r="Q724" i="14"/>
  <c r="Q725" i="14"/>
  <c r="Q726" i="14"/>
  <c r="Q727" i="14"/>
  <c r="Q728" i="14"/>
  <c r="Q729" i="14"/>
  <c r="Q730" i="14"/>
  <c r="Q731" i="14"/>
  <c r="Q732" i="14"/>
  <c r="Q733" i="14"/>
  <c r="Q734" i="14"/>
  <c r="Q735" i="14"/>
  <c r="Q736" i="14"/>
  <c r="Q737" i="14"/>
  <c r="Q738" i="14"/>
  <c r="Q739" i="14"/>
  <c r="Q740" i="14"/>
  <c r="Q741" i="14"/>
  <c r="Q742" i="14"/>
  <c r="Q743" i="14"/>
  <c r="Q744" i="14"/>
  <c r="Q745" i="14"/>
  <c r="Q746" i="14"/>
  <c r="Q747" i="14"/>
  <c r="Q748" i="14"/>
  <c r="Q749" i="14"/>
  <c r="Q750" i="14"/>
  <c r="Q751" i="14"/>
  <c r="Q752" i="14"/>
  <c r="Q753" i="14"/>
  <c r="Q754" i="14"/>
  <c r="Q755" i="14"/>
  <c r="Q756" i="14"/>
  <c r="Q757" i="14"/>
  <c r="Q758" i="14"/>
  <c r="Q759" i="14"/>
  <c r="Q760" i="14"/>
  <c r="Q761" i="14"/>
  <c r="Q762" i="14"/>
  <c r="Q763" i="14"/>
  <c r="Q764" i="14"/>
  <c r="Q765" i="14"/>
  <c r="Q766" i="14"/>
  <c r="Q767" i="14"/>
  <c r="Q768" i="14"/>
  <c r="Q769" i="14"/>
  <c r="Q770" i="14"/>
  <c r="Q771" i="14"/>
  <c r="Q772" i="14"/>
  <c r="Q773" i="14"/>
  <c r="Q774" i="14"/>
  <c r="Q775" i="14"/>
  <c r="Q776" i="14"/>
  <c r="Q777" i="14"/>
  <c r="Q778" i="14"/>
  <c r="Q779" i="14"/>
  <c r="Q780" i="14"/>
  <c r="Q781" i="14"/>
  <c r="Q782" i="14"/>
  <c r="Q783" i="14"/>
  <c r="Q784" i="14"/>
  <c r="Q785" i="14"/>
  <c r="Q786" i="14"/>
  <c r="Q787" i="14"/>
  <c r="Q788" i="14"/>
  <c r="Q789" i="14"/>
  <c r="Q790" i="14"/>
  <c r="Q791" i="14"/>
  <c r="Q792" i="14"/>
  <c r="Q793" i="14"/>
  <c r="Q794" i="14"/>
  <c r="Q795" i="14"/>
  <c r="Q796" i="14"/>
  <c r="Q797" i="14"/>
  <c r="Q798" i="14"/>
  <c r="Q799" i="14"/>
  <c r="Q800" i="14"/>
  <c r="Q801" i="14"/>
  <c r="Q802" i="14"/>
  <c r="Q803" i="14"/>
  <c r="Q804" i="14"/>
  <c r="Q805" i="14"/>
  <c r="Q806" i="14"/>
  <c r="Q807" i="14"/>
  <c r="Q808" i="14"/>
  <c r="Q809" i="14"/>
  <c r="Q810" i="14"/>
  <c r="Q811" i="14"/>
  <c r="Q812" i="14"/>
  <c r="Q813" i="14"/>
  <c r="Q814" i="14"/>
  <c r="Q815" i="14"/>
  <c r="Q816" i="14"/>
  <c r="Q817" i="14"/>
  <c r="Q818" i="14"/>
  <c r="Q819" i="14"/>
  <c r="Q820" i="14"/>
  <c r="Q821" i="14"/>
  <c r="Q822" i="14"/>
  <c r="Q823" i="14"/>
  <c r="Q824" i="14"/>
  <c r="Q825" i="14"/>
  <c r="Q826" i="14"/>
  <c r="Q827" i="14"/>
  <c r="Q828" i="14"/>
  <c r="Q829" i="14"/>
  <c r="Q830" i="14"/>
  <c r="Q831" i="14"/>
  <c r="Q832" i="14"/>
  <c r="Q833" i="14"/>
  <c r="Q834" i="14"/>
  <c r="Q835" i="14"/>
  <c r="Q836" i="14"/>
  <c r="Q837" i="14"/>
  <c r="Q838" i="14"/>
  <c r="Q839" i="14"/>
  <c r="Q840" i="14"/>
  <c r="Q841" i="14"/>
  <c r="Q842" i="14"/>
  <c r="Q843" i="14"/>
  <c r="Q844" i="14"/>
  <c r="Q845" i="14"/>
  <c r="Q846" i="14"/>
  <c r="Q847" i="14"/>
  <c r="Q848" i="14"/>
  <c r="Q849" i="14"/>
  <c r="Q850" i="14"/>
  <c r="Q851" i="14"/>
  <c r="Q852" i="14"/>
  <c r="Q853" i="14"/>
  <c r="Q854" i="14"/>
  <c r="Q855" i="14"/>
  <c r="Q856" i="14"/>
  <c r="Q857" i="14"/>
  <c r="Q858" i="14"/>
  <c r="Q859" i="14"/>
  <c r="Q860" i="14"/>
  <c r="Q861" i="14"/>
  <c r="Q862" i="14"/>
  <c r="Q863" i="14"/>
  <c r="Q864" i="14"/>
  <c r="Q865" i="14"/>
  <c r="Q866" i="14"/>
  <c r="Q867" i="14"/>
  <c r="Q868" i="14"/>
  <c r="Q869" i="14"/>
  <c r="Q870" i="14"/>
  <c r="Q871" i="14"/>
  <c r="Q872" i="14"/>
  <c r="Q873" i="14"/>
  <c r="Q874" i="14"/>
  <c r="Q875" i="14"/>
  <c r="Q876" i="14"/>
  <c r="Q877" i="14"/>
  <c r="Q878" i="14"/>
  <c r="Q879" i="14"/>
  <c r="Q880" i="14"/>
  <c r="Q881" i="14"/>
  <c r="Q882" i="14"/>
  <c r="Q883" i="14"/>
  <c r="Q884" i="14"/>
  <c r="Q885" i="14"/>
  <c r="Q886" i="14"/>
  <c r="Q887" i="14"/>
  <c r="Q888" i="14"/>
  <c r="Q889" i="14"/>
  <c r="Q890" i="14"/>
  <c r="Q891" i="14"/>
  <c r="Q892" i="14"/>
  <c r="Q893" i="14"/>
  <c r="Q894" i="14"/>
  <c r="Q895" i="14"/>
  <c r="Q896" i="14"/>
  <c r="Q897" i="14"/>
  <c r="Q898" i="14"/>
  <c r="Q899" i="14"/>
  <c r="Q900" i="14"/>
  <c r="Q901" i="14"/>
  <c r="Q902" i="14"/>
  <c r="Q903" i="14"/>
  <c r="Q904" i="14"/>
  <c r="Q905" i="14"/>
  <c r="Q906" i="14"/>
  <c r="Q907" i="14"/>
  <c r="Q908" i="14"/>
  <c r="Q909" i="14"/>
  <c r="Q910" i="14"/>
  <c r="Q911" i="14"/>
  <c r="Q912" i="14"/>
  <c r="Q913" i="14"/>
  <c r="Q914" i="14"/>
  <c r="Q915" i="14"/>
  <c r="Q916" i="14"/>
  <c r="Q917" i="14"/>
  <c r="Q918" i="14"/>
  <c r="Q919" i="14"/>
  <c r="Q920" i="14"/>
  <c r="Q921" i="14"/>
  <c r="Q922" i="14"/>
  <c r="Q923" i="14"/>
  <c r="Q924" i="14"/>
  <c r="Q925" i="14"/>
  <c r="Q926" i="14"/>
  <c r="Q927" i="14"/>
  <c r="Q928" i="14"/>
  <c r="Q929" i="14"/>
  <c r="Q930" i="14"/>
  <c r="Q931" i="14"/>
  <c r="Q932" i="14"/>
  <c r="Q933" i="14"/>
  <c r="Q934" i="14"/>
  <c r="Q935" i="14"/>
  <c r="Q936" i="14"/>
  <c r="Q937" i="14"/>
  <c r="Q938" i="14"/>
  <c r="Q939" i="14"/>
  <c r="Q940" i="14"/>
  <c r="Q941" i="14"/>
  <c r="Q942" i="14"/>
  <c r="Q943" i="14"/>
  <c r="Q944" i="14"/>
  <c r="Q945" i="14"/>
  <c r="Q946" i="14"/>
  <c r="Q947" i="14"/>
  <c r="Q948" i="14"/>
  <c r="Q949" i="14"/>
  <c r="Q950" i="14"/>
  <c r="Q951" i="14"/>
  <c r="Q952" i="14"/>
  <c r="Q953" i="14"/>
  <c r="Q954" i="14"/>
  <c r="Q955" i="14"/>
  <c r="Q956" i="14"/>
  <c r="Q957" i="14"/>
  <c r="Q958" i="14"/>
  <c r="Q959" i="14"/>
  <c r="Q960" i="14"/>
  <c r="Q961" i="14"/>
  <c r="Q962" i="14"/>
  <c r="Q963" i="14"/>
  <c r="Q964" i="14"/>
  <c r="Q965" i="14"/>
  <c r="Q966" i="14"/>
  <c r="Q967" i="14"/>
  <c r="Q968" i="14"/>
  <c r="Q969" i="14"/>
  <c r="Q970" i="14"/>
  <c r="Q971" i="14"/>
  <c r="Q972" i="14"/>
  <c r="Q973" i="14"/>
  <c r="Q974" i="14"/>
  <c r="Q975" i="14"/>
  <c r="Q976" i="14"/>
  <c r="Q977" i="14"/>
  <c r="Q978" i="14"/>
  <c r="Q979" i="14"/>
  <c r="Q980" i="14"/>
  <c r="Q981" i="14"/>
  <c r="Q982" i="14"/>
  <c r="Q983" i="14"/>
  <c r="Q984" i="14"/>
  <c r="Q985" i="14"/>
  <c r="Q986" i="14"/>
  <c r="Q987" i="14"/>
  <c r="Q988" i="14"/>
  <c r="Q989" i="14"/>
  <c r="Q990" i="14"/>
  <c r="Q991" i="14"/>
  <c r="Q992" i="14"/>
  <c r="Q993" i="14"/>
  <c r="Q994" i="14"/>
  <c r="Q995" i="14"/>
  <c r="Q996" i="14"/>
  <c r="Q997" i="14"/>
  <c r="Q998" i="14"/>
  <c r="Q999" i="14"/>
  <c r="Q1000" i="14"/>
  <c r="Q1001" i="14"/>
  <c r="T622" i="8"/>
  <c r="T620" i="8"/>
  <c r="T618" i="8"/>
  <c r="T616" i="8"/>
  <c r="P611" i="4"/>
  <c r="O611" i="4"/>
  <c r="N611" i="4"/>
  <c r="M611" i="4"/>
  <c r="L611" i="4"/>
  <c r="K611" i="4"/>
  <c r="J611" i="4"/>
  <c r="P610" i="4"/>
  <c r="O610" i="4"/>
  <c r="N610" i="4"/>
  <c r="M610" i="4"/>
  <c r="L610" i="4"/>
  <c r="K610" i="4"/>
  <c r="J610" i="4"/>
  <c r="P609" i="4"/>
  <c r="O609" i="4"/>
  <c r="N609" i="4"/>
  <c r="M609" i="4"/>
  <c r="L609" i="4"/>
  <c r="K609" i="4"/>
  <c r="J609" i="4"/>
  <c r="P608" i="4"/>
  <c r="O608" i="4"/>
  <c r="N608" i="4"/>
  <c r="M608" i="4"/>
  <c r="L608" i="4"/>
  <c r="K608" i="4"/>
  <c r="J608" i="4"/>
  <c r="P607" i="4"/>
  <c r="O607" i="4"/>
  <c r="N607" i="4"/>
  <c r="M607" i="4"/>
  <c r="L607" i="4"/>
  <c r="K607" i="4"/>
  <c r="J607" i="4"/>
  <c r="P606" i="4"/>
  <c r="O606" i="4"/>
  <c r="N606" i="4"/>
  <c r="M606" i="4"/>
  <c r="L606" i="4"/>
  <c r="K606" i="4"/>
  <c r="J606" i="4"/>
  <c r="P605" i="4"/>
  <c r="O605" i="4"/>
  <c r="N605" i="4"/>
  <c r="M605" i="4"/>
  <c r="L605" i="4"/>
  <c r="K605" i="4"/>
  <c r="J605" i="4"/>
  <c r="P604" i="4"/>
  <c r="O604" i="4"/>
  <c r="N604" i="4"/>
  <c r="M604" i="4"/>
  <c r="L604" i="4"/>
  <c r="K604" i="4"/>
  <c r="J604" i="4"/>
  <c r="P603" i="4"/>
  <c r="O603" i="4"/>
  <c r="N603" i="4"/>
  <c r="M603" i="4"/>
  <c r="L603" i="4"/>
  <c r="K603" i="4"/>
  <c r="J603" i="4"/>
  <c r="P602" i="4"/>
  <c r="O602" i="4"/>
  <c r="N602" i="4"/>
  <c r="M602" i="4"/>
  <c r="L602" i="4"/>
  <c r="K602" i="4"/>
  <c r="J602" i="4"/>
  <c r="P601" i="4"/>
  <c r="O601" i="4"/>
  <c r="N601" i="4"/>
  <c r="M601" i="4"/>
  <c r="L601" i="4"/>
  <c r="K601" i="4"/>
  <c r="J601" i="4"/>
  <c r="P600" i="4"/>
  <c r="O600" i="4"/>
  <c r="N600" i="4"/>
  <c r="M600" i="4"/>
  <c r="L600" i="4"/>
  <c r="K600" i="4"/>
  <c r="J600" i="4"/>
  <c r="P599" i="4"/>
  <c r="O599" i="4"/>
  <c r="N599" i="4"/>
  <c r="M599" i="4"/>
  <c r="L599" i="4"/>
  <c r="K599" i="4"/>
  <c r="J599" i="4"/>
  <c r="P598" i="4"/>
  <c r="O598" i="4"/>
  <c r="N598" i="4"/>
  <c r="M598" i="4"/>
  <c r="L598" i="4"/>
  <c r="K598" i="4"/>
  <c r="J598" i="4"/>
  <c r="P597" i="4"/>
  <c r="O597" i="4"/>
  <c r="N597" i="4"/>
  <c r="M597" i="4"/>
  <c r="L597" i="4"/>
  <c r="K597" i="4"/>
  <c r="J597" i="4"/>
  <c r="P596" i="4"/>
  <c r="O596" i="4"/>
  <c r="N596" i="4"/>
  <c r="M596" i="4"/>
  <c r="L596" i="4"/>
  <c r="K596" i="4"/>
  <c r="J596" i="4"/>
  <c r="P595" i="4"/>
  <c r="O595" i="4"/>
  <c r="N595" i="4"/>
  <c r="M595" i="4"/>
  <c r="L595" i="4"/>
  <c r="K595" i="4"/>
  <c r="J595" i="4"/>
  <c r="P594" i="4"/>
  <c r="O594" i="4"/>
  <c r="N594" i="4"/>
  <c r="M594" i="4"/>
  <c r="L594" i="4"/>
  <c r="K594" i="4"/>
  <c r="J594" i="4"/>
  <c r="P593" i="4"/>
  <c r="O593" i="4"/>
  <c r="N593" i="4"/>
  <c r="M593" i="4"/>
  <c r="L593" i="4"/>
  <c r="K593" i="4"/>
  <c r="J593" i="4"/>
  <c r="P592" i="4"/>
  <c r="O592" i="4"/>
  <c r="N592" i="4"/>
  <c r="M592" i="4"/>
  <c r="L592" i="4"/>
  <c r="K592" i="4"/>
  <c r="J592" i="4"/>
  <c r="P591" i="4"/>
  <c r="O591" i="4"/>
  <c r="N591" i="4"/>
  <c r="M591" i="4"/>
  <c r="L591" i="4"/>
  <c r="K591" i="4"/>
  <c r="J591" i="4"/>
  <c r="P590" i="4"/>
  <c r="O590" i="4"/>
  <c r="N590" i="4"/>
  <c r="M590" i="4"/>
  <c r="L590" i="4"/>
  <c r="K590" i="4"/>
  <c r="J590" i="4"/>
  <c r="P589" i="4"/>
  <c r="O589" i="4"/>
  <c r="N589" i="4"/>
  <c r="M589" i="4"/>
  <c r="L589" i="4"/>
  <c r="K589" i="4"/>
  <c r="J589" i="4"/>
  <c r="P588" i="4"/>
  <c r="O588" i="4"/>
  <c r="N588" i="4"/>
  <c r="M588" i="4"/>
  <c r="L588" i="4"/>
  <c r="K588" i="4"/>
  <c r="J588" i="4"/>
  <c r="P587" i="4"/>
  <c r="O587" i="4"/>
  <c r="N587" i="4"/>
  <c r="M587" i="4"/>
  <c r="L587" i="4"/>
  <c r="K587" i="4"/>
  <c r="J587" i="4"/>
  <c r="P586" i="4"/>
  <c r="O586" i="4"/>
  <c r="N586" i="4"/>
  <c r="M586" i="4"/>
  <c r="L586" i="4"/>
  <c r="K586" i="4"/>
  <c r="J586" i="4"/>
  <c r="P585" i="4"/>
  <c r="O585" i="4"/>
  <c r="N585" i="4"/>
  <c r="M585" i="4"/>
  <c r="L585" i="4"/>
  <c r="K585" i="4"/>
  <c r="J585" i="4"/>
  <c r="P584" i="4"/>
  <c r="O584" i="4"/>
  <c r="N584" i="4"/>
  <c r="M584" i="4"/>
  <c r="L584" i="4"/>
  <c r="K584" i="4"/>
  <c r="J584" i="4"/>
  <c r="P583" i="4"/>
  <c r="O583" i="4"/>
  <c r="N583" i="4"/>
  <c r="M583" i="4"/>
  <c r="L583" i="4"/>
  <c r="K583" i="4"/>
  <c r="J583" i="4"/>
  <c r="P582" i="4"/>
  <c r="O582" i="4"/>
  <c r="N582" i="4"/>
  <c r="M582" i="4"/>
  <c r="L582" i="4"/>
  <c r="K582" i="4"/>
  <c r="J582" i="4"/>
  <c r="P581" i="4"/>
  <c r="O581" i="4"/>
  <c r="N581" i="4"/>
  <c r="M581" i="4"/>
  <c r="L581" i="4"/>
  <c r="K581" i="4"/>
  <c r="J581" i="4"/>
  <c r="P580" i="4"/>
  <c r="O580" i="4"/>
  <c r="N580" i="4"/>
  <c r="M580" i="4"/>
  <c r="L580" i="4"/>
  <c r="K580" i="4"/>
  <c r="J580" i="4"/>
  <c r="P579" i="4"/>
  <c r="O579" i="4"/>
  <c r="N579" i="4"/>
  <c r="M579" i="4"/>
  <c r="L579" i="4"/>
  <c r="K579" i="4"/>
  <c r="J579" i="4"/>
  <c r="P578" i="4"/>
  <c r="O578" i="4"/>
  <c r="N578" i="4"/>
  <c r="M578" i="4"/>
  <c r="L578" i="4"/>
  <c r="K578" i="4"/>
  <c r="J578" i="4"/>
  <c r="P577" i="4"/>
  <c r="O577" i="4"/>
  <c r="N577" i="4"/>
  <c r="M577" i="4"/>
  <c r="L577" i="4"/>
  <c r="K577" i="4"/>
  <c r="J577" i="4"/>
  <c r="P576" i="4"/>
  <c r="O576" i="4"/>
  <c r="N576" i="4"/>
  <c r="M576" i="4"/>
  <c r="L576" i="4"/>
  <c r="K576" i="4"/>
  <c r="J576" i="4"/>
  <c r="P575" i="4"/>
  <c r="O575" i="4"/>
  <c r="N575" i="4"/>
  <c r="M575" i="4"/>
  <c r="L575" i="4"/>
  <c r="K575" i="4"/>
  <c r="J575" i="4"/>
  <c r="P574" i="4"/>
  <c r="O574" i="4"/>
  <c r="N574" i="4"/>
  <c r="M574" i="4"/>
  <c r="L574" i="4"/>
  <c r="K574" i="4"/>
  <c r="J574" i="4"/>
  <c r="P573" i="4"/>
  <c r="O573" i="4"/>
  <c r="N573" i="4"/>
  <c r="M573" i="4"/>
  <c r="L573" i="4"/>
  <c r="K573" i="4"/>
  <c r="J573" i="4"/>
  <c r="P572" i="4"/>
  <c r="O572" i="4"/>
  <c r="N572" i="4"/>
  <c r="M572" i="4"/>
  <c r="L572" i="4"/>
  <c r="K572" i="4"/>
  <c r="J572" i="4"/>
  <c r="P571" i="4"/>
  <c r="O571" i="4"/>
  <c r="N571" i="4"/>
  <c r="M571" i="4"/>
  <c r="L571" i="4"/>
  <c r="K571" i="4"/>
  <c r="J571" i="4"/>
  <c r="P570" i="4"/>
  <c r="O570" i="4"/>
  <c r="N570" i="4"/>
  <c r="M570" i="4"/>
  <c r="L570" i="4"/>
  <c r="K570" i="4"/>
  <c r="J570" i="4"/>
  <c r="P569" i="4"/>
  <c r="O569" i="4"/>
  <c r="N569" i="4"/>
  <c r="M569" i="4"/>
  <c r="L569" i="4"/>
  <c r="K569" i="4"/>
  <c r="J569" i="4"/>
  <c r="P568" i="4"/>
  <c r="O568" i="4"/>
  <c r="N568" i="4"/>
  <c r="M568" i="4"/>
  <c r="L568" i="4"/>
  <c r="K568" i="4"/>
  <c r="J568" i="4"/>
  <c r="P567" i="4"/>
  <c r="O567" i="4"/>
  <c r="N567" i="4"/>
  <c r="M567" i="4"/>
  <c r="L567" i="4"/>
  <c r="K567" i="4"/>
  <c r="J567" i="4"/>
  <c r="P566" i="4"/>
  <c r="O566" i="4"/>
  <c r="N566" i="4"/>
  <c r="M566" i="4"/>
  <c r="L566" i="4"/>
  <c r="K566" i="4"/>
  <c r="J566" i="4"/>
  <c r="P565" i="4"/>
  <c r="O565" i="4"/>
  <c r="N565" i="4"/>
  <c r="M565" i="4"/>
  <c r="L565" i="4"/>
  <c r="K565" i="4"/>
  <c r="J565" i="4"/>
  <c r="P564" i="4"/>
  <c r="O564" i="4"/>
  <c r="N564" i="4"/>
  <c r="M564" i="4"/>
  <c r="L564" i="4"/>
  <c r="K564" i="4"/>
  <c r="J564" i="4"/>
  <c r="P563" i="4"/>
  <c r="O563" i="4"/>
  <c r="N563" i="4"/>
  <c r="M563" i="4"/>
  <c r="L563" i="4"/>
  <c r="K563" i="4"/>
  <c r="J563" i="4"/>
  <c r="P562" i="4"/>
  <c r="O562" i="4"/>
  <c r="N562" i="4"/>
  <c r="M562" i="4"/>
  <c r="L562" i="4"/>
  <c r="K562" i="4"/>
  <c r="J562" i="4"/>
  <c r="P561" i="4"/>
  <c r="O561" i="4"/>
  <c r="N561" i="4"/>
  <c r="M561" i="4"/>
  <c r="L561" i="4"/>
  <c r="K561" i="4"/>
  <c r="J561" i="4"/>
  <c r="P560" i="4"/>
  <c r="O560" i="4"/>
  <c r="N560" i="4"/>
  <c r="M560" i="4"/>
  <c r="L560" i="4"/>
  <c r="K560" i="4"/>
  <c r="J560" i="4"/>
  <c r="P559" i="4"/>
  <c r="O559" i="4"/>
  <c r="N559" i="4"/>
  <c r="M559" i="4"/>
  <c r="L559" i="4"/>
  <c r="K559" i="4"/>
  <c r="J559" i="4"/>
  <c r="P558" i="4"/>
  <c r="O558" i="4"/>
  <c r="N558" i="4"/>
  <c r="M558" i="4"/>
  <c r="L558" i="4"/>
  <c r="K558" i="4"/>
  <c r="J558" i="4"/>
  <c r="P557" i="4"/>
  <c r="O557" i="4"/>
  <c r="N557" i="4"/>
  <c r="M557" i="4"/>
  <c r="L557" i="4"/>
  <c r="K557" i="4"/>
  <c r="J557" i="4"/>
  <c r="P556" i="4"/>
  <c r="O556" i="4"/>
  <c r="N556" i="4"/>
  <c r="M556" i="4"/>
  <c r="L556" i="4"/>
  <c r="K556" i="4"/>
  <c r="J556" i="4"/>
  <c r="P555" i="4"/>
  <c r="O555" i="4"/>
  <c r="N555" i="4"/>
  <c r="M555" i="4"/>
  <c r="L555" i="4"/>
  <c r="K555" i="4"/>
  <c r="J555" i="4"/>
  <c r="P554" i="4"/>
  <c r="O554" i="4"/>
  <c r="N554" i="4"/>
  <c r="M554" i="4"/>
  <c r="L554" i="4"/>
  <c r="K554" i="4"/>
  <c r="J554" i="4"/>
  <c r="P553" i="4"/>
  <c r="O553" i="4"/>
  <c r="N553" i="4"/>
  <c r="M553" i="4"/>
  <c r="L553" i="4"/>
  <c r="K553" i="4"/>
  <c r="J553" i="4"/>
  <c r="P552" i="4"/>
  <c r="O552" i="4"/>
  <c r="N552" i="4"/>
  <c r="M552" i="4"/>
  <c r="L552" i="4"/>
  <c r="K552" i="4"/>
  <c r="J552" i="4"/>
  <c r="P551" i="4"/>
  <c r="O551" i="4"/>
  <c r="N551" i="4"/>
  <c r="M551" i="4"/>
  <c r="L551" i="4"/>
  <c r="K551" i="4"/>
  <c r="J551" i="4"/>
  <c r="P550" i="4"/>
  <c r="O550" i="4"/>
  <c r="N550" i="4"/>
  <c r="M550" i="4"/>
  <c r="L550" i="4"/>
  <c r="K550" i="4"/>
  <c r="J550" i="4"/>
  <c r="P549" i="4"/>
  <c r="O549" i="4"/>
  <c r="N549" i="4"/>
  <c r="M549" i="4"/>
  <c r="L549" i="4"/>
  <c r="K549" i="4"/>
  <c r="J549" i="4"/>
  <c r="P548" i="4"/>
  <c r="O548" i="4"/>
  <c r="N548" i="4"/>
  <c r="M548" i="4"/>
  <c r="L548" i="4"/>
  <c r="K548" i="4"/>
  <c r="J548" i="4"/>
  <c r="P547" i="4"/>
  <c r="O547" i="4"/>
  <c r="N547" i="4"/>
  <c r="M547" i="4"/>
  <c r="L547" i="4"/>
  <c r="K547" i="4"/>
  <c r="J547" i="4"/>
  <c r="P546" i="4"/>
  <c r="O546" i="4"/>
  <c r="N546" i="4"/>
  <c r="M546" i="4"/>
  <c r="L546" i="4"/>
  <c r="K546" i="4"/>
  <c r="J546" i="4"/>
  <c r="P545" i="4"/>
  <c r="O545" i="4"/>
  <c r="N545" i="4"/>
  <c r="M545" i="4"/>
  <c r="L545" i="4"/>
  <c r="K545" i="4"/>
  <c r="J545" i="4"/>
  <c r="P544" i="4"/>
  <c r="O544" i="4"/>
  <c r="N544" i="4"/>
  <c r="M544" i="4"/>
  <c r="L544" i="4"/>
  <c r="K544" i="4"/>
  <c r="J544" i="4"/>
  <c r="P543" i="4"/>
  <c r="O543" i="4"/>
  <c r="N543" i="4"/>
  <c r="M543" i="4"/>
  <c r="L543" i="4"/>
  <c r="K543" i="4"/>
  <c r="J543" i="4"/>
  <c r="P542" i="4"/>
  <c r="O542" i="4"/>
  <c r="N542" i="4"/>
  <c r="M542" i="4"/>
  <c r="L542" i="4"/>
  <c r="K542" i="4"/>
  <c r="J542" i="4"/>
  <c r="P541" i="4"/>
  <c r="O541" i="4"/>
  <c r="N541" i="4"/>
  <c r="M541" i="4"/>
  <c r="L541" i="4"/>
  <c r="K541" i="4"/>
  <c r="J541" i="4"/>
  <c r="P540" i="4"/>
  <c r="O540" i="4"/>
  <c r="N540" i="4"/>
  <c r="M540" i="4"/>
  <c r="L540" i="4"/>
  <c r="K540" i="4"/>
  <c r="J540" i="4"/>
  <c r="P539" i="4"/>
  <c r="O539" i="4"/>
  <c r="N539" i="4"/>
  <c r="M539" i="4"/>
  <c r="L539" i="4"/>
  <c r="K539" i="4"/>
  <c r="J539" i="4"/>
  <c r="P538" i="4"/>
  <c r="O538" i="4"/>
  <c r="N538" i="4"/>
  <c r="M538" i="4"/>
  <c r="L538" i="4"/>
  <c r="K538" i="4"/>
  <c r="J538" i="4"/>
  <c r="P537" i="4"/>
  <c r="O537" i="4"/>
  <c r="N537" i="4"/>
  <c r="M537" i="4"/>
  <c r="L537" i="4"/>
  <c r="K537" i="4"/>
  <c r="J537" i="4"/>
  <c r="P536" i="4"/>
  <c r="O536" i="4"/>
  <c r="N536" i="4"/>
  <c r="M536" i="4"/>
  <c r="L536" i="4"/>
  <c r="K536" i="4"/>
  <c r="J536" i="4"/>
  <c r="P535" i="4"/>
  <c r="O535" i="4"/>
  <c r="N535" i="4"/>
  <c r="M535" i="4"/>
  <c r="L535" i="4"/>
  <c r="K535" i="4"/>
  <c r="J535" i="4"/>
  <c r="P534" i="4"/>
  <c r="O534" i="4"/>
  <c r="N534" i="4"/>
  <c r="M534" i="4"/>
  <c r="L534" i="4"/>
  <c r="K534" i="4"/>
  <c r="J534" i="4"/>
  <c r="P533" i="4"/>
  <c r="O533" i="4"/>
  <c r="N533" i="4"/>
  <c r="M533" i="4"/>
  <c r="L533" i="4"/>
  <c r="K533" i="4"/>
  <c r="J533" i="4"/>
  <c r="P532" i="4"/>
  <c r="O532" i="4"/>
  <c r="N532" i="4"/>
  <c r="M532" i="4"/>
  <c r="L532" i="4"/>
  <c r="K532" i="4"/>
  <c r="J532" i="4"/>
  <c r="P531" i="4"/>
  <c r="O531" i="4"/>
  <c r="N531" i="4"/>
  <c r="M531" i="4"/>
  <c r="L531" i="4"/>
  <c r="K531" i="4"/>
  <c r="J531" i="4"/>
  <c r="P530" i="4"/>
  <c r="O530" i="4"/>
  <c r="N530" i="4"/>
  <c r="M530" i="4"/>
  <c r="L530" i="4"/>
  <c r="K530" i="4"/>
  <c r="J530" i="4"/>
  <c r="P529" i="4"/>
  <c r="O529" i="4"/>
  <c r="N529" i="4"/>
  <c r="M529" i="4"/>
  <c r="L529" i="4"/>
  <c r="K529" i="4"/>
  <c r="J529" i="4"/>
  <c r="P528" i="4"/>
  <c r="O528" i="4"/>
  <c r="N528" i="4"/>
  <c r="M528" i="4"/>
  <c r="L528" i="4"/>
  <c r="K528" i="4"/>
  <c r="J528" i="4"/>
  <c r="P527" i="4"/>
  <c r="O527" i="4"/>
  <c r="N527" i="4"/>
  <c r="M527" i="4"/>
  <c r="L527" i="4"/>
  <c r="K527" i="4"/>
  <c r="J527" i="4"/>
  <c r="P526" i="4"/>
  <c r="O526" i="4"/>
  <c r="N526" i="4"/>
  <c r="M526" i="4"/>
  <c r="L526" i="4"/>
  <c r="K526" i="4"/>
  <c r="J526" i="4"/>
  <c r="P525" i="4"/>
  <c r="O525" i="4"/>
  <c r="N525" i="4"/>
  <c r="M525" i="4"/>
  <c r="L525" i="4"/>
  <c r="K525" i="4"/>
  <c r="J525" i="4"/>
  <c r="P524" i="4"/>
  <c r="O524" i="4"/>
  <c r="N524" i="4"/>
  <c r="M524" i="4"/>
  <c r="L524" i="4"/>
  <c r="K524" i="4"/>
  <c r="J524" i="4"/>
  <c r="P523" i="4"/>
  <c r="O523" i="4"/>
  <c r="N523" i="4"/>
  <c r="M523" i="4"/>
  <c r="L523" i="4"/>
  <c r="K523" i="4"/>
  <c r="J523" i="4"/>
  <c r="P522" i="4"/>
  <c r="O522" i="4"/>
  <c r="N522" i="4"/>
  <c r="M522" i="4"/>
  <c r="L522" i="4"/>
  <c r="K522" i="4"/>
  <c r="J522" i="4"/>
  <c r="P521" i="4"/>
  <c r="O521" i="4"/>
  <c r="N521" i="4"/>
  <c r="M521" i="4"/>
  <c r="L521" i="4"/>
  <c r="K521" i="4"/>
  <c r="J521" i="4"/>
  <c r="P520" i="4"/>
  <c r="O520" i="4"/>
  <c r="N520" i="4"/>
  <c r="M520" i="4"/>
  <c r="L520" i="4"/>
  <c r="K520" i="4"/>
  <c r="J520" i="4"/>
  <c r="P519" i="4"/>
  <c r="O519" i="4"/>
  <c r="N519" i="4"/>
  <c r="M519" i="4"/>
  <c r="L519" i="4"/>
  <c r="K519" i="4"/>
  <c r="J519" i="4"/>
  <c r="P518" i="4"/>
  <c r="O518" i="4"/>
  <c r="N518" i="4"/>
  <c r="M518" i="4"/>
  <c r="L518" i="4"/>
  <c r="K518" i="4"/>
  <c r="J518" i="4"/>
  <c r="P517" i="4"/>
  <c r="O517" i="4"/>
  <c r="N517" i="4"/>
  <c r="M517" i="4"/>
  <c r="L517" i="4"/>
  <c r="K517" i="4"/>
  <c r="J517" i="4"/>
  <c r="P516" i="4"/>
  <c r="O516" i="4"/>
  <c r="N516" i="4"/>
  <c r="M516" i="4"/>
  <c r="L516" i="4"/>
  <c r="K516" i="4"/>
  <c r="J516" i="4"/>
  <c r="P515" i="4"/>
  <c r="O515" i="4"/>
  <c r="N515" i="4"/>
  <c r="M515" i="4"/>
  <c r="L515" i="4"/>
  <c r="K515" i="4"/>
  <c r="J515" i="4"/>
  <c r="P514" i="4"/>
  <c r="O514" i="4"/>
  <c r="N514" i="4"/>
  <c r="M514" i="4"/>
  <c r="L514" i="4"/>
  <c r="K514" i="4"/>
  <c r="J514" i="4"/>
  <c r="P513" i="4"/>
  <c r="O513" i="4"/>
  <c r="N513" i="4"/>
  <c r="M513" i="4"/>
  <c r="L513" i="4"/>
  <c r="K513" i="4"/>
  <c r="J513" i="4"/>
  <c r="P512" i="4"/>
  <c r="O512" i="4"/>
  <c r="N512" i="4"/>
  <c r="M512" i="4"/>
  <c r="L512" i="4"/>
  <c r="K512" i="4"/>
  <c r="J512" i="4"/>
  <c r="P511" i="4"/>
  <c r="O511" i="4"/>
  <c r="N511" i="4"/>
  <c r="M511" i="4"/>
  <c r="L511" i="4"/>
  <c r="K511" i="4"/>
  <c r="J511" i="4"/>
  <c r="P510" i="4"/>
  <c r="O510" i="4"/>
  <c r="N510" i="4"/>
  <c r="M510" i="4"/>
  <c r="L510" i="4"/>
  <c r="K510" i="4"/>
  <c r="J510" i="4"/>
  <c r="P509" i="4"/>
  <c r="O509" i="4"/>
  <c r="N509" i="4"/>
  <c r="M509" i="4"/>
  <c r="L509" i="4"/>
  <c r="K509" i="4"/>
  <c r="J509" i="4"/>
  <c r="P508" i="4"/>
  <c r="O508" i="4"/>
  <c r="N508" i="4"/>
  <c r="M508" i="4"/>
  <c r="L508" i="4"/>
  <c r="K508" i="4"/>
  <c r="J508" i="4"/>
  <c r="P507" i="4"/>
  <c r="O507" i="4"/>
  <c r="N507" i="4"/>
  <c r="M507" i="4"/>
  <c r="L507" i="4"/>
  <c r="K507" i="4"/>
  <c r="J507" i="4"/>
  <c r="P506" i="4"/>
  <c r="O506" i="4"/>
  <c r="N506" i="4"/>
  <c r="M506" i="4"/>
  <c r="L506" i="4"/>
  <c r="K506" i="4"/>
  <c r="J506" i="4"/>
  <c r="P505" i="4"/>
  <c r="O505" i="4"/>
  <c r="N505" i="4"/>
  <c r="M505" i="4"/>
  <c r="L505" i="4"/>
  <c r="K505" i="4"/>
  <c r="J505" i="4"/>
  <c r="P504" i="4"/>
  <c r="O504" i="4"/>
  <c r="N504" i="4"/>
  <c r="M504" i="4"/>
  <c r="L504" i="4"/>
  <c r="K504" i="4"/>
  <c r="J504" i="4"/>
  <c r="P503" i="4"/>
  <c r="O503" i="4"/>
  <c r="N503" i="4"/>
  <c r="M503" i="4"/>
  <c r="L503" i="4"/>
  <c r="K503" i="4"/>
  <c r="J503" i="4"/>
  <c r="P502" i="4"/>
  <c r="O502" i="4"/>
  <c r="N502" i="4"/>
  <c r="M502" i="4"/>
  <c r="L502" i="4"/>
  <c r="K502" i="4"/>
  <c r="J502" i="4"/>
  <c r="P501" i="4"/>
  <c r="O501" i="4"/>
  <c r="N501" i="4"/>
  <c r="M501" i="4"/>
  <c r="L501" i="4"/>
  <c r="K501" i="4"/>
  <c r="J501" i="4"/>
  <c r="P500" i="4"/>
  <c r="O500" i="4"/>
  <c r="N500" i="4"/>
  <c r="M500" i="4"/>
  <c r="L500" i="4"/>
  <c r="K500" i="4"/>
  <c r="J500" i="4"/>
  <c r="P499" i="4"/>
  <c r="O499" i="4"/>
  <c r="N499" i="4"/>
  <c r="M499" i="4"/>
  <c r="L499" i="4"/>
  <c r="K499" i="4"/>
  <c r="J499" i="4"/>
  <c r="P498" i="4"/>
  <c r="O498" i="4"/>
  <c r="N498" i="4"/>
  <c r="M498" i="4"/>
  <c r="L498" i="4"/>
  <c r="K498" i="4"/>
  <c r="J498" i="4"/>
  <c r="P497" i="4"/>
  <c r="O497" i="4"/>
  <c r="N497" i="4"/>
  <c r="M497" i="4"/>
  <c r="L497" i="4"/>
  <c r="K497" i="4"/>
  <c r="J497" i="4"/>
  <c r="P496" i="4"/>
  <c r="O496" i="4"/>
  <c r="N496" i="4"/>
  <c r="M496" i="4"/>
  <c r="L496" i="4"/>
  <c r="K496" i="4"/>
  <c r="J496" i="4"/>
  <c r="P495" i="4"/>
  <c r="O495" i="4"/>
  <c r="N495" i="4"/>
  <c r="M495" i="4"/>
  <c r="L495" i="4"/>
  <c r="K495" i="4"/>
  <c r="J495" i="4"/>
  <c r="P494" i="4"/>
  <c r="O494" i="4"/>
  <c r="N494" i="4"/>
  <c r="M494" i="4"/>
  <c r="L494" i="4"/>
  <c r="K494" i="4"/>
  <c r="J494" i="4"/>
  <c r="P493" i="4"/>
  <c r="O493" i="4"/>
  <c r="N493" i="4"/>
  <c r="M493" i="4"/>
  <c r="L493" i="4"/>
  <c r="K493" i="4"/>
  <c r="J493" i="4"/>
  <c r="P492" i="4"/>
  <c r="O492" i="4"/>
  <c r="N492" i="4"/>
  <c r="M492" i="4"/>
  <c r="L492" i="4"/>
  <c r="K492" i="4"/>
  <c r="J492" i="4"/>
  <c r="P491" i="4"/>
  <c r="O491" i="4"/>
  <c r="N491" i="4"/>
  <c r="M491" i="4"/>
  <c r="L491" i="4"/>
  <c r="K491" i="4"/>
  <c r="J491" i="4"/>
  <c r="P490" i="4"/>
  <c r="O490" i="4"/>
  <c r="N490" i="4"/>
  <c r="M490" i="4"/>
  <c r="L490" i="4"/>
  <c r="K490" i="4"/>
  <c r="J490" i="4"/>
  <c r="P489" i="4"/>
  <c r="O489" i="4"/>
  <c r="N489" i="4"/>
  <c r="M489" i="4"/>
  <c r="L489" i="4"/>
  <c r="K489" i="4"/>
  <c r="J489" i="4"/>
  <c r="P488" i="4"/>
  <c r="O488" i="4"/>
  <c r="N488" i="4"/>
  <c r="M488" i="4"/>
  <c r="L488" i="4"/>
  <c r="K488" i="4"/>
  <c r="J488" i="4"/>
  <c r="P487" i="4"/>
  <c r="O487" i="4"/>
  <c r="N487" i="4"/>
  <c r="M487" i="4"/>
  <c r="L487" i="4"/>
  <c r="K487" i="4"/>
  <c r="J487" i="4"/>
  <c r="P486" i="4"/>
  <c r="O486" i="4"/>
  <c r="N486" i="4"/>
  <c r="M486" i="4"/>
  <c r="L486" i="4"/>
  <c r="K486" i="4"/>
  <c r="J486" i="4"/>
  <c r="P485" i="4"/>
  <c r="O485" i="4"/>
  <c r="N485" i="4"/>
  <c r="M485" i="4"/>
  <c r="L485" i="4"/>
  <c r="K485" i="4"/>
  <c r="J485" i="4"/>
  <c r="P484" i="4"/>
  <c r="O484" i="4"/>
  <c r="N484" i="4"/>
  <c r="M484" i="4"/>
  <c r="L484" i="4"/>
  <c r="K484" i="4"/>
  <c r="J484" i="4"/>
  <c r="P483" i="4"/>
  <c r="O483" i="4"/>
  <c r="N483" i="4"/>
  <c r="M483" i="4"/>
  <c r="L483" i="4"/>
  <c r="K483" i="4"/>
  <c r="J483" i="4"/>
  <c r="P482" i="4"/>
  <c r="O482" i="4"/>
  <c r="N482" i="4"/>
  <c r="M482" i="4"/>
  <c r="L482" i="4"/>
  <c r="K482" i="4"/>
  <c r="J482" i="4"/>
  <c r="P481" i="4"/>
  <c r="O481" i="4"/>
  <c r="N481" i="4"/>
  <c r="M481" i="4"/>
  <c r="L481" i="4"/>
  <c r="K481" i="4"/>
  <c r="J481" i="4"/>
  <c r="P480" i="4"/>
  <c r="O480" i="4"/>
  <c r="N480" i="4"/>
  <c r="M480" i="4"/>
  <c r="L480" i="4"/>
  <c r="K480" i="4"/>
  <c r="J480" i="4"/>
  <c r="P479" i="4"/>
  <c r="O479" i="4"/>
  <c r="N479" i="4"/>
  <c r="M479" i="4"/>
  <c r="L479" i="4"/>
  <c r="K479" i="4"/>
  <c r="J479" i="4"/>
  <c r="P478" i="4"/>
  <c r="O478" i="4"/>
  <c r="N478" i="4"/>
  <c r="M478" i="4"/>
  <c r="L478" i="4"/>
  <c r="K478" i="4"/>
  <c r="J478" i="4"/>
  <c r="P477" i="4"/>
  <c r="O477" i="4"/>
  <c r="N477" i="4"/>
  <c r="M477" i="4"/>
  <c r="L477" i="4"/>
  <c r="K477" i="4"/>
  <c r="J477" i="4"/>
  <c r="P476" i="4"/>
  <c r="O476" i="4"/>
  <c r="N476" i="4"/>
  <c r="M476" i="4"/>
  <c r="L476" i="4"/>
  <c r="K476" i="4"/>
  <c r="J476" i="4"/>
  <c r="P475" i="4"/>
  <c r="O475" i="4"/>
  <c r="N475" i="4"/>
  <c r="M475" i="4"/>
  <c r="L475" i="4"/>
  <c r="K475" i="4"/>
  <c r="J475" i="4"/>
  <c r="P474" i="4"/>
  <c r="O474" i="4"/>
  <c r="N474" i="4"/>
  <c r="M474" i="4"/>
  <c r="L474" i="4"/>
  <c r="K474" i="4"/>
  <c r="J474" i="4"/>
  <c r="P473" i="4"/>
  <c r="O473" i="4"/>
  <c r="N473" i="4"/>
  <c r="M473" i="4"/>
  <c r="L473" i="4"/>
  <c r="K473" i="4"/>
  <c r="J473" i="4"/>
  <c r="P472" i="4"/>
  <c r="O472" i="4"/>
  <c r="N472" i="4"/>
  <c r="M472" i="4"/>
  <c r="L472" i="4"/>
  <c r="K472" i="4"/>
  <c r="J472" i="4"/>
  <c r="P471" i="4"/>
  <c r="O471" i="4"/>
  <c r="N471" i="4"/>
  <c r="M471" i="4"/>
  <c r="L471" i="4"/>
  <c r="K471" i="4"/>
  <c r="J471" i="4"/>
  <c r="P470" i="4"/>
  <c r="O470" i="4"/>
  <c r="N470" i="4"/>
  <c r="M470" i="4"/>
  <c r="L470" i="4"/>
  <c r="K470" i="4"/>
  <c r="J470" i="4"/>
  <c r="P469" i="4"/>
  <c r="O469" i="4"/>
  <c r="N469" i="4"/>
  <c r="M469" i="4"/>
  <c r="L469" i="4"/>
  <c r="K469" i="4"/>
  <c r="J469" i="4"/>
  <c r="P468" i="4"/>
  <c r="O468" i="4"/>
  <c r="N468" i="4"/>
  <c r="M468" i="4"/>
  <c r="L468" i="4"/>
  <c r="K468" i="4"/>
  <c r="J468" i="4"/>
  <c r="P467" i="4"/>
  <c r="O467" i="4"/>
  <c r="N467" i="4"/>
  <c r="M467" i="4"/>
  <c r="L467" i="4"/>
  <c r="K467" i="4"/>
  <c r="J467" i="4"/>
  <c r="P466" i="4"/>
  <c r="O466" i="4"/>
  <c r="N466" i="4"/>
  <c r="M466" i="4"/>
  <c r="L466" i="4"/>
  <c r="K466" i="4"/>
  <c r="J466" i="4"/>
  <c r="P465" i="4"/>
  <c r="O465" i="4"/>
  <c r="N465" i="4"/>
  <c r="M465" i="4"/>
  <c r="L465" i="4"/>
  <c r="K465" i="4"/>
  <c r="J465" i="4"/>
  <c r="P464" i="4"/>
  <c r="O464" i="4"/>
  <c r="N464" i="4"/>
  <c r="M464" i="4"/>
  <c r="L464" i="4"/>
  <c r="K464" i="4"/>
  <c r="J464" i="4"/>
  <c r="P463" i="4"/>
  <c r="O463" i="4"/>
  <c r="N463" i="4"/>
  <c r="M463" i="4"/>
  <c r="L463" i="4"/>
  <c r="K463" i="4"/>
  <c r="J463" i="4"/>
  <c r="P462" i="4"/>
  <c r="O462" i="4"/>
  <c r="N462" i="4"/>
  <c r="M462" i="4"/>
  <c r="L462" i="4"/>
  <c r="K462" i="4"/>
  <c r="J462" i="4"/>
  <c r="P461" i="4"/>
  <c r="O461" i="4"/>
  <c r="N461" i="4"/>
  <c r="M461" i="4"/>
  <c r="L461" i="4"/>
  <c r="K461" i="4"/>
  <c r="J461" i="4"/>
  <c r="P460" i="4"/>
  <c r="O460" i="4"/>
  <c r="N460" i="4"/>
  <c r="M460" i="4"/>
  <c r="L460" i="4"/>
  <c r="K460" i="4"/>
  <c r="J460" i="4"/>
  <c r="P459" i="4"/>
  <c r="O459" i="4"/>
  <c r="N459" i="4"/>
  <c r="M459" i="4"/>
  <c r="L459" i="4"/>
  <c r="K459" i="4"/>
  <c r="J459" i="4"/>
  <c r="P458" i="4"/>
  <c r="O458" i="4"/>
  <c r="N458" i="4"/>
  <c r="M458" i="4"/>
  <c r="L458" i="4"/>
  <c r="K458" i="4"/>
  <c r="J458" i="4"/>
  <c r="P457" i="4"/>
  <c r="O457" i="4"/>
  <c r="N457" i="4"/>
  <c r="M457" i="4"/>
  <c r="L457" i="4"/>
  <c r="K457" i="4"/>
  <c r="J457" i="4"/>
  <c r="P456" i="4"/>
  <c r="O456" i="4"/>
  <c r="N456" i="4"/>
  <c r="M456" i="4"/>
  <c r="L456" i="4"/>
  <c r="K456" i="4"/>
  <c r="J456" i="4"/>
  <c r="P455" i="4"/>
  <c r="O455" i="4"/>
  <c r="N455" i="4"/>
  <c r="M455" i="4"/>
  <c r="L455" i="4"/>
  <c r="K455" i="4"/>
  <c r="J455" i="4"/>
  <c r="P454" i="4"/>
  <c r="O454" i="4"/>
  <c r="N454" i="4"/>
  <c r="M454" i="4"/>
  <c r="L454" i="4"/>
  <c r="K454" i="4"/>
  <c r="J454" i="4"/>
  <c r="P453" i="4"/>
  <c r="O453" i="4"/>
  <c r="N453" i="4"/>
  <c r="M453" i="4"/>
  <c r="L453" i="4"/>
  <c r="K453" i="4"/>
  <c r="J453" i="4"/>
  <c r="P452" i="4"/>
  <c r="O452" i="4"/>
  <c r="N452" i="4"/>
  <c r="M452" i="4"/>
  <c r="L452" i="4"/>
  <c r="K452" i="4"/>
  <c r="J452" i="4"/>
  <c r="P451" i="4"/>
  <c r="O451" i="4"/>
  <c r="N451" i="4"/>
  <c r="M451" i="4"/>
  <c r="L451" i="4"/>
  <c r="K451" i="4"/>
  <c r="J451" i="4"/>
  <c r="P450" i="4"/>
  <c r="O450" i="4"/>
  <c r="N450" i="4"/>
  <c r="M450" i="4"/>
  <c r="L450" i="4"/>
  <c r="K450" i="4"/>
  <c r="J450" i="4"/>
  <c r="P449" i="4"/>
  <c r="O449" i="4"/>
  <c r="N449" i="4"/>
  <c r="M449" i="4"/>
  <c r="L449" i="4"/>
  <c r="K449" i="4"/>
  <c r="J449" i="4"/>
  <c r="P448" i="4"/>
  <c r="O448" i="4"/>
  <c r="N448" i="4"/>
  <c r="M448" i="4"/>
  <c r="L448" i="4"/>
  <c r="K448" i="4"/>
  <c r="J448" i="4"/>
  <c r="P447" i="4"/>
  <c r="O447" i="4"/>
  <c r="N447" i="4"/>
  <c r="M447" i="4"/>
  <c r="L447" i="4"/>
  <c r="K447" i="4"/>
  <c r="J447" i="4"/>
  <c r="P446" i="4"/>
  <c r="O446" i="4"/>
  <c r="N446" i="4"/>
  <c r="M446" i="4"/>
  <c r="L446" i="4"/>
  <c r="K446" i="4"/>
  <c r="J446" i="4"/>
  <c r="P445" i="4"/>
  <c r="O445" i="4"/>
  <c r="N445" i="4"/>
  <c r="M445" i="4"/>
  <c r="L445" i="4"/>
  <c r="K445" i="4"/>
  <c r="J445" i="4"/>
  <c r="P444" i="4"/>
  <c r="O444" i="4"/>
  <c r="N444" i="4"/>
  <c r="M444" i="4"/>
  <c r="L444" i="4"/>
  <c r="K444" i="4"/>
  <c r="J444" i="4"/>
  <c r="P443" i="4"/>
  <c r="O443" i="4"/>
  <c r="N443" i="4"/>
  <c r="M443" i="4"/>
  <c r="L443" i="4"/>
  <c r="K443" i="4"/>
  <c r="J443" i="4"/>
  <c r="P442" i="4"/>
  <c r="O442" i="4"/>
  <c r="N442" i="4"/>
  <c r="M442" i="4"/>
  <c r="L442" i="4"/>
  <c r="K442" i="4"/>
  <c r="J442" i="4"/>
  <c r="P441" i="4"/>
  <c r="O441" i="4"/>
  <c r="N441" i="4"/>
  <c r="M441" i="4"/>
  <c r="L441" i="4"/>
  <c r="K441" i="4"/>
  <c r="J441" i="4"/>
  <c r="P440" i="4"/>
  <c r="O440" i="4"/>
  <c r="N440" i="4"/>
  <c r="M440" i="4"/>
  <c r="L440" i="4"/>
  <c r="K440" i="4"/>
  <c r="J440" i="4"/>
  <c r="P439" i="4"/>
  <c r="O439" i="4"/>
  <c r="N439" i="4"/>
  <c r="M439" i="4"/>
  <c r="L439" i="4"/>
  <c r="K439" i="4"/>
  <c r="J439" i="4"/>
  <c r="P438" i="4"/>
  <c r="O438" i="4"/>
  <c r="N438" i="4"/>
  <c r="M438" i="4"/>
  <c r="L438" i="4"/>
  <c r="K438" i="4"/>
  <c r="J438" i="4"/>
  <c r="P437" i="4"/>
  <c r="O437" i="4"/>
  <c r="N437" i="4"/>
  <c r="M437" i="4"/>
  <c r="L437" i="4"/>
  <c r="K437" i="4"/>
  <c r="J437" i="4"/>
  <c r="P436" i="4"/>
  <c r="O436" i="4"/>
  <c r="N436" i="4"/>
  <c r="M436" i="4"/>
  <c r="L436" i="4"/>
  <c r="K436" i="4"/>
  <c r="J436" i="4"/>
  <c r="P435" i="4"/>
  <c r="O435" i="4"/>
  <c r="N435" i="4"/>
  <c r="M435" i="4"/>
  <c r="L435" i="4"/>
  <c r="K435" i="4"/>
  <c r="J435" i="4"/>
  <c r="P434" i="4"/>
  <c r="O434" i="4"/>
  <c r="N434" i="4"/>
  <c r="M434" i="4"/>
  <c r="L434" i="4"/>
  <c r="K434" i="4"/>
  <c r="J434" i="4"/>
  <c r="P433" i="4"/>
  <c r="O433" i="4"/>
  <c r="N433" i="4"/>
  <c r="M433" i="4"/>
  <c r="L433" i="4"/>
  <c r="K433" i="4"/>
  <c r="J433" i="4"/>
  <c r="P432" i="4"/>
  <c r="O432" i="4"/>
  <c r="N432" i="4"/>
  <c r="M432" i="4"/>
  <c r="L432" i="4"/>
  <c r="K432" i="4"/>
  <c r="J432" i="4"/>
  <c r="P431" i="4"/>
  <c r="O431" i="4"/>
  <c r="N431" i="4"/>
  <c r="M431" i="4"/>
  <c r="L431" i="4"/>
  <c r="K431" i="4"/>
  <c r="J431" i="4"/>
  <c r="P430" i="4"/>
  <c r="O430" i="4"/>
  <c r="N430" i="4"/>
  <c r="M430" i="4"/>
  <c r="L430" i="4"/>
  <c r="K430" i="4"/>
  <c r="J430" i="4"/>
  <c r="P429" i="4"/>
  <c r="O429" i="4"/>
  <c r="N429" i="4"/>
  <c r="M429" i="4"/>
  <c r="L429" i="4"/>
  <c r="K429" i="4"/>
  <c r="J429" i="4"/>
  <c r="P428" i="4"/>
  <c r="O428" i="4"/>
  <c r="N428" i="4"/>
  <c r="M428" i="4"/>
  <c r="L428" i="4"/>
  <c r="K428" i="4"/>
  <c r="J428" i="4"/>
  <c r="P427" i="4"/>
  <c r="O427" i="4"/>
  <c r="N427" i="4"/>
  <c r="M427" i="4"/>
  <c r="L427" i="4"/>
  <c r="K427" i="4"/>
  <c r="J427" i="4"/>
  <c r="P426" i="4"/>
  <c r="O426" i="4"/>
  <c r="N426" i="4"/>
  <c r="M426" i="4"/>
  <c r="L426" i="4"/>
  <c r="K426" i="4"/>
  <c r="J426" i="4"/>
  <c r="P425" i="4"/>
  <c r="O425" i="4"/>
  <c r="N425" i="4"/>
  <c r="M425" i="4"/>
  <c r="L425" i="4"/>
  <c r="K425" i="4"/>
  <c r="J425" i="4"/>
  <c r="P424" i="4"/>
  <c r="O424" i="4"/>
  <c r="N424" i="4"/>
  <c r="M424" i="4"/>
  <c r="L424" i="4"/>
  <c r="K424" i="4"/>
  <c r="J424" i="4"/>
  <c r="P423" i="4"/>
  <c r="O423" i="4"/>
  <c r="N423" i="4"/>
  <c r="M423" i="4"/>
  <c r="L423" i="4"/>
  <c r="K423" i="4"/>
  <c r="J423" i="4"/>
  <c r="P422" i="4"/>
  <c r="O422" i="4"/>
  <c r="N422" i="4"/>
  <c r="M422" i="4"/>
  <c r="L422" i="4"/>
  <c r="K422" i="4"/>
  <c r="J422" i="4"/>
  <c r="P421" i="4"/>
  <c r="O421" i="4"/>
  <c r="N421" i="4"/>
  <c r="M421" i="4"/>
  <c r="L421" i="4"/>
  <c r="K421" i="4"/>
  <c r="J421" i="4"/>
  <c r="P420" i="4"/>
  <c r="O420" i="4"/>
  <c r="N420" i="4"/>
  <c r="M420" i="4"/>
  <c r="L420" i="4"/>
  <c r="K420" i="4"/>
  <c r="J420" i="4"/>
  <c r="P419" i="4"/>
  <c r="O419" i="4"/>
  <c r="N419" i="4"/>
  <c r="M419" i="4"/>
  <c r="L419" i="4"/>
  <c r="K419" i="4"/>
  <c r="J419" i="4"/>
  <c r="P418" i="4"/>
  <c r="O418" i="4"/>
  <c r="N418" i="4"/>
  <c r="M418" i="4"/>
  <c r="L418" i="4"/>
  <c r="K418" i="4"/>
  <c r="J418" i="4"/>
  <c r="P417" i="4"/>
  <c r="O417" i="4"/>
  <c r="N417" i="4"/>
  <c r="M417" i="4"/>
  <c r="L417" i="4"/>
  <c r="K417" i="4"/>
  <c r="J417" i="4"/>
  <c r="P416" i="4"/>
  <c r="O416" i="4"/>
  <c r="N416" i="4"/>
  <c r="M416" i="4"/>
  <c r="L416" i="4"/>
  <c r="K416" i="4"/>
  <c r="J416" i="4"/>
  <c r="P415" i="4"/>
  <c r="O415" i="4"/>
  <c r="N415" i="4"/>
  <c r="M415" i="4"/>
  <c r="L415" i="4"/>
  <c r="K415" i="4"/>
  <c r="J415" i="4"/>
  <c r="P414" i="4"/>
  <c r="O414" i="4"/>
  <c r="N414" i="4"/>
  <c r="M414" i="4"/>
  <c r="L414" i="4"/>
  <c r="K414" i="4"/>
  <c r="J414" i="4"/>
  <c r="P413" i="4"/>
  <c r="O413" i="4"/>
  <c r="N413" i="4"/>
  <c r="M413" i="4"/>
  <c r="L413" i="4"/>
  <c r="K413" i="4"/>
  <c r="J413" i="4"/>
  <c r="P412" i="4"/>
  <c r="O412" i="4"/>
  <c r="N412" i="4"/>
  <c r="M412" i="4"/>
  <c r="L412" i="4"/>
  <c r="K412" i="4"/>
  <c r="J412" i="4"/>
  <c r="P411" i="4"/>
  <c r="O411" i="4"/>
  <c r="N411" i="4"/>
  <c r="M411" i="4"/>
  <c r="L411" i="4"/>
  <c r="K411" i="4"/>
  <c r="J411" i="4"/>
  <c r="P410" i="4"/>
  <c r="O410" i="4"/>
  <c r="N410" i="4"/>
  <c r="M410" i="4"/>
  <c r="L410" i="4"/>
  <c r="K410" i="4"/>
  <c r="J410" i="4"/>
  <c r="P409" i="4"/>
  <c r="O409" i="4"/>
  <c r="N409" i="4"/>
  <c r="M409" i="4"/>
  <c r="L409" i="4"/>
  <c r="K409" i="4"/>
  <c r="J409" i="4"/>
  <c r="P408" i="4"/>
  <c r="O408" i="4"/>
  <c r="N408" i="4"/>
  <c r="M408" i="4"/>
  <c r="L408" i="4"/>
  <c r="K408" i="4"/>
  <c r="J408" i="4"/>
  <c r="P407" i="4"/>
  <c r="O407" i="4"/>
  <c r="N407" i="4"/>
  <c r="M407" i="4"/>
  <c r="L407" i="4"/>
  <c r="K407" i="4"/>
  <c r="J407" i="4"/>
  <c r="P406" i="4"/>
  <c r="O406" i="4"/>
  <c r="N406" i="4"/>
  <c r="M406" i="4"/>
  <c r="L406" i="4"/>
  <c r="K406" i="4"/>
  <c r="J406" i="4"/>
  <c r="P405" i="4"/>
  <c r="O405" i="4"/>
  <c r="N405" i="4"/>
  <c r="M405" i="4"/>
  <c r="L405" i="4"/>
  <c r="K405" i="4"/>
  <c r="J405" i="4"/>
  <c r="P404" i="4"/>
  <c r="O404" i="4"/>
  <c r="N404" i="4"/>
  <c r="M404" i="4"/>
  <c r="L404" i="4"/>
  <c r="K404" i="4"/>
  <c r="J404" i="4"/>
  <c r="P403" i="4"/>
  <c r="O403" i="4"/>
  <c r="N403" i="4"/>
  <c r="M403" i="4"/>
  <c r="L403" i="4"/>
  <c r="K403" i="4"/>
  <c r="J403" i="4"/>
  <c r="P402" i="4"/>
  <c r="O402" i="4"/>
  <c r="N402" i="4"/>
  <c r="M402" i="4"/>
  <c r="L402" i="4"/>
  <c r="K402" i="4"/>
  <c r="J402" i="4"/>
  <c r="P401" i="4"/>
  <c r="O401" i="4"/>
  <c r="N401" i="4"/>
  <c r="M401" i="4"/>
  <c r="L401" i="4"/>
  <c r="K401" i="4"/>
  <c r="J401" i="4"/>
  <c r="P400" i="4"/>
  <c r="O400" i="4"/>
  <c r="N400" i="4"/>
  <c r="M400" i="4"/>
  <c r="L400" i="4"/>
  <c r="K400" i="4"/>
  <c r="J400" i="4"/>
  <c r="P399" i="4"/>
  <c r="O399" i="4"/>
  <c r="N399" i="4"/>
  <c r="M399" i="4"/>
  <c r="L399" i="4"/>
  <c r="K399" i="4"/>
  <c r="J399" i="4"/>
  <c r="P398" i="4"/>
  <c r="O398" i="4"/>
  <c r="N398" i="4"/>
  <c r="M398" i="4"/>
  <c r="L398" i="4"/>
  <c r="K398" i="4"/>
  <c r="J398" i="4"/>
  <c r="P397" i="4"/>
  <c r="O397" i="4"/>
  <c r="N397" i="4"/>
  <c r="M397" i="4"/>
  <c r="L397" i="4"/>
  <c r="K397" i="4"/>
  <c r="J397" i="4"/>
  <c r="P396" i="4"/>
  <c r="O396" i="4"/>
  <c r="N396" i="4"/>
  <c r="M396" i="4"/>
  <c r="L396" i="4"/>
  <c r="K396" i="4"/>
  <c r="J396" i="4"/>
  <c r="P395" i="4"/>
  <c r="O395" i="4"/>
  <c r="N395" i="4"/>
  <c r="M395" i="4"/>
  <c r="L395" i="4"/>
  <c r="K395" i="4"/>
  <c r="J395" i="4"/>
  <c r="P394" i="4"/>
  <c r="O394" i="4"/>
  <c r="N394" i="4"/>
  <c r="M394" i="4"/>
  <c r="L394" i="4"/>
  <c r="K394" i="4"/>
  <c r="J394" i="4"/>
  <c r="P393" i="4"/>
  <c r="O393" i="4"/>
  <c r="N393" i="4"/>
  <c r="M393" i="4"/>
  <c r="L393" i="4"/>
  <c r="K393" i="4"/>
  <c r="J393" i="4"/>
  <c r="P392" i="4"/>
  <c r="O392" i="4"/>
  <c r="N392" i="4"/>
  <c r="M392" i="4"/>
  <c r="L392" i="4"/>
  <c r="K392" i="4"/>
  <c r="J392" i="4"/>
  <c r="P391" i="4"/>
  <c r="O391" i="4"/>
  <c r="N391" i="4"/>
  <c r="M391" i="4"/>
  <c r="L391" i="4"/>
  <c r="K391" i="4"/>
  <c r="J391" i="4"/>
  <c r="P390" i="4"/>
  <c r="O390" i="4"/>
  <c r="N390" i="4"/>
  <c r="M390" i="4"/>
  <c r="L390" i="4"/>
  <c r="K390" i="4"/>
  <c r="J390" i="4"/>
  <c r="P389" i="4"/>
  <c r="O389" i="4"/>
  <c r="N389" i="4"/>
  <c r="M389" i="4"/>
  <c r="L389" i="4"/>
  <c r="K389" i="4"/>
  <c r="J389" i="4"/>
  <c r="P388" i="4"/>
  <c r="O388" i="4"/>
  <c r="N388" i="4"/>
  <c r="M388" i="4"/>
  <c r="L388" i="4"/>
  <c r="K388" i="4"/>
  <c r="J388" i="4"/>
  <c r="P387" i="4"/>
  <c r="O387" i="4"/>
  <c r="N387" i="4"/>
  <c r="M387" i="4"/>
  <c r="L387" i="4"/>
  <c r="K387" i="4"/>
  <c r="J387" i="4"/>
  <c r="P386" i="4"/>
  <c r="O386" i="4"/>
  <c r="N386" i="4"/>
  <c r="M386" i="4"/>
  <c r="L386" i="4"/>
  <c r="K386" i="4"/>
  <c r="J386" i="4"/>
  <c r="P385" i="4"/>
  <c r="O385" i="4"/>
  <c r="N385" i="4"/>
  <c r="M385" i="4"/>
  <c r="L385" i="4"/>
  <c r="K385" i="4"/>
  <c r="J385" i="4"/>
  <c r="P384" i="4"/>
  <c r="O384" i="4"/>
  <c r="N384" i="4"/>
  <c r="M384" i="4"/>
  <c r="L384" i="4"/>
  <c r="K384" i="4"/>
  <c r="J384" i="4"/>
  <c r="P383" i="4"/>
  <c r="O383" i="4"/>
  <c r="N383" i="4"/>
  <c r="M383" i="4"/>
  <c r="L383" i="4"/>
  <c r="K383" i="4"/>
  <c r="J383" i="4"/>
  <c r="P382" i="4"/>
  <c r="O382" i="4"/>
  <c r="N382" i="4"/>
  <c r="M382" i="4"/>
  <c r="L382" i="4"/>
  <c r="K382" i="4"/>
  <c r="J382" i="4"/>
  <c r="P381" i="4"/>
  <c r="O381" i="4"/>
  <c r="N381" i="4"/>
  <c r="M381" i="4"/>
  <c r="L381" i="4"/>
  <c r="K381" i="4"/>
  <c r="J381" i="4"/>
  <c r="P380" i="4"/>
  <c r="O380" i="4"/>
  <c r="N380" i="4"/>
  <c r="M380" i="4"/>
  <c r="L380" i="4"/>
  <c r="K380" i="4"/>
  <c r="J380" i="4"/>
  <c r="P379" i="4"/>
  <c r="O379" i="4"/>
  <c r="N379" i="4"/>
  <c r="M379" i="4"/>
  <c r="L379" i="4"/>
  <c r="K379" i="4"/>
  <c r="J379" i="4"/>
  <c r="P378" i="4"/>
  <c r="O378" i="4"/>
  <c r="N378" i="4"/>
  <c r="M378" i="4"/>
  <c r="L378" i="4"/>
  <c r="K378" i="4"/>
  <c r="J378" i="4"/>
  <c r="P377" i="4"/>
  <c r="O377" i="4"/>
  <c r="N377" i="4"/>
  <c r="M377" i="4"/>
  <c r="L377" i="4"/>
  <c r="K377" i="4"/>
  <c r="J377" i="4"/>
  <c r="P376" i="4"/>
  <c r="O376" i="4"/>
  <c r="N376" i="4"/>
  <c r="M376" i="4"/>
  <c r="L376" i="4"/>
  <c r="K376" i="4"/>
  <c r="J376" i="4"/>
  <c r="P375" i="4"/>
  <c r="O375" i="4"/>
  <c r="N375" i="4"/>
  <c r="M375" i="4"/>
  <c r="L375" i="4"/>
  <c r="K375" i="4"/>
  <c r="J375" i="4"/>
  <c r="P374" i="4"/>
  <c r="O374" i="4"/>
  <c r="N374" i="4"/>
  <c r="M374" i="4"/>
  <c r="L374" i="4"/>
  <c r="K374" i="4"/>
  <c r="J374" i="4"/>
  <c r="P373" i="4"/>
  <c r="O373" i="4"/>
  <c r="N373" i="4"/>
  <c r="M373" i="4"/>
  <c r="L373" i="4"/>
  <c r="K373" i="4"/>
  <c r="J373" i="4"/>
  <c r="P372" i="4"/>
  <c r="O372" i="4"/>
  <c r="N372" i="4"/>
  <c r="M372" i="4"/>
  <c r="L372" i="4"/>
  <c r="K372" i="4"/>
  <c r="J372" i="4"/>
  <c r="P371" i="4"/>
  <c r="O371" i="4"/>
  <c r="N371" i="4"/>
  <c r="M371" i="4"/>
  <c r="L371" i="4"/>
  <c r="K371" i="4"/>
  <c r="J371" i="4"/>
  <c r="P370" i="4"/>
  <c r="O370" i="4"/>
  <c r="N370" i="4"/>
  <c r="M370" i="4"/>
  <c r="L370" i="4"/>
  <c r="K370" i="4"/>
  <c r="J370" i="4"/>
  <c r="P369" i="4"/>
  <c r="O369" i="4"/>
  <c r="N369" i="4"/>
  <c r="M369" i="4"/>
  <c r="L369" i="4"/>
  <c r="K369" i="4"/>
  <c r="J369" i="4"/>
  <c r="P368" i="4"/>
  <c r="O368" i="4"/>
  <c r="N368" i="4"/>
  <c r="M368" i="4"/>
  <c r="L368" i="4"/>
  <c r="K368" i="4"/>
  <c r="J368" i="4"/>
  <c r="P367" i="4"/>
  <c r="O367" i="4"/>
  <c r="N367" i="4"/>
  <c r="M367" i="4"/>
  <c r="L367" i="4"/>
  <c r="K367" i="4"/>
  <c r="J367" i="4"/>
  <c r="P366" i="4"/>
  <c r="O366" i="4"/>
  <c r="N366" i="4"/>
  <c r="M366" i="4"/>
  <c r="L366" i="4"/>
  <c r="K366" i="4"/>
  <c r="J366" i="4"/>
  <c r="P365" i="4"/>
  <c r="O365" i="4"/>
  <c r="N365" i="4"/>
  <c r="M365" i="4"/>
  <c r="L365" i="4"/>
  <c r="K365" i="4"/>
  <c r="J365" i="4"/>
  <c r="P364" i="4"/>
  <c r="O364" i="4"/>
  <c r="N364" i="4"/>
  <c r="M364" i="4"/>
  <c r="L364" i="4"/>
  <c r="K364" i="4"/>
  <c r="J364" i="4"/>
  <c r="P363" i="4"/>
  <c r="O363" i="4"/>
  <c r="N363" i="4"/>
  <c r="M363" i="4"/>
  <c r="L363" i="4"/>
  <c r="K363" i="4"/>
  <c r="J363" i="4"/>
  <c r="P362" i="4"/>
  <c r="O362" i="4"/>
  <c r="N362" i="4"/>
  <c r="M362" i="4"/>
  <c r="L362" i="4"/>
  <c r="K362" i="4"/>
  <c r="J362" i="4"/>
  <c r="P361" i="4"/>
  <c r="O361" i="4"/>
  <c r="N361" i="4"/>
  <c r="M361" i="4"/>
  <c r="L361" i="4"/>
  <c r="K361" i="4"/>
  <c r="J361" i="4"/>
  <c r="P360" i="4"/>
  <c r="O360" i="4"/>
  <c r="N360" i="4"/>
  <c r="M360" i="4"/>
  <c r="L360" i="4"/>
  <c r="K360" i="4"/>
  <c r="J360" i="4"/>
  <c r="P359" i="4"/>
  <c r="O359" i="4"/>
  <c r="N359" i="4"/>
  <c r="M359" i="4"/>
  <c r="L359" i="4"/>
  <c r="K359" i="4"/>
  <c r="J359" i="4"/>
  <c r="P358" i="4"/>
  <c r="O358" i="4"/>
  <c r="N358" i="4"/>
  <c r="M358" i="4"/>
  <c r="L358" i="4"/>
  <c r="K358" i="4"/>
  <c r="J358" i="4"/>
  <c r="P357" i="4"/>
  <c r="O357" i="4"/>
  <c r="N357" i="4"/>
  <c r="M357" i="4"/>
  <c r="L357" i="4"/>
  <c r="K357" i="4"/>
  <c r="J357" i="4"/>
  <c r="P356" i="4"/>
  <c r="O356" i="4"/>
  <c r="N356" i="4"/>
  <c r="M356" i="4"/>
  <c r="L356" i="4"/>
  <c r="K356" i="4"/>
  <c r="J356" i="4"/>
  <c r="P355" i="4"/>
  <c r="O355" i="4"/>
  <c r="N355" i="4"/>
  <c r="M355" i="4"/>
  <c r="L355" i="4"/>
  <c r="K355" i="4"/>
  <c r="J355" i="4"/>
  <c r="P354" i="4"/>
  <c r="O354" i="4"/>
  <c r="N354" i="4"/>
  <c r="M354" i="4"/>
  <c r="L354" i="4"/>
  <c r="K354" i="4"/>
  <c r="J354" i="4"/>
  <c r="P353" i="4"/>
  <c r="O353" i="4"/>
  <c r="N353" i="4"/>
  <c r="M353" i="4"/>
  <c r="L353" i="4"/>
  <c r="K353" i="4"/>
  <c r="J353" i="4"/>
  <c r="P352" i="4"/>
  <c r="O352" i="4"/>
  <c r="N352" i="4"/>
  <c r="M352" i="4"/>
  <c r="L352" i="4"/>
  <c r="K352" i="4"/>
  <c r="J352" i="4"/>
  <c r="P351" i="4"/>
  <c r="O351" i="4"/>
  <c r="N351" i="4"/>
  <c r="M351" i="4"/>
  <c r="L351" i="4"/>
  <c r="K351" i="4"/>
  <c r="J351" i="4"/>
  <c r="P350" i="4"/>
  <c r="O350" i="4"/>
  <c r="N350" i="4"/>
  <c r="M350" i="4"/>
  <c r="L350" i="4"/>
  <c r="K350" i="4"/>
  <c r="J350" i="4"/>
  <c r="P349" i="4"/>
  <c r="O349" i="4"/>
  <c r="N349" i="4"/>
  <c r="M349" i="4"/>
  <c r="L349" i="4"/>
  <c r="K349" i="4"/>
  <c r="J349" i="4"/>
  <c r="P348" i="4"/>
  <c r="O348" i="4"/>
  <c r="N348" i="4"/>
  <c r="M348" i="4"/>
  <c r="L348" i="4"/>
  <c r="K348" i="4"/>
  <c r="J348" i="4"/>
  <c r="P347" i="4"/>
  <c r="O347" i="4"/>
  <c r="N347" i="4"/>
  <c r="M347" i="4"/>
  <c r="L347" i="4"/>
  <c r="K347" i="4"/>
  <c r="J347" i="4"/>
  <c r="P346" i="4"/>
  <c r="O346" i="4"/>
  <c r="N346" i="4"/>
  <c r="M346" i="4"/>
  <c r="L346" i="4"/>
  <c r="K346" i="4"/>
  <c r="J346" i="4"/>
  <c r="P345" i="4"/>
  <c r="O345" i="4"/>
  <c r="N345" i="4"/>
  <c r="M345" i="4"/>
  <c r="L345" i="4"/>
  <c r="K345" i="4"/>
  <c r="J345" i="4"/>
  <c r="P344" i="4"/>
  <c r="O344" i="4"/>
  <c r="N344" i="4"/>
  <c r="M344" i="4"/>
  <c r="L344" i="4"/>
  <c r="K344" i="4"/>
  <c r="J344" i="4"/>
  <c r="P343" i="4"/>
  <c r="O343" i="4"/>
  <c r="N343" i="4"/>
  <c r="M343" i="4"/>
  <c r="L343" i="4"/>
  <c r="K343" i="4"/>
  <c r="J343" i="4"/>
  <c r="P342" i="4"/>
  <c r="O342" i="4"/>
  <c r="N342" i="4"/>
  <c r="M342" i="4"/>
  <c r="L342" i="4"/>
  <c r="K342" i="4"/>
  <c r="J342" i="4"/>
  <c r="P341" i="4"/>
  <c r="O341" i="4"/>
  <c r="N341" i="4"/>
  <c r="M341" i="4"/>
  <c r="L341" i="4"/>
  <c r="K341" i="4"/>
  <c r="J341" i="4"/>
  <c r="P340" i="4"/>
  <c r="O340" i="4"/>
  <c r="N340" i="4"/>
  <c r="M340" i="4"/>
  <c r="L340" i="4"/>
  <c r="K340" i="4"/>
  <c r="J340" i="4"/>
  <c r="P339" i="4"/>
  <c r="O339" i="4"/>
  <c r="N339" i="4"/>
  <c r="M339" i="4"/>
  <c r="L339" i="4"/>
  <c r="K339" i="4"/>
  <c r="J339" i="4"/>
  <c r="P338" i="4"/>
  <c r="O338" i="4"/>
  <c r="N338" i="4"/>
  <c r="M338" i="4"/>
  <c r="L338" i="4"/>
  <c r="K338" i="4"/>
  <c r="J338" i="4"/>
  <c r="P337" i="4"/>
  <c r="O337" i="4"/>
  <c r="N337" i="4"/>
  <c r="M337" i="4"/>
  <c r="L337" i="4"/>
  <c r="K337" i="4"/>
  <c r="J337" i="4"/>
  <c r="P336" i="4"/>
  <c r="O336" i="4"/>
  <c r="N336" i="4"/>
  <c r="M336" i="4"/>
  <c r="L336" i="4"/>
  <c r="K336" i="4"/>
  <c r="J336" i="4"/>
  <c r="P335" i="4"/>
  <c r="O335" i="4"/>
  <c r="N335" i="4"/>
  <c r="M335" i="4"/>
  <c r="L335" i="4"/>
  <c r="K335" i="4"/>
  <c r="J335" i="4"/>
  <c r="P334" i="4"/>
  <c r="O334" i="4"/>
  <c r="N334" i="4"/>
  <c r="M334" i="4"/>
  <c r="L334" i="4"/>
  <c r="K334" i="4"/>
  <c r="J334" i="4"/>
  <c r="P333" i="4"/>
  <c r="O333" i="4"/>
  <c r="N333" i="4"/>
  <c r="M333" i="4"/>
  <c r="L333" i="4"/>
  <c r="K333" i="4"/>
  <c r="J333" i="4"/>
  <c r="P332" i="4"/>
  <c r="O332" i="4"/>
  <c r="N332" i="4"/>
  <c r="M332" i="4"/>
  <c r="L332" i="4"/>
  <c r="K332" i="4"/>
  <c r="J332" i="4"/>
  <c r="P331" i="4"/>
  <c r="O331" i="4"/>
  <c r="N331" i="4"/>
  <c r="M331" i="4"/>
  <c r="L331" i="4"/>
  <c r="K331" i="4"/>
  <c r="J331" i="4"/>
  <c r="P330" i="4"/>
  <c r="O330" i="4"/>
  <c r="N330" i="4"/>
  <c r="M330" i="4"/>
  <c r="L330" i="4"/>
  <c r="K330" i="4"/>
  <c r="J330" i="4"/>
  <c r="P329" i="4"/>
  <c r="O329" i="4"/>
  <c r="N329" i="4"/>
  <c r="M329" i="4"/>
  <c r="L329" i="4"/>
  <c r="K329" i="4"/>
  <c r="J329" i="4"/>
  <c r="P328" i="4"/>
  <c r="O328" i="4"/>
  <c r="N328" i="4"/>
  <c r="M328" i="4"/>
  <c r="L328" i="4"/>
  <c r="K328" i="4"/>
  <c r="J328" i="4"/>
  <c r="P327" i="4"/>
  <c r="O327" i="4"/>
  <c r="N327" i="4"/>
  <c r="M327" i="4"/>
  <c r="L327" i="4"/>
  <c r="K327" i="4"/>
  <c r="J327" i="4"/>
  <c r="P326" i="4"/>
  <c r="O326" i="4"/>
  <c r="N326" i="4"/>
  <c r="M326" i="4"/>
  <c r="L326" i="4"/>
  <c r="K326" i="4"/>
  <c r="J326" i="4"/>
  <c r="P325" i="4"/>
  <c r="O325" i="4"/>
  <c r="N325" i="4"/>
  <c r="M325" i="4"/>
  <c r="L325" i="4"/>
  <c r="K325" i="4"/>
  <c r="J325" i="4"/>
  <c r="P324" i="4"/>
  <c r="O324" i="4"/>
  <c r="N324" i="4"/>
  <c r="M324" i="4"/>
  <c r="L324" i="4"/>
  <c r="K324" i="4"/>
  <c r="J324" i="4"/>
  <c r="P323" i="4"/>
  <c r="O323" i="4"/>
  <c r="N323" i="4"/>
  <c r="M323" i="4"/>
  <c r="L323" i="4"/>
  <c r="K323" i="4"/>
  <c r="J323" i="4"/>
  <c r="P322" i="4"/>
  <c r="O322" i="4"/>
  <c r="N322" i="4"/>
  <c r="M322" i="4"/>
  <c r="L322" i="4"/>
  <c r="K322" i="4"/>
  <c r="J322" i="4"/>
  <c r="P321" i="4"/>
  <c r="O321" i="4"/>
  <c r="N321" i="4"/>
  <c r="M321" i="4"/>
  <c r="L321" i="4"/>
  <c r="K321" i="4"/>
  <c r="J321" i="4"/>
  <c r="P320" i="4"/>
  <c r="O320" i="4"/>
  <c r="N320" i="4"/>
  <c r="M320" i="4"/>
  <c r="L320" i="4"/>
  <c r="K320" i="4"/>
  <c r="J320" i="4"/>
  <c r="P319" i="4"/>
  <c r="O319" i="4"/>
  <c r="N319" i="4"/>
  <c r="M319" i="4"/>
  <c r="L319" i="4"/>
  <c r="K319" i="4"/>
  <c r="J319" i="4"/>
  <c r="P318" i="4"/>
  <c r="O318" i="4"/>
  <c r="N318" i="4"/>
  <c r="M318" i="4"/>
  <c r="L318" i="4"/>
  <c r="K318" i="4"/>
  <c r="J318" i="4"/>
  <c r="P317" i="4"/>
  <c r="O317" i="4"/>
  <c r="N317" i="4"/>
  <c r="M317" i="4"/>
  <c r="L317" i="4"/>
  <c r="K317" i="4"/>
  <c r="J317" i="4"/>
  <c r="P316" i="4"/>
  <c r="O316" i="4"/>
  <c r="N316" i="4"/>
  <c r="M316" i="4"/>
  <c r="L316" i="4"/>
  <c r="K316" i="4"/>
  <c r="J316" i="4"/>
  <c r="P315" i="4"/>
  <c r="O315" i="4"/>
  <c r="N315" i="4"/>
  <c r="M315" i="4"/>
  <c r="L315" i="4"/>
  <c r="K315" i="4"/>
  <c r="J315" i="4"/>
  <c r="P314" i="4"/>
  <c r="O314" i="4"/>
  <c r="N314" i="4"/>
  <c r="M314" i="4"/>
  <c r="L314" i="4"/>
  <c r="K314" i="4"/>
  <c r="J314" i="4"/>
  <c r="P313" i="4"/>
  <c r="O313" i="4"/>
  <c r="N313" i="4"/>
  <c r="M313" i="4"/>
  <c r="L313" i="4"/>
  <c r="K313" i="4"/>
  <c r="J313" i="4"/>
  <c r="P312" i="4"/>
  <c r="O312" i="4"/>
  <c r="N312" i="4"/>
  <c r="M312" i="4"/>
  <c r="L312" i="4"/>
  <c r="K312" i="4"/>
  <c r="J312" i="4"/>
  <c r="P311" i="4"/>
  <c r="O311" i="4"/>
  <c r="N311" i="4"/>
  <c r="M311" i="4"/>
  <c r="L311" i="4"/>
  <c r="K311" i="4"/>
  <c r="J311" i="4"/>
  <c r="P310" i="4"/>
  <c r="O310" i="4"/>
  <c r="N310" i="4"/>
  <c r="M310" i="4"/>
  <c r="L310" i="4"/>
  <c r="K310" i="4"/>
  <c r="J310" i="4"/>
  <c r="P309" i="4"/>
  <c r="O309" i="4"/>
  <c r="N309" i="4"/>
  <c r="M309" i="4"/>
  <c r="L309" i="4"/>
  <c r="K309" i="4"/>
  <c r="J309" i="4"/>
  <c r="P308" i="4"/>
  <c r="O308" i="4"/>
  <c r="N308" i="4"/>
  <c r="M308" i="4"/>
  <c r="L308" i="4"/>
  <c r="K308" i="4"/>
  <c r="J308" i="4"/>
  <c r="P307" i="4"/>
  <c r="O307" i="4"/>
  <c r="N307" i="4"/>
  <c r="M307" i="4"/>
  <c r="L307" i="4"/>
  <c r="K307" i="4"/>
  <c r="J307" i="4"/>
  <c r="P306" i="4"/>
  <c r="O306" i="4"/>
  <c r="N306" i="4"/>
  <c r="M306" i="4"/>
  <c r="L306" i="4"/>
  <c r="K306" i="4"/>
  <c r="J306" i="4"/>
  <c r="P305" i="4"/>
  <c r="O305" i="4"/>
  <c r="N305" i="4"/>
  <c r="M305" i="4"/>
  <c r="L305" i="4"/>
  <c r="K305" i="4"/>
  <c r="J305" i="4"/>
  <c r="P304" i="4"/>
  <c r="O304" i="4"/>
  <c r="N304" i="4"/>
  <c r="M304" i="4"/>
  <c r="L304" i="4"/>
  <c r="K304" i="4"/>
  <c r="J304" i="4"/>
  <c r="P303" i="4"/>
  <c r="O303" i="4"/>
  <c r="N303" i="4"/>
  <c r="M303" i="4"/>
  <c r="L303" i="4"/>
  <c r="K303" i="4"/>
  <c r="J303" i="4"/>
  <c r="P302" i="4"/>
  <c r="O302" i="4"/>
  <c r="N302" i="4"/>
  <c r="M302" i="4"/>
  <c r="L302" i="4"/>
  <c r="K302" i="4"/>
  <c r="J302" i="4"/>
  <c r="P301" i="4"/>
  <c r="O301" i="4"/>
  <c r="N301" i="4"/>
  <c r="M301" i="4"/>
  <c r="L301" i="4"/>
  <c r="K301" i="4"/>
  <c r="J301" i="4"/>
  <c r="P300" i="4"/>
  <c r="O300" i="4"/>
  <c r="N300" i="4"/>
  <c r="M300" i="4"/>
  <c r="L300" i="4"/>
  <c r="K300" i="4"/>
  <c r="J300" i="4"/>
  <c r="P299" i="4"/>
  <c r="O299" i="4"/>
  <c r="N299" i="4"/>
  <c r="M299" i="4"/>
  <c r="L299" i="4"/>
  <c r="K299" i="4"/>
  <c r="J299" i="4"/>
  <c r="P298" i="4"/>
  <c r="O298" i="4"/>
  <c r="N298" i="4"/>
  <c r="M298" i="4"/>
  <c r="L298" i="4"/>
  <c r="K298" i="4"/>
  <c r="J298" i="4"/>
  <c r="P297" i="4"/>
  <c r="O297" i="4"/>
  <c r="N297" i="4"/>
  <c r="M297" i="4"/>
  <c r="L297" i="4"/>
  <c r="K297" i="4"/>
  <c r="J297" i="4"/>
  <c r="P296" i="4"/>
  <c r="O296" i="4"/>
  <c r="N296" i="4"/>
  <c r="M296" i="4"/>
  <c r="L296" i="4"/>
  <c r="K296" i="4"/>
  <c r="J296" i="4"/>
  <c r="P295" i="4"/>
  <c r="O295" i="4"/>
  <c r="N295" i="4"/>
  <c r="M295" i="4"/>
  <c r="L295" i="4"/>
  <c r="K295" i="4"/>
  <c r="J295" i="4"/>
  <c r="P294" i="4"/>
  <c r="O294" i="4"/>
  <c r="N294" i="4"/>
  <c r="M294" i="4"/>
  <c r="L294" i="4"/>
  <c r="K294" i="4"/>
  <c r="J294" i="4"/>
  <c r="P293" i="4"/>
  <c r="O293" i="4"/>
  <c r="N293" i="4"/>
  <c r="M293" i="4"/>
  <c r="L293" i="4"/>
  <c r="K293" i="4"/>
  <c r="J293" i="4"/>
  <c r="P292" i="4"/>
  <c r="O292" i="4"/>
  <c r="N292" i="4"/>
  <c r="M292" i="4"/>
  <c r="L292" i="4"/>
  <c r="K292" i="4"/>
  <c r="J292" i="4"/>
  <c r="P291" i="4"/>
  <c r="O291" i="4"/>
  <c r="N291" i="4"/>
  <c r="M291" i="4"/>
  <c r="L291" i="4"/>
  <c r="K291" i="4"/>
  <c r="J291" i="4"/>
  <c r="P290" i="4"/>
  <c r="O290" i="4"/>
  <c r="N290" i="4"/>
  <c r="M290" i="4"/>
  <c r="L290" i="4"/>
  <c r="K290" i="4"/>
  <c r="J290" i="4"/>
  <c r="P289" i="4"/>
  <c r="O289" i="4"/>
  <c r="N289" i="4"/>
  <c r="M289" i="4"/>
  <c r="L289" i="4"/>
  <c r="K289" i="4"/>
  <c r="J289" i="4"/>
  <c r="P288" i="4"/>
  <c r="O288" i="4"/>
  <c r="N288" i="4"/>
  <c r="M288" i="4"/>
  <c r="L288" i="4"/>
  <c r="K288" i="4"/>
  <c r="J288" i="4"/>
  <c r="P287" i="4"/>
  <c r="O287" i="4"/>
  <c r="N287" i="4"/>
  <c r="M287" i="4"/>
  <c r="L287" i="4"/>
  <c r="K287" i="4"/>
  <c r="J287" i="4"/>
  <c r="P286" i="4"/>
  <c r="O286" i="4"/>
  <c r="N286" i="4"/>
  <c r="M286" i="4"/>
  <c r="L286" i="4"/>
  <c r="K286" i="4"/>
  <c r="J286" i="4"/>
  <c r="P285" i="4"/>
  <c r="O285" i="4"/>
  <c r="N285" i="4"/>
  <c r="M285" i="4"/>
  <c r="L285" i="4"/>
  <c r="K285" i="4"/>
  <c r="J285" i="4"/>
  <c r="P284" i="4"/>
  <c r="O284" i="4"/>
  <c r="N284" i="4"/>
  <c r="M284" i="4"/>
  <c r="L284" i="4"/>
  <c r="K284" i="4"/>
  <c r="J284" i="4"/>
  <c r="P283" i="4"/>
  <c r="O283" i="4"/>
  <c r="N283" i="4"/>
  <c r="M283" i="4"/>
  <c r="L283" i="4"/>
  <c r="K283" i="4"/>
  <c r="J283" i="4"/>
  <c r="P282" i="4"/>
  <c r="O282" i="4"/>
  <c r="N282" i="4"/>
  <c r="M282" i="4"/>
  <c r="L282" i="4"/>
  <c r="K282" i="4"/>
  <c r="J282" i="4"/>
  <c r="P281" i="4"/>
  <c r="O281" i="4"/>
  <c r="N281" i="4"/>
  <c r="M281" i="4"/>
  <c r="L281" i="4"/>
  <c r="K281" i="4"/>
  <c r="J281" i="4"/>
  <c r="P280" i="4"/>
  <c r="O280" i="4"/>
  <c r="N280" i="4"/>
  <c r="M280" i="4"/>
  <c r="L280" i="4"/>
  <c r="K280" i="4"/>
  <c r="J280" i="4"/>
  <c r="P279" i="4"/>
  <c r="O279" i="4"/>
  <c r="N279" i="4"/>
  <c r="M279" i="4"/>
  <c r="L279" i="4"/>
  <c r="K279" i="4"/>
  <c r="J279" i="4"/>
  <c r="P278" i="4"/>
  <c r="O278" i="4"/>
  <c r="N278" i="4"/>
  <c r="M278" i="4"/>
  <c r="L278" i="4"/>
  <c r="K278" i="4"/>
  <c r="J278" i="4"/>
  <c r="P277" i="4"/>
  <c r="O277" i="4"/>
  <c r="N277" i="4"/>
  <c r="M277" i="4"/>
  <c r="L277" i="4"/>
  <c r="K277" i="4"/>
  <c r="J277" i="4"/>
  <c r="P276" i="4"/>
  <c r="O276" i="4"/>
  <c r="N276" i="4"/>
  <c r="M276" i="4"/>
  <c r="L276" i="4"/>
  <c r="K276" i="4"/>
  <c r="J276" i="4"/>
  <c r="P275" i="4"/>
  <c r="O275" i="4"/>
  <c r="N275" i="4"/>
  <c r="M275" i="4"/>
  <c r="L275" i="4"/>
  <c r="K275" i="4"/>
  <c r="J275" i="4"/>
  <c r="P274" i="4"/>
  <c r="O274" i="4"/>
  <c r="N274" i="4"/>
  <c r="M274" i="4"/>
  <c r="L274" i="4"/>
  <c r="K274" i="4"/>
  <c r="J274" i="4"/>
  <c r="P273" i="4"/>
  <c r="O273" i="4"/>
  <c r="N273" i="4"/>
  <c r="M273" i="4"/>
  <c r="L273" i="4"/>
  <c r="K273" i="4"/>
  <c r="J273" i="4"/>
  <c r="P272" i="4"/>
  <c r="O272" i="4"/>
  <c r="N272" i="4"/>
  <c r="M272" i="4"/>
  <c r="L272" i="4"/>
  <c r="K272" i="4"/>
  <c r="J272" i="4"/>
  <c r="P271" i="4"/>
  <c r="O271" i="4"/>
  <c r="N271" i="4"/>
  <c r="M271" i="4"/>
  <c r="L271" i="4"/>
  <c r="K271" i="4"/>
  <c r="J271" i="4"/>
  <c r="P270" i="4"/>
  <c r="O270" i="4"/>
  <c r="N270" i="4"/>
  <c r="M270" i="4"/>
  <c r="L270" i="4"/>
  <c r="K270" i="4"/>
  <c r="J270" i="4"/>
  <c r="P269" i="4"/>
  <c r="O269" i="4"/>
  <c r="N269" i="4"/>
  <c r="M269" i="4"/>
  <c r="L269" i="4"/>
  <c r="K269" i="4"/>
  <c r="J269" i="4"/>
  <c r="P268" i="4"/>
  <c r="O268" i="4"/>
  <c r="N268" i="4"/>
  <c r="M268" i="4"/>
  <c r="L268" i="4"/>
  <c r="K268" i="4"/>
  <c r="J268" i="4"/>
  <c r="P267" i="4"/>
  <c r="O267" i="4"/>
  <c r="N267" i="4"/>
  <c r="M267" i="4"/>
  <c r="L267" i="4"/>
  <c r="K267" i="4"/>
  <c r="J267" i="4"/>
  <c r="P266" i="4"/>
  <c r="O266" i="4"/>
  <c r="N266" i="4"/>
  <c r="M266" i="4"/>
  <c r="L266" i="4"/>
  <c r="K266" i="4"/>
  <c r="J266" i="4"/>
  <c r="P265" i="4"/>
  <c r="O265" i="4"/>
  <c r="N265" i="4"/>
  <c r="M265" i="4"/>
  <c r="L265" i="4"/>
  <c r="K265" i="4"/>
  <c r="J265" i="4"/>
  <c r="P264" i="4"/>
  <c r="O264" i="4"/>
  <c r="N264" i="4"/>
  <c r="M264" i="4"/>
  <c r="L264" i="4"/>
  <c r="K264" i="4"/>
  <c r="J264" i="4"/>
  <c r="P263" i="4"/>
  <c r="O263" i="4"/>
  <c r="N263" i="4"/>
  <c r="M263" i="4"/>
  <c r="L263" i="4"/>
  <c r="K263" i="4"/>
  <c r="J263" i="4"/>
  <c r="P262" i="4"/>
  <c r="O262" i="4"/>
  <c r="N262" i="4"/>
  <c r="M262" i="4"/>
  <c r="L262" i="4"/>
  <c r="K262" i="4"/>
  <c r="J262" i="4"/>
  <c r="P261" i="4"/>
  <c r="O261" i="4"/>
  <c r="N261" i="4"/>
  <c r="M261" i="4"/>
  <c r="L261" i="4"/>
  <c r="K261" i="4"/>
  <c r="J261" i="4"/>
  <c r="P260" i="4"/>
  <c r="O260" i="4"/>
  <c r="N260" i="4"/>
  <c r="M260" i="4"/>
  <c r="L260" i="4"/>
  <c r="K260" i="4"/>
  <c r="J260" i="4"/>
  <c r="P259" i="4"/>
  <c r="O259" i="4"/>
  <c r="N259" i="4"/>
  <c r="M259" i="4"/>
  <c r="L259" i="4"/>
  <c r="K259" i="4"/>
  <c r="J259" i="4"/>
  <c r="P258" i="4"/>
  <c r="O258" i="4"/>
  <c r="N258" i="4"/>
  <c r="M258" i="4"/>
  <c r="L258" i="4"/>
  <c r="K258" i="4"/>
  <c r="J258" i="4"/>
  <c r="P257" i="4"/>
  <c r="O257" i="4"/>
  <c r="N257" i="4"/>
  <c r="M257" i="4"/>
  <c r="L257" i="4"/>
  <c r="K257" i="4"/>
  <c r="J257" i="4"/>
  <c r="P256" i="4"/>
  <c r="O256" i="4"/>
  <c r="N256" i="4"/>
  <c r="M256" i="4"/>
  <c r="L256" i="4"/>
  <c r="K256" i="4"/>
  <c r="J256" i="4"/>
  <c r="P255" i="4"/>
  <c r="O255" i="4"/>
  <c r="N255" i="4"/>
  <c r="M255" i="4"/>
  <c r="L255" i="4"/>
  <c r="K255" i="4"/>
  <c r="J255" i="4"/>
  <c r="P254" i="4"/>
  <c r="O254" i="4"/>
  <c r="N254" i="4"/>
  <c r="M254" i="4"/>
  <c r="L254" i="4"/>
  <c r="K254" i="4"/>
  <c r="J254" i="4"/>
  <c r="P253" i="4"/>
  <c r="O253" i="4"/>
  <c r="N253" i="4"/>
  <c r="M253" i="4"/>
  <c r="L253" i="4"/>
  <c r="K253" i="4"/>
  <c r="J253" i="4"/>
  <c r="P252" i="4"/>
  <c r="O252" i="4"/>
  <c r="N252" i="4"/>
  <c r="M252" i="4"/>
  <c r="L252" i="4"/>
  <c r="K252" i="4"/>
  <c r="J252" i="4"/>
  <c r="P251" i="4"/>
  <c r="O251" i="4"/>
  <c r="N251" i="4"/>
  <c r="M251" i="4"/>
  <c r="L251" i="4"/>
  <c r="K251" i="4"/>
  <c r="J251" i="4"/>
  <c r="P250" i="4"/>
  <c r="O250" i="4"/>
  <c r="N250" i="4"/>
  <c r="M250" i="4"/>
  <c r="L250" i="4"/>
  <c r="K250" i="4"/>
  <c r="J250" i="4"/>
  <c r="P249" i="4"/>
  <c r="O249" i="4"/>
  <c r="N249" i="4"/>
  <c r="M249" i="4"/>
  <c r="L249" i="4"/>
  <c r="K249" i="4"/>
  <c r="J249" i="4"/>
  <c r="P248" i="4"/>
  <c r="O248" i="4"/>
  <c r="N248" i="4"/>
  <c r="M248" i="4"/>
  <c r="L248" i="4"/>
  <c r="K248" i="4"/>
  <c r="J248" i="4"/>
  <c r="P247" i="4"/>
  <c r="O247" i="4"/>
  <c r="N247" i="4"/>
  <c r="M247" i="4"/>
  <c r="L247" i="4"/>
  <c r="K247" i="4"/>
  <c r="J247" i="4"/>
  <c r="P246" i="4"/>
  <c r="O246" i="4"/>
  <c r="N246" i="4"/>
  <c r="M246" i="4"/>
  <c r="L246" i="4"/>
  <c r="K246" i="4"/>
  <c r="J246" i="4"/>
  <c r="P245" i="4"/>
  <c r="O245" i="4"/>
  <c r="N245" i="4"/>
  <c r="M245" i="4"/>
  <c r="L245" i="4"/>
  <c r="K245" i="4"/>
  <c r="J245" i="4"/>
  <c r="P244" i="4"/>
  <c r="O244" i="4"/>
  <c r="N244" i="4"/>
  <c r="M244" i="4"/>
  <c r="L244" i="4"/>
  <c r="K244" i="4"/>
  <c r="J244" i="4"/>
  <c r="P243" i="4"/>
  <c r="O243" i="4"/>
  <c r="N243" i="4"/>
  <c r="M243" i="4"/>
  <c r="L243" i="4"/>
  <c r="K243" i="4"/>
  <c r="J243" i="4"/>
  <c r="P242" i="4"/>
  <c r="O242" i="4"/>
  <c r="N242" i="4"/>
  <c r="M242" i="4"/>
  <c r="L242" i="4"/>
  <c r="K242" i="4"/>
  <c r="J242" i="4"/>
  <c r="P241" i="4"/>
  <c r="O241" i="4"/>
  <c r="N241" i="4"/>
  <c r="M241" i="4"/>
  <c r="L241" i="4"/>
  <c r="K241" i="4"/>
  <c r="J241" i="4"/>
  <c r="P240" i="4"/>
  <c r="O240" i="4"/>
  <c r="N240" i="4"/>
  <c r="M240" i="4"/>
  <c r="L240" i="4"/>
  <c r="K240" i="4"/>
  <c r="J240" i="4"/>
  <c r="P239" i="4"/>
  <c r="O239" i="4"/>
  <c r="N239" i="4"/>
  <c r="M239" i="4"/>
  <c r="L239" i="4"/>
  <c r="K239" i="4"/>
  <c r="J239" i="4"/>
  <c r="P238" i="4"/>
  <c r="O238" i="4"/>
  <c r="N238" i="4"/>
  <c r="M238" i="4"/>
  <c r="L238" i="4"/>
  <c r="K238" i="4"/>
  <c r="J238" i="4"/>
  <c r="P237" i="4"/>
  <c r="O237" i="4"/>
  <c r="N237" i="4"/>
  <c r="M237" i="4"/>
  <c r="L237" i="4"/>
  <c r="K237" i="4"/>
  <c r="J237" i="4"/>
  <c r="P236" i="4"/>
  <c r="O236" i="4"/>
  <c r="N236" i="4"/>
  <c r="M236" i="4"/>
  <c r="L236" i="4"/>
  <c r="K236" i="4"/>
  <c r="J236" i="4"/>
  <c r="P235" i="4"/>
  <c r="O235" i="4"/>
  <c r="N235" i="4"/>
  <c r="M235" i="4"/>
  <c r="L235" i="4"/>
  <c r="K235" i="4"/>
  <c r="J235" i="4"/>
  <c r="P234" i="4"/>
  <c r="O234" i="4"/>
  <c r="N234" i="4"/>
  <c r="M234" i="4"/>
  <c r="L234" i="4"/>
  <c r="K234" i="4"/>
  <c r="J234" i="4"/>
  <c r="P233" i="4"/>
  <c r="O233" i="4"/>
  <c r="N233" i="4"/>
  <c r="M233" i="4"/>
  <c r="L233" i="4"/>
  <c r="K233" i="4"/>
  <c r="J233" i="4"/>
  <c r="P232" i="4"/>
  <c r="O232" i="4"/>
  <c r="N232" i="4"/>
  <c r="M232" i="4"/>
  <c r="L232" i="4"/>
  <c r="K232" i="4"/>
  <c r="J232" i="4"/>
  <c r="P231" i="4"/>
  <c r="O231" i="4"/>
  <c r="N231" i="4"/>
  <c r="M231" i="4"/>
  <c r="L231" i="4"/>
  <c r="K231" i="4"/>
  <c r="J231" i="4"/>
  <c r="P230" i="4"/>
  <c r="O230" i="4"/>
  <c r="N230" i="4"/>
  <c r="M230" i="4"/>
  <c r="L230" i="4"/>
  <c r="K230" i="4"/>
  <c r="J230" i="4"/>
  <c r="P229" i="4"/>
  <c r="O229" i="4"/>
  <c r="N229" i="4"/>
  <c r="M229" i="4"/>
  <c r="L229" i="4"/>
  <c r="K229" i="4"/>
  <c r="J229" i="4"/>
  <c r="P228" i="4"/>
  <c r="O228" i="4"/>
  <c r="N228" i="4"/>
  <c r="M228" i="4"/>
  <c r="L228" i="4"/>
  <c r="K228" i="4"/>
  <c r="J228" i="4"/>
  <c r="P227" i="4"/>
  <c r="O227" i="4"/>
  <c r="N227" i="4"/>
  <c r="M227" i="4"/>
  <c r="L227" i="4"/>
  <c r="K227" i="4"/>
  <c r="J227" i="4"/>
  <c r="P226" i="4"/>
  <c r="O226" i="4"/>
  <c r="N226" i="4"/>
  <c r="M226" i="4"/>
  <c r="L226" i="4"/>
  <c r="K226" i="4"/>
  <c r="J226" i="4"/>
  <c r="P225" i="4"/>
  <c r="O225" i="4"/>
  <c r="N225" i="4"/>
  <c r="M225" i="4"/>
  <c r="L225" i="4"/>
  <c r="K225" i="4"/>
  <c r="J225" i="4"/>
  <c r="P224" i="4"/>
  <c r="O224" i="4"/>
  <c r="N224" i="4"/>
  <c r="M224" i="4"/>
  <c r="L224" i="4"/>
  <c r="K224" i="4"/>
  <c r="J224" i="4"/>
  <c r="P223" i="4"/>
  <c r="O223" i="4"/>
  <c r="N223" i="4"/>
  <c r="M223" i="4"/>
  <c r="L223" i="4"/>
  <c r="K223" i="4"/>
  <c r="J223" i="4"/>
  <c r="P222" i="4"/>
  <c r="O222" i="4"/>
  <c r="N222" i="4"/>
  <c r="M222" i="4"/>
  <c r="L222" i="4"/>
  <c r="K222" i="4"/>
  <c r="J222" i="4"/>
  <c r="P221" i="4"/>
  <c r="O221" i="4"/>
  <c r="N221" i="4"/>
  <c r="M221" i="4"/>
  <c r="L221" i="4"/>
  <c r="K221" i="4"/>
  <c r="J221" i="4"/>
  <c r="P220" i="4"/>
  <c r="O220" i="4"/>
  <c r="N220" i="4"/>
  <c r="M220" i="4"/>
  <c r="L220" i="4"/>
  <c r="K220" i="4"/>
  <c r="J220" i="4"/>
  <c r="P219" i="4"/>
  <c r="O219" i="4"/>
  <c r="N219" i="4"/>
  <c r="M219" i="4"/>
  <c r="L219" i="4"/>
  <c r="K219" i="4"/>
  <c r="J219" i="4"/>
  <c r="P218" i="4"/>
  <c r="O218" i="4"/>
  <c r="N218" i="4"/>
  <c r="M218" i="4"/>
  <c r="L218" i="4"/>
  <c r="K218" i="4"/>
  <c r="J218" i="4"/>
  <c r="P217" i="4"/>
  <c r="O217" i="4"/>
  <c r="N217" i="4"/>
  <c r="M217" i="4"/>
  <c r="L217" i="4"/>
  <c r="K217" i="4"/>
  <c r="J217" i="4"/>
  <c r="P216" i="4"/>
  <c r="O216" i="4"/>
  <c r="N216" i="4"/>
  <c r="M216" i="4"/>
  <c r="L216" i="4"/>
  <c r="K216" i="4"/>
  <c r="J216" i="4"/>
  <c r="P215" i="4"/>
  <c r="O215" i="4"/>
  <c r="N215" i="4"/>
  <c r="M215" i="4"/>
  <c r="L215" i="4"/>
  <c r="K215" i="4"/>
  <c r="J215" i="4"/>
  <c r="P214" i="4"/>
  <c r="O214" i="4"/>
  <c r="N214" i="4"/>
  <c r="M214" i="4"/>
  <c r="L214" i="4"/>
  <c r="K214" i="4"/>
  <c r="J214" i="4"/>
  <c r="P213" i="4"/>
  <c r="O213" i="4"/>
  <c r="N213" i="4"/>
  <c r="M213" i="4"/>
  <c r="L213" i="4"/>
  <c r="K213" i="4"/>
  <c r="J213" i="4"/>
  <c r="P212" i="4"/>
  <c r="O212" i="4"/>
  <c r="N212" i="4"/>
  <c r="M212" i="4"/>
  <c r="L212" i="4"/>
  <c r="K212" i="4"/>
  <c r="J212" i="4"/>
  <c r="P211" i="4"/>
  <c r="O211" i="4"/>
  <c r="N211" i="4"/>
  <c r="M211" i="4"/>
  <c r="L211" i="4"/>
  <c r="K211" i="4"/>
  <c r="J211" i="4"/>
  <c r="P210" i="4"/>
  <c r="O210" i="4"/>
  <c r="N210" i="4"/>
  <c r="M210" i="4"/>
  <c r="L210" i="4"/>
  <c r="K210" i="4"/>
  <c r="J210" i="4"/>
  <c r="P209" i="4"/>
  <c r="O209" i="4"/>
  <c r="N209" i="4"/>
  <c r="M209" i="4"/>
  <c r="L209" i="4"/>
  <c r="K209" i="4"/>
  <c r="J209" i="4"/>
  <c r="P208" i="4"/>
  <c r="O208" i="4"/>
  <c r="N208" i="4"/>
  <c r="M208" i="4"/>
  <c r="L208" i="4"/>
  <c r="K208" i="4"/>
  <c r="J208" i="4"/>
  <c r="P207" i="4"/>
  <c r="O207" i="4"/>
  <c r="N207" i="4"/>
  <c r="M207" i="4"/>
  <c r="L207" i="4"/>
  <c r="K207" i="4"/>
  <c r="J207" i="4"/>
  <c r="P206" i="4"/>
  <c r="O206" i="4"/>
  <c r="N206" i="4"/>
  <c r="M206" i="4"/>
  <c r="L206" i="4"/>
  <c r="K206" i="4"/>
  <c r="J206" i="4"/>
  <c r="P205" i="4"/>
  <c r="O205" i="4"/>
  <c r="N205" i="4"/>
  <c r="M205" i="4"/>
  <c r="L205" i="4"/>
  <c r="K205" i="4"/>
  <c r="J205" i="4"/>
  <c r="P204" i="4"/>
  <c r="O204" i="4"/>
  <c r="N204" i="4"/>
  <c r="M204" i="4"/>
  <c r="L204" i="4"/>
  <c r="K204" i="4"/>
  <c r="J204" i="4"/>
  <c r="P203" i="4"/>
  <c r="O203" i="4"/>
  <c r="N203" i="4"/>
  <c r="M203" i="4"/>
  <c r="L203" i="4"/>
  <c r="K203" i="4"/>
  <c r="J203" i="4"/>
  <c r="P202" i="4"/>
  <c r="O202" i="4"/>
  <c r="N202" i="4"/>
  <c r="M202" i="4"/>
  <c r="L202" i="4"/>
  <c r="K202" i="4"/>
  <c r="J202" i="4"/>
  <c r="P201" i="4"/>
  <c r="O201" i="4"/>
  <c r="N201" i="4"/>
  <c r="M201" i="4"/>
  <c r="L201" i="4"/>
  <c r="K201" i="4"/>
  <c r="J201" i="4"/>
  <c r="P200" i="4"/>
  <c r="O200" i="4"/>
  <c r="N200" i="4"/>
  <c r="M200" i="4"/>
  <c r="L200" i="4"/>
  <c r="K200" i="4"/>
  <c r="J200" i="4"/>
  <c r="P199" i="4"/>
  <c r="O199" i="4"/>
  <c r="N199" i="4"/>
  <c r="M199" i="4"/>
  <c r="L199" i="4"/>
  <c r="K199" i="4"/>
  <c r="J199" i="4"/>
  <c r="P198" i="4"/>
  <c r="O198" i="4"/>
  <c r="N198" i="4"/>
  <c r="M198" i="4"/>
  <c r="L198" i="4"/>
  <c r="K198" i="4"/>
  <c r="J198" i="4"/>
  <c r="P197" i="4"/>
  <c r="O197" i="4"/>
  <c r="N197" i="4"/>
  <c r="M197" i="4"/>
  <c r="L197" i="4"/>
  <c r="K197" i="4"/>
  <c r="J197" i="4"/>
  <c r="P196" i="4"/>
  <c r="O196" i="4"/>
  <c r="N196" i="4"/>
  <c r="M196" i="4"/>
  <c r="L196" i="4"/>
  <c r="K196" i="4"/>
  <c r="J196" i="4"/>
  <c r="P195" i="4"/>
  <c r="O195" i="4"/>
  <c r="N195" i="4"/>
  <c r="M195" i="4"/>
  <c r="L195" i="4"/>
  <c r="K195" i="4"/>
  <c r="J195" i="4"/>
  <c r="P194" i="4"/>
  <c r="O194" i="4"/>
  <c r="N194" i="4"/>
  <c r="M194" i="4"/>
  <c r="L194" i="4"/>
  <c r="K194" i="4"/>
  <c r="J194" i="4"/>
  <c r="P193" i="4"/>
  <c r="O193" i="4"/>
  <c r="N193" i="4"/>
  <c r="M193" i="4"/>
  <c r="L193" i="4"/>
  <c r="K193" i="4"/>
  <c r="J193" i="4"/>
  <c r="P192" i="4"/>
  <c r="O192" i="4"/>
  <c r="N192" i="4"/>
  <c r="M192" i="4"/>
  <c r="L192" i="4"/>
  <c r="K192" i="4"/>
  <c r="J192" i="4"/>
  <c r="P191" i="4"/>
  <c r="O191" i="4"/>
  <c r="N191" i="4"/>
  <c r="M191" i="4"/>
  <c r="L191" i="4"/>
  <c r="K191" i="4"/>
  <c r="J191" i="4"/>
  <c r="P190" i="4"/>
  <c r="O190" i="4"/>
  <c r="N190" i="4"/>
  <c r="M190" i="4"/>
  <c r="L190" i="4"/>
  <c r="K190" i="4"/>
  <c r="J190" i="4"/>
  <c r="P189" i="4"/>
  <c r="O189" i="4"/>
  <c r="N189" i="4"/>
  <c r="M189" i="4"/>
  <c r="L189" i="4"/>
  <c r="K189" i="4"/>
  <c r="J189" i="4"/>
  <c r="P188" i="4"/>
  <c r="O188" i="4"/>
  <c r="N188" i="4"/>
  <c r="M188" i="4"/>
  <c r="L188" i="4"/>
  <c r="K188" i="4"/>
  <c r="J188" i="4"/>
  <c r="P187" i="4"/>
  <c r="O187" i="4"/>
  <c r="N187" i="4"/>
  <c r="M187" i="4"/>
  <c r="L187" i="4"/>
  <c r="K187" i="4"/>
  <c r="J187" i="4"/>
  <c r="P186" i="4"/>
  <c r="O186" i="4"/>
  <c r="N186" i="4"/>
  <c r="M186" i="4"/>
  <c r="L186" i="4"/>
  <c r="K186" i="4"/>
  <c r="J186" i="4"/>
  <c r="P185" i="4"/>
  <c r="O185" i="4"/>
  <c r="N185" i="4"/>
  <c r="M185" i="4"/>
  <c r="L185" i="4"/>
  <c r="K185" i="4"/>
  <c r="J185" i="4"/>
  <c r="P184" i="4"/>
  <c r="O184" i="4"/>
  <c r="N184" i="4"/>
  <c r="M184" i="4"/>
  <c r="L184" i="4"/>
  <c r="K184" i="4"/>
  <c r="J184" i="4"/>
  <c r="P183" i="4"/>
  <c r="O183" i="4"/>
  <c r="N183" i="4"/>
  <c r="M183" i="4"/>
  <c r="L183" i="4"/>
  <c r="K183" i="4"/>
  <c r="J183" i="4"/>
  <c r="P182" i="4"/>
  <c r="O182" i="4"/>
  <c r="N182" i="4"/>
  <c r="M182" i="4"/>
  <c r="L182" i="4"/>
  <c r="K182" i="4"/>
  <c r="J182" i="4"/>
  <c r="P181" i="4"/>
  <c r="O181" i="4"/>
  <c r="N181" i="4"/>
  <c r="M181" i="4"/>
  <c r="L181" i="4"/>
  <c r="K181" i="4"/>
  <c r="J181" i="4"/>
  <c r="P180" i="4"/>
  <c r="O180" i="4"/>
  <c r="N180" i="4"/>
  <c r="M180" i="4"/>
  <c r="L180" i="4"/>
  <c r="K180" i="4"/>
  <c r="J180" i="4"/>
  <c r="P179" i="4"/>
  <c r="O179" i="4"/>
  <c r="N179" i="4"/>
  <c r="M179" i="4"/>
  <c r="L179" i="4"/>
  <c r="K179" i="4"/>
  <c r="J179" i="4"/>
  <c r="P178" i="4"/>
  <c r="O178" i="4"/>
  <c r="N178" i="4"/>
  <c r="M178" i="4"/>
  <c r="L178" i="4"/>
  <c r="K178" i="4"/>
  <c r="J178" i="4"/>
  <c r="P177" i="4"/>
  <c r="O177" i="4"/>
  <c r="N177" i="4"/>
  <c r="M177" i="4"/>
  <c r="L177" i="4"/>
  <c r="K177" i="4"/>
  <c r="J177" i="4"/>
  <c r="P176" i="4"/>
  <c r="O176" i="4"/>
  <c r="N176" i="4"/>
  <c r="M176" i="4"/>
  <c r="L176" i="4"/>
  <c r="K176" i="4"/>
  <c r="J176" i="4"/>
  <c r="P175" i="4"/>
  <c r="O175" i="4"/>
  <c r="N175" i="4"/>
  <c r="M175" i="4"/>
  <c r="L175" i="4"/>
  <c r="K175" i="4"/>
  <c r="J175" i="4"/>
  <c r="P174" i="4"/>
  <c r="O174" i="4"/>
  <c r="N174" i="4"/>
  <c r="M174" i="4"/>
  <c r="L174" i="4"/>
  <c r="K174" i="4"/>
  <c r="J174" i="4"/>
  <c r="P173" i="4"/>
  <c r="O173" i="4"/>
  <c r="N173" i="4"/>
  <c r="M173" i="4"/>
  <c r="L173" i="4"/>
  <c r="K173" i="4"/>
  <c r="J173" i="4"/>
  <c r="P172" i="4"/>
  <c r="O172" i="4"/>
  <c r="N172" i="4"/>
  <c r="M172" i="4"/>
  <c r="L172" i="4"/>
  <c r="K172" i="4"/>
  <c r="J172" i="4"/>
  <c r="P171" i="4"/>
  <c r="O171" i="4"/>
  <c r="N171" i="4"/>
  <c r="M171" i="4"/>
  <c r="L171" i="4"/>
  <c r="K171" i="4"/>
  <c r="J171" i="4"/>
  <c r="P170" i="4"/>
  <c r="O170" i="4"/>
  <c r="N170" i="4"/>
  <c r="M170" i="4"/>
  <c r="L170" i="4"/>
  <c r="K170" i="4"/>
  <c r="J170" i="4"/>
  <c r="P169" i="4"/>
  <c r="O169" i="4"/>
  <c r="N169" i="4"/>
  <c r="M169" i="4"/>
  <c r="L169" i="4"/>
  <c r="K169" i="4"/>
  <c r="J169" i="4"/>
  <c r="P168" i="4"/>
  <c r="O168" i="4"/>
  <c r="N168" i="4"/>
  <c r="M168" i="4"/>
  <c r="L168" i="4"/>
  <c r="K168" i="4"/>
  <c r="J168" i="4"/>
  <c r="P167" i="4"/>
  <c r="O167" i="4"/>
  <c r="N167" i="4"/>
  <c r="M167" i="4"/>
  <c r="L167" i="4"/>
  <c r="K167" i="4"/>
  <c r="J167" i="4"/>
  <c r="P166" i="4"/>
  <c r="O166" i="4"/>
  <c r="N166" i="4"/>
  <c r="M166" i="4"/>
  <c r="L166" i="4"/>
  <c r="K166" i="4"/>
  <c r="J166" i="4"/>
  <c r="P165" i="4"/>
  <c r="O165" i="4"/>
  <c r="N165" i="4"/>
  <c r="M165" i="4"/>
  <c r="L165" i="4"/>
  <c r="K165" i="4"/>
  <c r="J165" i="4"/>
  <c r="P164" i="4"/>
  <c r="O164" i="4"/>
  <c r="N164" i="4"/>
  <c r="M164" i="4"/>
  <c r="L164" i="4"/>
  <c r="K164" i="4"/>
  <c r="J164" i="4"/>
  <c r="P163" i="4"/>
  <c r="O163" i="4"/>
  <c r="N163" i="4"/>
  <c r="M163" i="4"/>
  <c r="L163" i="4"/>
  <c r="K163" i="4"/>
  <c r="J163" i="4"/>
  <c r="P162" i="4"/>
  <c r="O162" i="4"/>
  <c r="N162" i="4"/>
  <c r="M162" i="4"/>
  <c r="L162" i="4"/>
  <c r="K162" i="4"/>
  <c r="J162" i="4"/>
  <c r="P161" i="4"/>
  <c r="O161" i="4"/>
  <c r="N161" i="4"/>
  <c r="M161" i="4"/>
  <c r="L161" i="4"/>
  <c r="K161" i="4"/>
  <c r="J161" i="4"/>
  <c r="P160" i="4"/>
  <c r="O160" i="4"/>
  <c r="N160" i="4"/>
  <c r="M160" i="4"/>
  <c r="L160" i="4"/>
  <c r="K160" i="4"/>
  <c r="J160" i="4"/>
  <c r="P159" i="4"/>
  <c r="O159" i="4"/>
  <c r="N159" i="4"/>
  <c r="M159" i="4"/>
  <c r="L159" i="4"/>
  <c r="K159" i="4"/>
  <c r="J159" i="4"/>
  <c r="P158" i="4"/>
  <c r="O158" i="4"/>
  <c r="N158" i="4"/>
  <c r="M158" i="4"/>
  <c r="L158" i="4"/>
  <c r="K158" i="4"/>
  <c r="J158" i="4"/>
  <c r="P157" i="4"/>
  <c r="O157" i="4"/>
  <c r="N157" i="4"/>
  <c r="M157" i="4"/>
  <c r="L157" i="4"/>
  <c r="K157" i="4"/>
  <c r="J157" i="4"/>
  <c r="P156" i="4"/>
  <c r="O156" i="4"/>
  <c r="N156" i="4"/>
  <c r="M156" i="4"/>
  <c r="L156" i="4"/>
  <c r="K156" i="4"/>
  <c r="J156" i="4"/>
  <c r="P155" i="4"/>
  <c r="O155" i="4"/>
  <c r="N155" i="4"/>
  <c r="M155" i="4"/>
  <c r="L155" i="4"/>
  <c r="K155" i="4"/>
  <c r="J155" i="4"/>
  <c r="P154" i="4"/>
  <c r="O154" i="4"/>
  <c r="N154" i="4"/>
  <c r="M154" i="4"/>
  <c r="L154" i="4"/>
  <c r="K154" i="4"/>
  <c r="J154" i="4"/>
  <c r="P153" i="4"/>
  <c r="O153" i="4"/>
  <c r="N153" i="4"/>
  <c r="M153" i="4"/>
  <c r="L153" i="4"/>
  <c r="K153" i="4"/>
  <c r="J153" i="4"/>
  <c r="P152" i="4"/>
  <c r="O152" i="4"/>
  <c r="N152" i="4"/>
  <c r="M152" i="4"/>
  <c r="L152" i="4"/>
  <c r="K152" i="4"/>
  <c r="J152" i="4"/>
  <c r="P151" i="4"/>
  <c r="O151" i="4"/>
  <c r="N151" i="4"/>
  <c r="M151" i="4"/>
  <c r="L151" i="4"/>
  <c r="K151" i="4"/>
  <c r="J151" i="4"/>
  <c r="P150" i="4"/>
  <c r="O150" i="4"/>
  <c r="N150" i="4"/>
  <c r="M150" i="4"/>
  <c r="L150" i="4"/>
  <c r="K150" i="4"/>
  <c r="J150" i="4"/>
  <c r="P149" i="4"/>
  <c r="O149" i="4"/>
  <c r="N149" i="4"/>
  <c r="M149" i="4"/>
  <c r="L149" i="4"/>
  <c r="K149" i="4"/>
  <c r="J149" i="4"/>
  <c r="P148" i="4"/>
  <c r="O148" i="4"/>
  <c r="N148" i="4"/>
  <c r="M148" i="4"/>
  <c r="L148" i="4"/>
  <c r="K148" i="4"/>
  <c r="J148" i="4"/>
  <c r="P147" i="4"/>
  <c r="O147" i="4"/>
  <c r="N147" i="4"/>
  <c r="M147" i="4"/>
  <c r="L147" i="4"/>
  <c r="K147" i="4"/>
  <c r="J147" i="4"/>
  <c r="P146" i="4"/>
  <c r="O146" i="4"/>
  <c r="N146" i="4"/>
  <c r="M146" i="4"/>
  <c r="L146" i="4"/>
  <c r="K146" i="4"/>
  <c r="J146" i="4"/>
  <c r="P145" i="4"/>
  <c r="O145" i="4"/>
  <c r="N145" i="4"/>
  <c r="M145" i="4"/>
  <c r="L145" i="4"/>
  <c r="K145" i="4"/>
  <c r="J145" i="4"/>
  <c r="P144" i="4"/>
  <c r="O144" i="4"/>
  <c r="N144" i="4"/>
  <c r="M144" i="4"/>
  <c r="L144" i="4"/>
  <c r="K144" i="4"/>
  <c r="J144" i="4"/>
  <c r="P143" i="4"/>
  <c r="O143" i="4"/>
  <c r="N143" i="4"/>
  <c r="M143" i="4"/>
  <c r="L143" i="4"/>
  <c r="K143" i="4"/>
  <c r="J143" i="4"/>
  <c r="P142" i="4"/>
  <c r="O142" i="4"/>
  <c r="N142" i="4"/>
  <c r="M142" i="4"/>
  <c r="L142" i="4"/>
  <c r="K142" i="4"/>
  <c r="J142" i="4"/>
  <c r="P141" i="4"/>
  <c r="O141" i="4"/>
  <c r="N141" i="4"/>
  <c r="M141" i="4"/>
  <c r="L141" i="4"/>
  <c r="K141" i="4"/>
  <c r="J141" i="4"/>
  <c r="P140" i="4"/>
  <c r="O140" i="4"/>
  <c r="N140" i="4"/>
  <c r="M140" i="4"/>
  <c r="L140" i="4"/>
  <c r="K140" i="4"/>
  <c r="J140" i="4"/>
  <c r="P139" i="4"/>
  <c r="O139" i="4"/>
  <c r="N139" i="4"/>
  <c r="M139" i="4"/>
  <c r="L139" i="4"/>
  <c r="K139" i="4"/>
  <c r="J139" i="4"/>
  <c r="P138" i="4"/>
  <c r="O138" i="4"/>
  <c r="N138" i="4"/>
  <c r="M138" i="4"/>
  <c r="L138" i="4"/>
  <c r="K138" i="4"/>
  <c r="J138" i="4"/>
  <c r="P137" i="4"/>
  <c r="O137" i="4"/>
  <c r="N137" i="4"/>
  <c r="M137" i="4"/>
  <c r="L137" i="4"/>
  <c r="K137" i="4"/>
  <c r="J137" i="4"/>
  <c r="P136" i="4"/>
  <c r="O136" i="4"/>
  <c r="N136" i="4"/>
  <c r="M136" i="4"/>
  <c r="L136" i="4"/>
  <c r="K136" i="4"/>
  <c r="J136" i="4"/>
  <c r="P135" i="4"/>
  <c r="O135" i="4"/>
  <c r="N135" i="4"/>
  <c r="M135" i="4"/>
  <c r="L135" i="4"/>
  <c r="K135" i="4"/>
  <c r="J135" i="4"/>
  <c r="P134" i="4"/>
  <c r="O134" i="4"/>
  <c r="N134" i="4"/>
  <c r="M134" i="4"/>
  <c r="L134" i="4"/>
  <c r="K134" i="4"/>
  <c r="J134" i="4"/>
  <c r="P133" i="4"/>
  <c r="O133" i="4"/>
  <c r="N133" i="4"/>
  <c r="M133" i="4"/>
  <c r="L133" i="4"/>
  <c r="K133" i="4"/>
  <c r="J133" i="4"/>
  <c r="P132" i="4"/>
  <c r="O132" i="4"/>
  <c r="N132" i="4"/>
  <c r="M132" i="4"/>
  <c r="L132" i="4"/>
  <c r="K132" i="4"/>
  <c r="J132" i="4"/>
  <c r="P131" i="4"/>
  <c r="O131" i="4"/>
  <c r="N131" i="4"/>
  <c r="M131" i="4"/>
  <c r="L131" i="4"/>
  <c r="K131" i="4"/>
  <c r="J131" i="4"/>
  <c r="P130" i="4"/>
  <c r="O130" i="4"/>
  <c r="N130" i="4"/>
  <c r="M130" i="4"/>
  <c r="L130" i="4"/>
  <c r="K130" i="4"/>
  <c r="J130" i="4"/>
  <c r="P129" i="4"/>
  <c r="O129" i="4"/>
  <c r="N129" i="4"/>
  <c r="M129" i="4"/>
  <c r="L129" i="4"/>
  <c r="K129" i="4"/>
  <c r="J129" i="4"/>
  <c r="P128" i="4"/>
  <c r="O128" i="4"/>
  <c r="N128" i="4"/>
  <c r="M128" i="4"/>
  <c r="L128" i="4"/>
  <c r="K128" i="4"/>
  <c r="J128" i="4"/>
  <c r="P127" i="4"/>
  <c r="O127" i="4"/>
  <c r="N127" i="4"/>
  <c r="M127" i="4"/>
  <c r="L127" i="4"/>
  <c r="K127" i="4"/>
  <c r="J127" i="4"/>
  <c r="P126" i="4"/>
  <c r="O126" i="4"/>
  <c r="N126" i="4"/>
  <c r="M126" i="4"/>
  <c r="L126" i="4"/>
  <c r="K126" i="4"/>
  <c r="J126" i="4"/>
  <c r="P125" i="4"/>
  <c r="O125" i="4"/>
  <c r="N125" i="4"/>
  <c r="M125" i="4"/>
  <c r="L125" i="4"/>
  <c r="K125" i="4"/>
  <c r="J125" i="4"/>
  <c r="P124" i="4"/>
  <c r="O124" i="4"/>
  <c r="N124" i="4"/>
  <c r="M124" i="4"/>
  <c r="L124" i="4"/>
  <c r="K124" i="4"/>
  <c r="J124" i="4"/>
  <c r="P123" i="4"/>
  <c r="O123" i="4"/>
  <c r="N123" i="4"/>
  <c r="M123" i="4"/>
  <c r="L123" i="4"/>
  <c r="K123" i="4"/>
  <c r="J123" i="4"/>
  <c r="P122" i="4"/>
  <c r="O122" i="4"/>
  <c r="N122" i="4"/>
  <c r="M122" i="4"/>
  <c r="L122" i="4"/>
  <c r="K122" i="4"/>
  <c r="J122" i="4"/>
  <c r="P121" i="4"/>
  <c r="O121" i="4"/>
  <c r="N121" i="4"/>
  <c r="M121" i="4"/>
  <c r="L121" i="4"/>
  <c r="K121" i="4"/>
  <c r="J121" i="4"/>
  <c r="P120" i="4"/>
  <c r="O120" i="4"/>
  <c r="N120" i="4"/>
  <c r="M120" i="4"/>
  <c r="L120" i="4"/>
  <c r="K120" i="4"/>
  <c r="J120" i="4"/>
  <c r="P119" i="4"/>
  <c r="O119" i="4"/>
  <c r="N119" i="4"/>
  <c r="M119" i="4"/>
  <c r="L119" i="4"/>
  <c r="K119" i="4"/>
  <c r="J119" i="4"/>
  <c r="P118" i="4"/>
  <c r="O118" i="4"/>
  <c r="N118" i="4"/>
  <c r="M118" i="4"/>
  <c r="L118" i="4"/>
  <c r="K118" i="4"/>
  <c r="J118" i="4"/>
  <c r="P117" i="4"/>
  <c r="O117" i="4"/>
  <c r="N117" i="4"/>
  <c r="M117" i="4"/>
  <c r="L117" i="4"/>
  <c r="K117" i="4"/>
  <c r="J117" i="4"/>
  <c r="P116" i="4"/>
  <c r="O116" i="4"/>
  <c r="N116" i="4"/>
  <c r="M116" i="4"/>
  <c r="L116" i="4"/>
  <c r="K116" i="4"/>
  <c r="J116" i="4"/>
  <c r="P115" i="4"/>
  <c r="O115" i="4"/>
  <c r="N115" i="4"/>
  <c r="M115" i="4"/>
  <c r="L115" i="4"/>
  <c r="K115" i="4"/>
  <c r="J115" i="4"/>
  <c r="P114" i="4"/>
  <c r="O114" i="4"/>
  <c r="N114" i="4"/>
  <c r="M114" i="4"/>
  <c r="L114" i="4"/>
  <c r="K114" i="4"/>
  <c r="J114" i="4"/>
  <c r="P113" i="4"/>
  <c r="O113" i="4"/>
  <c r="N113" i="4"/>
  <c r="M113" i="4"/>
  <c r="L113" i="4"/>
  <c r="K113" i="4"/>
  <c r="J113" i="4"/>
  <c r="P112" i="4"/>
  <c r="O112" i="4"/>
  <c r="N112" i="4"/>
  <c r="M112" i="4"/>
  <c r="L112" i="4"/>
  <c r="K112" i="4"/>
  <c r="J112" i="4"/>
  <c r="P111" i="4"/>
  <c r="O111" i="4"/>
  <c r="N111" i="4"/>
  <c r="M111" i="4"/>
  <c r="L111" i="4"/>
  <c r="K111" i="4"/>
  <c r="J111" i="4"/>
  <c r="P110" i="4"/>
  <c r="O110" i="4"/>
  <c r="N110" i="4"/>
  <c r="M110" i="4"/>
  <c r="L110" i="4"/>
  <c r="K110" i="4"/>
  <c r="J110" i="4"/>
  <c r="P109" i="4"/>
  <c r="O109" i="4"/>
  <c r="N109" i="4"/>
  <c r="M109" i="4"/>
  <c r="L109" i="4"/>
  <c r="K109" i="4"/>
  <c r="J109" i="4"/>
  <c r="P108" i="4"/>
  <c r="O108" i="4"/>
  <c r="N108" i="4"/>
  <c r="M108" i="4"/>
  <c r="L108" i="4"/>
  <c r="K108" i="4"/>
  <c r="J108" i="4"/>
  <c r="P107" i="4"/>
  <c r="O107" i="4"/>
  <c r="N107" i="4"/>
  <c r="M107" i="4"/>
  <c r="L107" i="4"/>
  <c r="K107" i="4"/>
  <c r="J107" i="4"/>
  <c r="P106" i="4"/>
  <c r="O106" i="4"/>
  <c r="N106" i="4"/>
  <c r="M106" i="4"/>
  <c r="L106" i="4"/>
  <c r="K106" i="4"/>
  <c r="J106" i="4"/>
  <c r="P105" i="4"/>
  <c r="O105" i="4"/>
  <c r="N105" i="4"/>
  <c r="M105" i="4"/>
  <c r="L105" i="4"/>
  <c r="K105" i="4"/>
  <c r="J105" i="4"/>
  <c r="P104" i="4"/>
  <c r="O104" i="4"/>
  <c r="N104" i="4"/>
  <c r="M104" i="4"/>
  <c r="L104" i="4"/>
  <c r="K104" i="4"/>
  <c r="J104" i="4"/>
  <c r="P103" i="4"/>
  <c r="O103" i="4"/>
  <c r="N103" i="4"/>
  <c r="M103" i="4"/>
  <c r="L103" i="4"/>
  <c r="K103" i="4"/>
  <c r="J103" i="4"/>
  <c r="P102" i="4"/>
  <c r="O102" i="4"/>
  <c r="N102" i="4"/>
  <c r="M102" i="4"/>
  <c r="L102" i="4"/>
  <c r="K102" i="4"/>
  <c r="J102" i="4"/>
  <c r="P101" i="4"/>
  <c r="O101" i="4"/>
  <c r="N101" i="4"/>
  <c r="M101" i="4"/>
  <c r="L101" i="4"/>
  <c r="K101" i="4"/>
  <c r="J101" i="4"/>
  <c r="P100" i="4"/>
  <c r="O100" i="4"/>
  <c r="N100" i="4"/>
  <c r="M100" i="4"/>
  <c r="L100" i="4"/>
  <c r="K100" i="4"/>
  <c r="J100" i="4"/>
  <c r="P99" i="4"/>
  <c r="O99" i="4"/>
  <c r="N99" i="4"/>
  <c r="M99" i="4"/>
  <c r="L99" i="4"/>
  <c r="K99" i="4"/>
  <c r="J99" i="4"/>
  <c r="P98" i="4"/>
  <c r="O98" i="4"/>
  <c r="N98" i="4"/>
  <c r="M98" i="4"/>
  <c r="L98" i="4"/>
  <c r="K98" i="4"/>
  <c r="J98" i="4"/>
  <c r="P97" i="4"/>
  <c r="O97" i="4"/>
  <c r="N97" i="4"/>
  <c r="M97" i="4"/>
  <c r="L97" i="4"/>
  <c r="K97" i="4"/>
  <c r="J97" i="4"/>
  <c r="P96" i="4"/>
  <c r="O96" i="4"/>
  <c r="N96" i="4"/>
  <c r="M96" i="4"/>
  <c r="L96" i="4"/>
  <c r="K96" i="4"/>
  <c r="J96" i="4"/>
  <c r="P95" i="4"/>
  <c r="O95" i="4"/>
  <c r="N95" i="4"/>
  <c r="M95" i="4"/>
  <c r="L95" i="4"/>
  <c r="K95" i="4"/>
  <c r="J95" i="4"/>
  <c r="P94" i="4"/>
  <c r="O94" i="4"/>
  <c r="N94" i="4"/>
  <c r="M94" i="4"/>
  <c r="L94" i="4"/>
  <c r="K94" i="4"/>
  <c r="J94" i="4"/>
  <c r="P93" i="4"/>
  <c r="O93" i="4"/>
  <c r="N93" i="4"/>
  <c r="M93" i="4"/>
  <c r="L93" i="4"/>
  <c r="K93" i="4"/>
  <c r="J93" i="4"/>
  <c r="P92" i="4"/>
  <c r="O92" i="4"/>
  <c r="N92" i="4"/>
  <c r="M92" i="4"/>
  <c r="L92" i="4"/>
  <c r="K92" i="4"/>
  <c r="J92" i="4"/>
  <c r="P91" i="4"/>
  <c r="O91" i="4"/>
  <c r="N91" i="4"/>
  <c r="M91" i="4"/>
  <c r="L91" i="4"/>
  <c r="K91" i="4"/>
  <c r="J91" i="4"/>
  <c r="P90" i="4"/>
  <c r="O90" i="4"/>
  <c r="N90" i="4"/>
  <c r="M90" i="4"/>
  <c r="L90" i="4"/>
  <c r="K90" i="4"/>
  <c r="J90" i="4"/>
  <c r="P89" i="4"/>
  <c r="O89" i="4"/>
  <c r="N89" i="4"/>
  <c r="M89" i="4"/>
  <c r="L89" i="4"/>
  <c r="K89" i="4"/>
  <c r="J89" i="4"/>
  <c r="P88" i="4"/>
  <c r="O88" i="4"/>
  <c r="N88" i="4"/>
  <c r="M88" i="4"/>
  <c r="L88" i="4"/>
  <c r="K88" i="4"/>
  <c r="J88" i="4"/>
  <c r="P87" i="4"/>
  <c r="O87" i="4"/>
  <c r="N87" i="4"/>
  <c r="M87" i="4"/>
  <c r="L87" i="4"/>
  <c r="K87" i="4"/>
  <c r="J87" i="4"/>
  <c r="P86" i="4"/>
  <c r="O86" i="4"/>
  <c r="N86" i="4"/>
  <c r="M86" i="4"/>
  <c r="L86" i="4"/>
  <c r="K86" i="4"/>
  <c r="J86" i="4"/>
  <c r="P85" i="4"/>
  <c r="O85" i="4"/>
  <c r="N85" i="4"/>
  <c r="M85" i="4"/>
  <c r="L85" i="4"/>
  <c r="K85" i="4"/>
  <c r="J85" i="4"/>
  <c r="P84" i="4"/>
  <c r="O84" i="4"/>
  <c r="N84" i="4"/>
  <c r="M84" i="4"/>
  <c r="L84" i="4"/>
  <c r="K84" i="4"/>
  <c r="J84" i="4"/>
  <c r="P83" i="4"/>
  <c r="O83" i="4"/>
  <c r="N83" i="4"/>
  <c r="M83" i="4"/>
  <c r="L83" i="4"/>
  <c r="K83" i="4"/>
  <c r="J83" i="4"/>
  <c r="P82" i="4"/>
  <c r="O82" i="4"/>
  <c r="N82" i="4"/>
  <c r="M82" i="4"/>
  <c r="L82" i="4"/>
  <c r="K82" i="4"/>
  <c r="J82" i="4"/>
  <c r="P81" i="4"/>
  <c r="O81" i="4"/>
  <c r="N81" i="4"/>
  <c r="M81" i="4"/>
  <c r="L81" i="4"/>
  <c r="K81" i="4"/>
  <c r="J81" i="4"/>
  <c r="P80" i="4"/>
  <c r="O80" i="4"/>
  <c r="N80" i="4"/>
  <c r="M80" i="4"/>
  <c r="L80" i="4"/>
  <c r="K80" i="4"/>
  <c r="J80" i="4"/>
  <c r="P79" i="4"/>
  <c r="O79" i="4"/>
  <c r="N79" i="4"/>
  <c r="M79" i="4"/>
  <c r="L79" i="4"/>
  <c r="K79" i="4"/>
  <c r="J79" i="4"/>
  <c r="P78" i="4"/>
  <c r="O78" i="4"/>
  <c r="N78" i="4"/>
  <c r="M78" i="4"/>
  <c r="L78" i="4"/>
  <c r="K78" i="4"/>
  <c r="J78" i="4"/>
  <c r="P77" i="4"/>
  <c r="O77" i="4"/>
  <c r="N77" i="4"/>
  <c r="M77" i="4"/>
  <c r="L77" i="4"/>
  <c r="K77" i="4"/>
  <c r="J77" i="4"/>
  <c r="P76" i="4"/>
  <c r="O76" i="4"/>
  <c r="N76" i="4"/>
  <c r="M76" i="4"/>
  <c r="L76" i="4"/>
  <c r="K76" i="4"/>
  <c r="J76" i="4"/>
  <c r="P75" i="4"/>
  <c r="O75" i="4"/>
  <c r="N75" i="4"/>
  <c r="M75" i="4"/>
  <c r="L75" i="4"/>
  <c r="K75" i="4"/>
  <c r="J75" i="4"/>
  <c r="P74" i="4"/>
  <c r="O74" i="4"/>
  <c r="N74" i="4"/>
  <c r="M74" i="4"/>
  <c r="L74" i="4"/>
  <c r="K74" i="4"/>
  <c r="J74" i="4"/>
  <c r="P73" i="4"/>
  <c r="O73" i="4"/>
  <c r="N73" i="4"/>
  <c r="M73" i="4"/>
  <c r="L73" i="4"/>
  <c r="K73" i="4"/>
  <c r="J73" i="4"/>
  <c r="P72" i="4"/>
  <c r="O72" i="4"/>
  <c r="N72" i="4"/>
  <c r="M72" i="4"/>
  <c r="L72" i="4"/>
  <c r="K72" i="4"/>
  <c r="J72" i="4"/>
  <c r="P71" i="4"/>
  <c r="O71" i="4"/>
  <c r="N71" i="4"/>
  <c r="M71" i="4"/>
  <c r="L71" i="4"/>
  <c r="K71" i="4"/>
  <c r="J71" i="4"/>
  <c r="P70" i="4"/>
  <c r="O70" i="4"/>
  <c r="N70" i="4"/>
  <c r="M70" i="4"/>
  <c r="L70" i="4"/>
  <c r="K70" i="4"/>
  <c r="J70" i="4"/>
  <c r="P69" i="4"/>
  <c r="O69" i="4"/>
  <c r="N69" i="4"/>
  <c r="M69" i="4"/>
  <c r="L69" i="4"/>
  <c r="K69" i="4"/>
  <c r="J69" i="4"/>
  <c r="P68" i="4"/>
  <c r="O68" i="4"/>
  <c r="N68" i="4"/>
  <c r="M68" i="4"/>
  <c r="L68" i="4"/>
  <c r="K68" i="4"/>
  <c r="J68" i="4"/>
  <c r="P67" i="4"/>
  <c r="O67" i="4"/>
  <c r="N67" i="4"/>
  <c r="M67" i="4"/>
  <c r="L67" i="4"/>
  <c r="K67" i="4"/>
  <c r="J67" i="4"/>
  <c r="P66" i="4"/>
  <c r="O66" i="4"/>
  <c r="N66" i="4"/>
  <c r="M66" i="4"/>
  <c r="L66" i="4"/>
  <c r="K66" i="4"/>
  <c r="J66" i="4"/>
  <c r="P65" i="4"/>
  <c r="O65" i="4"/>
  <c r="N65" i="4"/>
  <c r="M65" i="4"/>
  <c r="L65" i="4"/>
  <c r="K65" i="4"/>
  <c r="J65" i="4"/>
  <c r="P64" i="4"/>
  <c r="O64" i="4"/>
  <c r="N64" i="4"/>
  <c r="M64" i="4"/>
  <c r="L64" i="4"/>
  <c r="K64" i="4"/>
  <c r="J64" i="4"/>
  <c r="P63" i="4"/>
  <c r="O63" i="4"/>
  <c r="N63" i="4"/>
  <c r="M63" i="4"/>
  <c r="L63" i="4"/>
  <c r="K63" i="4"/>
  <c r="J63" i="4"/>
  <c r="P62" i="4"/>
  <c r="O62" i="4"/>
  <c r="N62" i="4"/>
  <c r="M62" i="4"/>
  <c r="L62" i="4"/>
  <c r="K62" i="4"/>
  <c r="J62" i="4"/>
  <c r="P61" i="4"/>
  <c r="O61" i="4"/>
  <c r="N61" i="4"/>
  <c r="M61" i="4"/>
  <c r="L61" i="4"/>
  <c r="K61" i="4"/>
  <c r="J61" i="4"/>
  <c r="P60" i="4"/>
  <c r="O60" i="4"/>
  <c r="N60" i="4"/>
  <c r="M60" i="4"/>
  <c r="L60" i="4"/>
  <c r="K60" i="4"/>
  <c r="J60" i="4"/>
  <c r="P59" i="4"/>
  <c r="O59" i="4"/>
  <c r="N59" i="4"/>
  <c r="M59" i="4"/>
  <c r="L59" i="4"/>
  <c r="K59" i="4"/>
  <c r="J59" i="4"/>
  <c r="P58" i="4"/>
  <c r="O58" i="4"/>
  <c r="N58" i="4"/>
  <c r="M58" i="4"/>
  <c r="L58" i="4"/>
  <c r="K58" i="4"/>
  <c r="J58" i="4"/>
  <c r="P57" i="4"/>
  <c r="O57" i="4"/>
  <c r="N57" i="4"/>
  <c r="M57" i="4"/>
  <c r="L57" i="4"/>
  <c r="K57" i="4"/>
  <c r="J57" i="4"/>
  <c r="P56" i="4"/>
  <c r="O56" i="4"/>
  <c r="N56" i="4"/>
  <c r="M56" i="4"/>
  <c r="L56" i="4"/>
  <c r="K56" i="4"/>
  <c r="J56" i="4"/>
  <c r="P55" i="4"/>
  <c r="O55" i="4"/>
  <c r="N55" i="4"/>
  <c r="M55" i="4"/>
  <c r="L55" i="4"/>
  <c r="K55" i="4"/>
  <c r="J55" i="4"/>
  <c r="P54" i="4"/>
  <c r="O54" i="4"/>
  <c r="N54" i="4"/>
  <c r="M54" i="4"/>
  <c r="L54" i="4"/>
  <c r="K54" i="4"/>
  <c r="J54" i="4"/>
  <c r="P53" i="4"/>
  <c r="O53" i="4"/>
  <c r="N53" i="4"/>
  <c r="M53" i="4"/>
  <c r="L53" i="4"/>
  <c r="K53" i="4"/>
  <c r="J53" i="4"/>
  <c r="P52" i="4"/>
  <c r="O52" i="4"/>
  <c r="N52" i="4"/>
  <c r="M52" i="4"/>
  <c r="L52" i="4"/>
  <c r="K52" i="4"/>
  <c r="J52" i="4"/>
  <c r="P51" i="4"/>
  <c r="O51" i="4"/>
  <c r="N51" i="4"/>
  <c r="M51" i="4"/>
  <c r="L51" i="4"/>
  <c r="K51" i="4"/>
  <c r="J51" i="4"/>
  <c r="P50" i="4"/>
  <c r="O50" i="4"/>
  <c r="N50" i="4"/>
  <c r="M50" i="4"/>
  <c r="L50" i="4"/>
  <c r="K50" i="4"/>
  <c r="J50" i="4"/>
  <c r="P49" i="4"/>
  <c r="O49" i="4"/>
  <c r="N49" i="4"/>
  <c r="M49" i="4"/>
  <c r="L49" i="4"/>
  <c r="K49" i="4"/>
  <c r="J49" i="4"/>
  <c r="P48" i="4"/>
  <c r="O48" i="4"/>
  <c r="N48" i="4"/>
  <c r="M48" i="4"/>
  <c r="L48" i="4"/>
  <c r="K48" i="4"/>
  <c r="J48" i="4"/>
  <c r="P47" i="4"/>
  <c r="O47" i="4"/>
  <c r="N47" i="4"/>
  <c r="M47" i="4"/>
  <c r="L47" i="4"/>
  <c r="K47" i="4"/>
  <c r="J47" i="4"/>
  <c r="P46" i="4"/>
  <c r="O46" i="4"/>
  <c r="N46" i="4"/>
  <c r="M46" i="4"/>
  <c r="L46" i="4"/>
  <c r="K46" i="4"/>
  <c r="J46" i="4"/>
  <c r="P45" i="4"/>
  <c r="O45" i="4"/>
  <c r="N45" i="4"/>
  <c r="M45" i="4"/>
  <c r="L45" i="4"/>
  <c r="K45" i="4"/>
  <c r="J45" i="4"/>
  <c r="P44" i="4"/>
  <c r="O44" i="4"/>
  <c r="N44" i="4"/>
  <c r="M44" i="4"/>
  <c r="L44" i="4"/>
  <c r="K44" i="4"/>
  <c r="J44" i="4"/>
  <c r="P43" i="4"/>
  <c r="O43" i="4"/>
  <c r="N43" i="4"/>
  <c r="M43" i="4"/>
  <c r="L43" i="4"/>
  <c r="K43" i="4"/>
  <c r="J43" i="4"/>
  <c r="P42" i="4"/>
  <c r="O42" i="4"/>
  <c r="N42" i="4"/>
  <c r="M42" i="4"/>
  <c r="L42" i="4"/>
  <c r="K42" i="4"/>
  <c r="J42" i="4"/>
  <c r="P41" i="4"/>
  <c r="O41" i="4"/>
  <c r="N41" i="4"/>
  <c r="M41" i="4"/>
  <c r="L41" i="4"/>
  <c r="K41" i="4"/>
  <c r="J41" i="4"/>
  <c r="P40" i="4"/>
  <c r="O40" i="4"/>
  <c r="N40" i="4"/>
  <c r="M40" i="4"/>
  <c r="L40" i="4"/>
  <c r="K40" i="4"/>
  <c r="J40" i="4"/>
  <c r="P39" i="4"/>
  <c r="O39" i="4"/>
  <c r="N39" i="4"/>
  <c r="M39" i="4"/>
  <c r="L39" i="4"/>
  <c r="K39" i="4"/>
  <c r="J39" i="4"/>
  <c r="P38" i="4"/>
  <c r="O38" i="4"/>
  <c r="N38" i="4"/>
  <c r="M38" i="4"/>
  <c r="L38" i="4"/>
  <c r="K38" i="4"/>
  <c r="J38" i="4"/>
  <c r="P37" i="4"/>
  <c r="O37" i="4"/>
  <c r="N37" i="4"/>
  <c r="M37" i="4"/>
  <c r="L37" i="4"/>
  <c r="K37" i="4"/>
  <c r="J37" i="4"/>
  <c r="P36" i="4"/>
  <c r="O36" i="4"/>
  <c r="N36" i="4"/>
  <c r="M36" i="4"/>
  <c r="L36" i="4"/>
  <c r="K36" i="4"/>
  <c r="J36" i="4"/>
  <c r="P35" i="4"/>
  <c r="O35" i="4"/>
  <c r="N35" i="4"/>
  <c r="M35" i="4"/>
  <c r="L35" i="4"/>
  <c r="K35" i="4"/>
  <c r="J35" i="4"/>
  <c r="P34" i="4"/>
  <c r="O34" i="4"/>
  <c r="N34" i="4"/>
  <c r="M34" i="4"/>
  <c r="L34" i="4"/>
  <c r="K34" i="4"/>
  <c r="J34" i="4"/>
  <c r="P33" i="4"/>
  <c r="O33" i="4"/>
  <c r="N33" i="4"/>
  <c r="M33" i="4"/>
  <c r="L33" i="4"/>
  <c r="K33" i="4"/>
  <c r="J33" i="4"/>
  <c r="P32" i="4"/>
  <c r="O32" i="4"/>
  <c r="N32" i="4"/>
  <c r="M32" i="4"/>
  <c r="L32" i="4"/>
  <c r="K32" i="4"/>
  <c r="J32" i="4"/>
  <c r="P31" i="4"/>
  <c r="O31" i="4"/>
  <c r="N31" i="4"/>
  <c r="M31" i="4"/>
  <c r="L31" i="4"/>
  <c r="K31" i="4"/>
  <c r="J31" i="4"/>
  <c r="P30" i="4"/>
  <c r="O30" i="4"/>
  <c r="N30" i="4"/>
  <c r="M30" i="4"/>
  <c r="L30" i="4"/>
  <c r="K30" i="4"/>
  <c r="J30" i="4"/>
  <c r="P29" i="4"/>
  <c r="O29" i="4"/>
  <c r="N29" i="4"/>
  <c r="M29" i="4"/>
  <c r="L29" i="4"/>
  <c r="K29" i="4"/>
  <c r="J29" i="4"/>
  <c r="P28" i="4"/>
  <c r="O28" i="4"/>
  <c r="N28" i="4"/>
  <c r="M28" i="4"/>
  <c r="L28" i="4"/>
  <c r="K28" i="4"/>
  <c r="J28" i="4"/>
  <c r="P27" i="4"/>
  <c r="O27" i="4"/>
  <c r="N27" i="4"/>
  <c r="M27" i="4"/>
  <c r="L27" i="4"/>
  <c r="K27" i="4"/>
  <c r="J27" i="4"/>
  <c r="P26" i="4"/>
  <c r="O26" i="4"/>
  <c r="N26" i="4"/>
  <c r="M26" i="4"/>
  <c r="L26" i="4"/>
  <c r="K26" i="4"/>
  <c r="J26" i="4"/>
  <c r="P25" i="4"/>
  <c r="O25" i="4"/>
  <c r="N25" i="4"/>
  <c r="M25" i="4"/>
  <c r="L25" i="4"/>
  <c r="K25" i="4"/>
  <c r="J25" i="4"/>
  <c r="P24" i="4"/>
  <c r="O24" i="4"/>
  <c r="N24" i="4"/>
  <c r="M24" i="4"/>
  <c r="L24" i="4"/>
  <c r="K24" i="4"/>
  <c r="J24" i="4"/>
  <c r="P23" i="4"/>
  <c r="O23" i="4"/>
  <c r="N23" i="4"/>
  <c r="M23" i="4"/>
  <c r="L23" i="4"/>
  <c r="K23" i="4"/>
  <c r="J23" i="4"/>
  <c r="P22" i="4"/>
  <c r="O22" i="4"/>
  <c r="N22" i="4"/>
  <c r="M22" i="4"/>
  <c r="L22" i="4"/>
  <c r="K22" i="4"/>
  <c r="J22" i="4"/>
  <c r="P21" i="4"/>
  <c r="O21" i="4"/>
  <c r="N21" i="4"/>
  <c r="M21" i="4"/>
  <c r="L21" i="4"/>
  <c r="K21" i="4"/>
  <c r="J21" i="4"/>
  <c r="P20" i="4"/>
  <c r="O20" i="4"/>
  <c r="N20" i="4"/>
  <c r="M20" i="4"/>
  <c r="L20" i="4"/>
  <c r="K20" i="4"/>
  <c r="J20" i="4"/>
  <c r="P19" i="4"/>
  <c r="O19" i="4"/>
  <c r="N19" i="4"/>
  <c r="M19" i="4"/>
  <c r="L19" i="4"/>
  <c r="K19" i="4"/>
  <c r="J19" i="4"/>
  <c r="P18" i="4"/>
  <c r="O18" i="4"/>
  <c r="N18" i="4"/>
  <c r="M18" i="4"/>
  <c r="L18" i="4"/>
  <c r="K18" i="4"/>
  <c r="J18" i="4"/>
  <c r="P17" i="4"/>
  <c r="O17" i="4"/>
  <c r="N17" i="4"/>
  <c r="M17" i="4"/>
  <c r="L17" i="4"/>
  <c r="K17" i="4"/>
  <c r="J17" i="4"/>
  <c r="P16" i="4"/>
  <c r="O16" i="4"/>
  <c r="N16" i="4"/>
  <c r="M16" i="4"/>
  <c r="L16" i="4"/>
  <c r="K16" i="4"/>
  <c r="J16" i="4"/>
  <c r="P15" i="4"/>
  <c r="O15" i="4"/>
  <c r="N15" i="4"/>
  <c r="M15" i="4"/>
  <c r="L15" i="4"/>
  <c r="K15" i="4"/>
  <c r="J15" i="4"/>
  <c r="P14" i="4"/>
  <c r="O14" i="4"/>
  <c r="N14" i="4"/>
  <c r="M14" i="4"/>
  <c r="L14" i="4"/>
  <c r="K14" i="4"/>
  <c r="J14" i="4"/>
  <c r="P13" i="4"/>
  <c r="O13" i="4"/>
  <c r="N13" i="4"/>
  <c r="M13" i="4"/>
  <c r="L13" i="4"/>
  <c r="K13" i="4"/>
  <c r="J13" i="4"/>
  <c r="P12" i="4"/>
  <c r="O12" i="4"/>
  <c r="N12" i="4"/>
  <c r="M12" i="4"/>
  <c r="L12" i="4"/>
  <c r="K12" i="4"/>
  <c r="J12" i="4"/>
  <c r="P11" i="4"/>
  <c r="O11" i="4"/>
  <c r="N11" i="4"/>
  <c r="M11" i="4"/>
  <c r="L11" i="4"/>
  <c r="K11" i="4"/>
  <c r="J11" i="4"/>
  <c r="P10" i="4"/>
  <c r="O10" i="4"/>
  <c r="N10" i="4"/>
  <c r="M10" i="4"/>
  <c r="L10" i="4"/>
  <c r="K10" i="4"/>
  <c r="J10" i="4"/>
  <c r="P9" i="4"/>
  <c r="O9" i="4"/>
  <c r="N9" i="4"/>
  <c r="M9" i="4"/>
  <c r="L9" i="4"/>
  <c r="K9" i="4"/>
  <c r="J9" i="4"/>
  <c r="P8" i="4"/>
  <c r="O8" i="4"/>
  <c r="N8" i="4"/>
  <c r="M8" i="4"/>
  <c r="L8" i="4"/>
  <c r="K8" i="4"/>
  <c r="J8" i="4"/>
  <c r="P7" i="4"/>
  <c r="O7" i="4"/>
  <c r="N7" i="4"/>
  <c r="M7" i="4"/>
  <c r="L7" i="4"/>
  <c r="K7" i="4"/>
  <c r="J7" i="4"/>
  <c r="P6" i="4"/>
  <c r="O6" i="4"/>
  <c r="N6" i="4"/>
  <c r="M6" i="4"/>
  <c r="L6" i="4"/>
  <c r="K6" i="4"/>
  <c r="J6" i="4"/>
  <c r="P5" i="4"/>
  <c r="O5" i="4"/>
  <c r="N5" i="4"/>
  <c r="M5" i="4"/>
  <c r="L5" i="4"/>
  <c r="K5" i="4"/>
  <c r="J5" i="4"/>
  <c r="P4" i="4"/>
  <c r="O4" i="4"/>
  <c r="N4" i="4"/>
  <c r="M4" i="4"/>
  <c r="L4" i="4"/>
  <c r="K4" i="4"/>
  <c r="J4" i="4"/>
  <c r="P3" i="4"/>
  <c r="O3" i="4"/>
  <c r="N3" i="4"/>
  <c r="M3" i="4"/>
  <c r="L3" i="4"/>
  <c r="K3" i="4"/>
  <c r="J3" i="4"/>
  <c r="P2" i="4"/>
  <c r="O2" i="4"/>
  <c r="N2" i="4"/>
  <c r="M2" i="4"/>
  <c r="L2" i="4"/>
  <c r="K2" i="4"/>
  <c r="J2" i="4"/>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2" i="2"/>
  <c r="O2" i="2"/>
  <c r="P2" i="2"/>
  <c r="Q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2"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21" i="2"/>
  <c r="P22" i="2"/>
  <c r="P23" i="2"/>
  <c r="P24" i="2"/>
  <c r="P25" i="2"/>
  <c r="P26" i="2"/>
  <c r="P27" i="2"/>
  <c r="P4" i="2"/>
  <c r="P5" i="2"/>
  <c r="P6" i="2"/>
  <c r="P7" i="2"/>
  <c r="P8" i="2"/>
  <c r="P9" i="2"/>
  <c r="P10" i="2"/>
  <c r="P11" i="2"/>
  <c r="P12" i="2"/>
  <c r="P13" i="2"/>
  <c r="P14" i="2"/>
  <c r="P15" i="2"/>
  <c r="P16" i="2"/>
  <c r="P17" i="2"/>
  <c r="P18" i="2"/>
  <c r="P19" i="2"/>
  <c r="P20" i="2"/>
  <c r="P3" i="2"/>
  <c r="O610" i="2"/>
  <c r="O611"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N611" i="2"/>
  <c r="N610" i="2"/>
  <c r="N609" i="2"/>
  <c r="N608" i="2"/>
  <c r="N607" i="2"/>
  <c r="N606" i="2"/>
  <c r="N605" i="2"/>
  <c r="N604" i="2"/>
  <c r="N603" i="2"/>
  <c r="N602" i="2"/>
  <c r="N601" i="2"/>
  <c r="N600" i="2"/>
  <c r="N599" i="2"/>
  <c r="N598" i="2"/>
  <c r="N597" i="2"/>
  <c r="N596" i="2"/>
  <c r="N595" i="2"/>
  <c r="N594" i="2"/>
  <c r="N593" i="2"/>
  <c r="N592" i="2"/>
  <c r="N591" i="2"/>
  <c r="N590" i="2"/>
  <c r="N589" i="2"/>
  <c r="N588" i="2"/>
  <c r="N587" i="2"/>
  <c r="N586" i="2"/>
  <c r="N585" i="2"/>
  <c r="N584" i="2"/>
  <c r="N583" i="2"/>
  <c r="N582" i="2"/>
  <c r="N581" i="2"/>
  <c r="N580" i="2"/>
  <c r="N579" i="2"/>
  <c r="N578" i="2"/>
  <c r="N577" i="2"/>
  <c r="N576" i="2"/>
  <c r="N575" i="2"/>
  <c r="N574" i="2"/>
  <c r="N573" i="2"/>
  <c r="N572" i="2"/>
  <c r="N571" i="2"/>
  <c r="N570" i="2"/>
  <c r="N569" i="2"/>
  <c r="N568" i="2"/>
  <c r="N567" i="2"/>
  <c r="N566" i="2"/>
  <c r="N565" i="2"/>
  <c r="N564" i="2"/>
  <c r="N563" i="2"/>
  <c r="N562" i="2"/>
  <c r="N561" i="2"/>
  <c r="N560" i="2"/>
  <c r="N559" i="2"/>
  <c r="N558" i="2"/>
  <c r="N557" i="2"/>
  <c r="N556" i="2"/>
  <c r="N555" i="2"/>
  <c r="N554" i="2"/>
  <c r="N553" i="2"/>
  <c r="N552" i="2"/>
  <c r="N551" i="2"/>
  <c r="N550" i="2"/>
  <c r="N549" i="2"/>
  <c r="N548" i="2"/>
  <c r="N547" i="2"/>
  <c r="N546" i="2"/>
  <c r="N545" i="2"/>
  <c r="N544" i="2"/>
  <c r="N543" i="2"/>
  <c r="N542" i="2"/>
  <c r="N541" i="2"/>
  <c r="N540" i="2"/>
  <c r="N539" i="2"/>
  <c r="N538" i="2"/>
  <c r="N537" i="2"/>
  <c r="N536" i="2"/>
  <c r="N535" i="2"/>
  <c r="N534" i="2"/>
  <c r="N533" i="2"/>
  <c r="N532" i="2"/>
  <c r="N531" i="2"/>
  <c r="N530" i="2"/>
  <c r="N529" i="2"/>
  <c r="N528" i="2"/>
  <c r="N527" i="2"/>
  <c r="N526" i="2"/>
  <c r="N525" i="2"/>
  <c r="N524" i="2"/>
  <c r="N523" i="2"/>
  <c r="N522" i="2"/>
  <c r="N521" i="2"/>
  <c r="N520" i="2"/>
  <c r="N519" i="2"/>
  <c r="N518" i="2"/>
  <c r="N517" i="2"/>
  <c r="N516" i="2"/>
  <c r="N515" i="2"/>
  <c r="N514" i="2"/>
  <c r="N513" i="2"/>
  <c r="N512" i="2"/>
  <c r="N511" i="2"/>
  <c r="N510" i="2"/>
  <c r="N509" i="2"/>
  <c r="N508" i="2"/>
  <c r="N507" i="2"/>
  <c r="N506" i="2"/>
  <c r="N505" i="2"/>
  <c r="N504" i="2"/>
  <c r="N503" i="2"/>
  <c r="N502" i="2"/>
  <c r="N501" i="2"/>
  <c r="N500" i="2"/>
  <c r="N499" i="2"/>
  <c r="N498" i="2"/>
  <c r="N497" i="2"/>
  <c r="N496" i="2"/>
  <c r="N495" i="2"/>
  <c r="N494" i="2"/>
  <c r="N493" i="2"/>
  <c r="N492" i="2"/>
  <c r="N491" i="2"/>
  <c r="N490" i="2"/>
  <c r="N489" i="2"/>
  <c r="N488" i="2"/>
  <c r="N487" i="2"/>
  <c r="N486" i="2"/>
  <c r="N485" i="2"/>
  <c r="N484" i="2"/>
  <c r="N483" i="2"/>
  <c r="N482" i="2"/>
  <c r="N481" i="2"/>
  <c r="N480" i="2"/>
  <c r="N479" i="2"/>
  <c r="N478" i="2"/>
  <c r="N477" i="2"/>
  <c r="N476" i="2"/>
  <c r="N475" i="2"/>
  <c r="N474" i="2"/>
  <c r="N473" i="2"/>
  <c r="N472" i="2"/>
  <c r="N471" i="2"/>
  <c r="N470" i="2"/>
  <c r="N469" i="2"/>
  <c r="N468" i="2"/>
  <c r="N467" i="2"/>
  <c r="N466" i="2"/>
  <c r="N465" i="2"/>
  <c r="N464" i="2"/>
  <c r="N463" i="2"/>
  <c r="N462" i="2"/>
  <c r="N461" i="2"/>
  <c r="N460" i="2"/>
  <c r="N459" i="2"/>
  <c r="N458" i="2"/>
  <c r="N457" i="2"/>
  <c r="N456" i="2"/>
  <c r="N455" i="2"/>
  <c r="N454" i="2"/>
  <c r="N453" i="2"/>
  <c r="N452" i="2"/>
  <c r="N451" i="2"/>
  <c r="N450" i="2"/>
  <c r="N449" i="2"/>
  <c r="N448" i="2"/>
  <c r="N447" i="2"/>
  <c r="N446" i="2"/>
  <c r="N445" i="2"/>
  <c r="N444" i="2"/>
  <c r="N443" i="2"/>
  <c r="N442" i="2"/>
  <c r="N441" i="2"/>
  <c r="N440" i="2"/>
  <c r="N439" i="2"/>
  <c r="N438" i="2"/>
  <c r="N437" i="2"/>
  <c r="N436" i="2"/>
  <c r="N435" i="2"/>
  <c r="N434" i="2"/>
  <c r="N433" i="2"/>
  <c r="N432" i="2"/>
  <c r="N431" i="2"/>
  <c r="N430" i="2"/>
  <c r="N429" i="2"/>
  <c r="N428" i="2"/>
  <c r="N427" i="2"/>
  <c r="N426" i="2"/>
  <c r="N425" i="2"/>
  <c r="N424" i="2"/>
  <c r="N423" i="2"/>
  <c r="N422" i="2"/>
  <c r="N421" i="2"/>
  <c r="N420" i="2"/>
  <c r="N419" i="2"/>
  <c r="N418" i="2"/>
  <c r="N417" i="2"/>
  <c r="N416" i="2"/>
  <c r="N415" i="2"/>
  <c r="N414" i="2"/>
  <c r="N413" i="2"/>
  <c r="N412" i="2"/>
  <c r="N411" i="2"/>
  <c r="N410" i="2"/>
  <c r="N409" i="2"/>
  <c r="N408" i="2"/>
  <c r="N407" i="2"/>
  <c r="N406" i="2"/>
  <c r="N405" i="2"/>
  <c r="N404" i="2"/>
  <c r="N403" i="2"/>
  <c r="N402" i="2"/>
  <c r="N401" i="2"/>
  <c r="N400" i="2"/>
  <c r="N399" i="2"/>
  <c r="N398" i="2"/>
  <c r="N397" i="2"/>
  <c r="N396" i="2"/>
  <c r="N395" i="2"/>
  <c r="N394" i="2"/>
  <c r="N393" i="2"/>
  <c r="N392" i="2"/>
  <c r="N391" i="2"/>
  <c r="N390" i="2"/>
  <c r="N389" i="2"/>
  <c r="N388" i="2"/>
  <c r="N387" i="2"/>
  <c r="N386" i="2"/>
  <c r="N385" i="2"/>
  <c r="N384" i="2"/>
  <c r="N383" i="2"/>
  <c r="N382" i="2"/>
  <c r="N381" i="2"/>
  <c r="N380" i="2"/>
  <c r="N379" i="2"/>
  <c r="N378" i="2"/>
  <c r="N377" i="2"/>
  <c r="N376" i="2"/>
  <c r="N375" i="2"/>
  <c r="N374" i="2"/>
  <c r="N373" i="2"/>
  <c r="N372" i="2"/>
  <c r="N371" i="2"/>
  <c r="N370" i="2"/>
  <c r="N369" i="2"/>
  <c r="N368" i="2"/>
  <c r="N367" i="2"/>
  <c r="N366" i="2"/>
  <c r="N365" i="2"/>
  <c r="N364" i="2"/>
  <c r="N363" i="2"/>
  <c r="N362" i="2"/>
  <c r="N361" i="2"/>
  <c r="N360" i="2"/>
  <c r="N359" i="2"/>
  <c r="N358" i="2"/>
  <c r="N357" i="2"/>
  <c r="N356" i="2"/>
  <c r="N355" i="2"/>
  <c r="N354" i="2"/>
  <c r="N353" i="2"/>
  <c r="N352" i="2"/>
  <c r="N351" i="2"/>
  <c r="N350" i="2"/>
  <c r="N349" i="2"/>
  <c r="N348" i="2"/>
  <c r="N347" i="2"/>
  <c r="N346" i="2"/>
  <c r="N345" i="2"/>
  <c r="N344" i="2"/>
  <c r="N343" i="2"/>
  <c r="N342" i="2"/>
  <c r="N341" i="2"/>
  <c r="N340" i="2"/>
  <c r="N339" i="2"/>
  <c r="N338" i="2"/>
  <c r="N337" i="2"/>
  <c r="N336" i="2"/>
  <c r="N335" i="2"/>
  <c r="N334" i="2"/>
  <c r="N333" i="2"/>
  <c r="N332" i="2"/>
  <c r="N331" i="2"/>
  <c r="N330" i="2"/>
  <c r="N329" i="2"/>
  <c r="N328" i="2"/>
  <c r="N327" i="2"/>
  <c r="N326" i="2"/>
  <c r="N325" i="2"/>
  <c r="N324" i="2"/>
  <c r="N323" i="2"/>
  <c r="N322" i="2"/>
  <c r="N321" i="2"/>
  <c r="N320" i="2"/>
  <c r="N319" i="2"/>
  <c r="N318" i="2"/>
  <c r="N317" i="2"/>
  <c r="N316" i="2"/>
  <c r="N315" i="2"/>
  <c r="N314" i="2"/>
  <c r="N313" i="2"/>
  <c r="N312" i="2"/>
  <c r="N311" i="2"/>
  <c r="N310" i="2"/>
  <c r="N309" i="2"/>
  <c r="N308" i="2"/>
  <c r="N307" i="2"/>
  <c r="N306" i="2"/>
  <c r="N305" i="2"/>
  <c r="N304" i="2"/>
  <c r="N303" i="2"/>
  <c r="N302" i="2"/>
  <c r="N301" i="2"/>
  <c r="N300" i="2"/>
  <c r="N299" i="2"/>
  <c r="N298" i="2"/>
  <c r="N297" i="2"/>
  <c r="N296" i="2"/>
  <c r="N295" i="2"/>
  <c r="N294" i="2"/>
  <c r="N293" i="2"/>
  <c r="N292" i="2"/>
  <c r="N291" i="2"/>
  <c r="N290" i="2"/>
  <c r="N289" i="2"/>
  <c r="N288" i="2"/>
  <c r="N287" i="2"/>
  <c r="N286" i="2"/>
  <c r="N285" i="2"/>
  <c r="N284" i="2"/>
  <c r="N283" i="2"/>
  <c r="N282" i="2"/>
  <c r="N281" i="2"/>
  <c r="N280" i="2"/>
  <c r="N279" i="2"/>
  <c r="N278" i="2"/>
  <c r="N277" i="2"/>
  <c r="N276" i="2"/>
  <c r="N275" i="2"/>
  <c r="N274" i="2"/>
  <c r="N273" i="2"/>
  <c r="N272" i="2"/>
  <c r="N271" i="2"/>
  <c r="N270" i="2"/>
  <c r="N269" i="2"/>
  <c r="N268" i="2"/>
  <c r="N267" i="2"/>
  <c r="N266" i="2"/>
  <c r="N265" i="2"/>
  <c r="N264" i="2"/>
  <c r="N263" i="2"/>
  <c r="N262" i="2"/>
  <c r="N261" i="2"/>
  <c r="N260" i="2"/>
  <c r="N259" i="2"/>
  <c r="N258" i="2"/>
  <c r="N257" i="2"/>
  <c r="N256" i="2"/>
  <c r="N255" i="2"/>
  <c r="N254" i="2"/>
  <c r="N253" i="2"/>
  <c r="N252" i="2"/>
  <c r="N251" i="2"/>
  <c r="N250" i="2"/>
  <c r="N249" i="2"/>
  <c r="N248" i="2"/>
  <c r="N247" i="2"/>
  <c r="N246" i="2"/>
  <c r="N245" i="2"/>
  <c r="N244" i="2"/>
  <c r="N243" i="2"/>
  <c r="N242" i="2"/>
  <c r="N241" i="2"/>
  <c r="N240" i="2"/>
  <c r="N239" i="2"/>
  <c r="N238" i="2"/>
  <c r="N237" i="2"/>
  <c r="N236" i="2"/>
  <c r="N235" i="2"/>
  <c r="N234" i="2"/>
  <c r="N233" i="2"/>
  <c r="N232" i="2"/>
  <c r="N231" i="2"/>
  <c r="N230" i="2"/>
  <c r="N229" i="2"/>
  <c r="N228" i="2"/>
  <c r="N227" i="2"/>
  <c r="N226" i="2"/>
  <c r="N225" i="2"/>
  <c r="N224" i="2"/>
  <c r="N223" i="2"/>
  <c r="N222" i="2"/>
  <c r="N221" i="2"/>
  <c r="N220" i="2"/>
  <c r="N219" i="2"/>
  <c r="N218" i="2"/>
  <c r="N217" i="2"/>
  <c r="N216" i="2"/>
  <c r="N215" i="2"/>
  <c r="N214" i="2"/>
  <c r="N213" i="2"/>
  <c r="N212" i="2"/>
  <c r="N211" i="2"/>
  <c r="N210" i="2"/>
  <c r="N209" i="2"/>
  <c r="N208" i="2"/>
  <c r="N207" i="2"/>
  <c r="N206" i="2"/>
  <c r="N205" i="2"/>
  <c r="N204" i="2"/>
  <c r="N203" i="2"/>
  <c r="N202" i="2"/>
  <c r="N201" i="2"/>
  <c r="N200" i="2"/>
  <c r="N199" i="2"/>
  <c r="N198" i="2"/>
  <c r="N197" i="2"/>
  <c r="N196" i="2"/>
  <c r="N195" i="2"/>
  <c r="N194" i="2"/>
  <c r="N193" i="2"/>
  <c r="N192" i="2"/>
  <c r="N191" i="2"/>
  <c r="N190" i="2"/>
  <c r="N189" i="2"/>
  <c r="N188" i="2"/>
  <c r="N187" i="2"/>
  <c r="N186" i="2"/>
  <c r="N185" i="2"/>
  <c r="N184" i="2"/>
  <c r="N183" i="2"/>
  <c r="N182" i="2"/>
  <c r="N181" i="2"/>
  <c r="N180" i="2"/>
  <c r="N179" i="2"/>
  <c r="N178" i="2"/>
  <c r="N177" i="2"/>
  <c r="N176" i="2"/>
  <c r="N175" i="2"/>
  <c r="N174" i="2"/>
  <c r="N173" i="2"/>
  <c r="N172" i="2"/>
  <c r="N171" i="2"/>
  <c r="N170" i="2"/>
  <c r="N169" i="2"/>
  <c r="N168" i="2"/>
  <c r="N167" i="2"/>
  <c r="N166" i="2"/>
  <c r="N165" i="2"/>
  <c r="N164" i="2"/>
  <c r="N163" i="2"/>
  <c r="N162" i="2"/>
  <c r="N161" i="2"/>
  <c r="N160" i="2"/>
  <c r="N159" i="2"/>
  <c r="N158" i="2"/>
  <c r="N157" i="2"/>
  <c r="N156" i="2"/>
  <c r="N155" i="2"/>
  <c r="N154" i="2"/>
  <c r="N153" i="2"/>
  <c r="N152" i="2"/>
  <c r="N151" i="2"/>
  <c r="N150" i="2"/>
  <c r="N149" i="2"/>
  <c r="N148" i="2"/>
  <c r="N147" i="2"/>
  <c r="N146" i="2"/>
  <c r="N145" i="2"/>
  <c r="N144" i="2"/>
  <c r="N143" i="2"/>
  <c r="N142" i="2"/>
  <c r="N141" i="2"/>
  <c r="N140" i="2"/>
  <c r="N139" i="2"/>
  <c r="N138" i="2"/>
  <c r="N137" i="2"/>
  <c r="N136" i="2"/>
  <c r="N135" i="2"/>
  <c r="N134" i="2"/>
  <c r="N133" i="2"/>
  <c r="N132" i="2"/>
  <c r="N131" i="2"/>
  <c r="N130" i="2"/>
  <c r="N129" i="2"/>
  <c r="N128" i="2"/>
  <c r="N127" i="2"/>
  <c r="N126" i="2"/>
  <c r="N125" i="2"/>
  <c r="N124" i="2"/>
  <c r="N123" i="2"/>
  <c r="N122" i="2"/>
  <c r="N121" i="2"/>
  <c r="N120" i="2"/>
  <c r="N119" i="2"/>
  <c r="N118" i="2"/>
  <c r="N117" i="2"/>
  <c r="N116" i="2"/>
  <c r="N115" i="2"/>
  <c r="N114" i="2"/>
  <c r="N113" i="2"/>
  <c r="N112" i="2"/>
  <c r="N111" i="2"/>
  <c r="N110" i="2"/>
  <c r="N109" i="2"/>
  <c r="N108" i="2"/>
  <c r="N107" i="2"/>
  <c r="N106" i="2"/>
  <c r="N105" i="2"/>
  <c r="N104" i="2"/>
  <c r="N103" i="2"/>
  <c r="N102" i="2"/>
  <c r="N101" i="2"/>
  <c r="N100" i="2"/>
  <c r="N99" i="2"/>
  <c r="N98" i="2"/>
  <c r="N97" i="2"/>
  <c r="N96" i="2"/>
  <c r="N95" i="2"/>
  <c r="N94" i="2"/>
  <c r="N93" i="2"/>
  <c r="N92" i="2"/>
  <c r="N91" i="2"/>
  <c r="N90" i="2"/>
  <c r="N89" i="2"/>
  <c r="N88" i="2"/>
  <c r="N87" i="2"/>
  <c r="N86" i="2"/>
  <c r="N85" i="2"/>
  <c r="N84" i="2"/>
  <c r="N83" i="2"/>
  <c r="N82" i="2"/>
  <c r="N81" i="2"/>
  <c r="N80" i="2"/>
  <c r="N79" i="2"/>
  <c r="N78" i="2"/>
  <c r="N77" i="2"/>
  <c r="N76" i="2"/>
  <c r="N75" i="2"/>
  <c r="N74" i="2"/>
  <c r="N73" i="2"/>
  <c r="N72" i="2"/>
  <c r="N71" i="2"/>
  <c r="N70" i="2"/>
  <c r="N69" i="2"/>
  <c r="N68" i="2"/>
  <c r="N67" i="2"/>
  <c r="N66" i="2"/>
  <c r="N65" i="2"/>
  <c r="N64" i="2"/>
  <c r="N63" i="2"/>
  <c r="N62" i="2"/>
  <c r="N61" i="2"/>
  <c r="N60" i="2"/>
  <c r="N59" i="2"/>
  <c r="N58" i="2"/>
  <c r="N57" i="2"/>
  <c r="N56" i="2"/>
  <c r="N55" i="2"/>
  <c r="N54" i="2"/>
  <c r="N53" i="2"/>
  <c r="N52" i="2"/>
  <c r="N51" i="2"/>
  <c r="N50" i="2"/>
  <c r="N49" i="2"/>
  <c r="N48" i="2"/>
  <c r="N47" i="2"/>
  <c r="N46" i="2"/>
  <c r="N45" i="2"/>
  <c r="N44" i="2"/>
  <c r="N43" i="2"/>
  <c r="N42" i="2"/>
  <c r="N41" i="2"/>
  <c r="N40" i="2"/>
  <c r="N39" i="2"/>
  <c r="N38" i="2"/>
  <c r="N37" i="2"/>
  <c r="N36" i="2"/>
  <c r="N35" i="2"/>
  <c r="N34" i="2"/>
  <c r="N33" i="2"/>
  <c r="N32" i="2"/>
  <c r="N31" i="2"/>
  <c r="N30" i="2"/>
  <c r="N29" i="2"/>
  <c r="N28" i="2"/>
  <c r="N27" i="2"/>
  <c r="N26" i="2"/>
  <c r="N25" i="2"/>
  <c r="N24" i="2"/>
  <c r="N23" i="2"/>
  <c r="N22" i="2"/>
  <c r="N21" i="2"/>
  <c r="N20" i="2"/>
  <c r="N19" i="2"/>
  <c r="N18" i="2"/>
  <c r="N17" i="2"/>
  <c r="N16" i="2"/>
  <c r="N15" i="2"/>
  <c r="N14" i="2"/>
  <c r="N13" i="2"/>
  <c r="N12" i="2"/>
  <c r="N11" i="2"/>
  <c r="N10" i="2"/>
  <c r="N9" i="2"/>
  <c r="N8" i="2"/>
  <c r="N7" i="2"/>
  <c r="N6" i="2"/>
  <c r="N5" i="2"/>
  <c r="N4" i="2"/>
  <c r="N3" i="2"/>
</calcChain>
</file>

<file path=xl/sharedStrings.xml><?xml version="1.0" encoding="utf-8"?>
<sst xmlns="http://schemas.openxmlformats.org/spreadsheetml/2006/main" count="187" uniqueCount="113">
  <si>
    <t>instant</t>
  </si>
  <si>
    <t>dteday</t>
  </si>
  <si>
    <t>season</t>
  </si>
  <si>
    <t>yr</t>
  </si>
  <si>
    <t>mnth</t>
  </si>
  <si>
    <t>hr</t>
  </si>
  <si>
    <t>holiday</t>
  </si>
  <si>
    <t>weekday</t>
  </si>
  <si>
    <t>weathersit</t>
  </si>
  <si>
    <t>temp</t>
  </si>
  <si>
    <t>Season_Name</t>
  </si>
  <si>
    <t>Year_Name</t>
  </si>
  <si>
    <t>Holiday_Type</t>
  </si>
  <si>
    <t>Day_Name</t>
  </si>
  <si>
    <t>Weather_Name</t>
  </si>
  <si>
    <t>Time_Category</t>
  </si>
  <si>
    <t>Temp_Type</t>
  </si>
  <si>
    <t>ID_Check</t>
  </si>
  <si>
    <t>spring</t>
  </si>
  <si>
    <t>A1 → Dataset 1 Insights</t>
  </si>
  <si>
    <t xml:space="preserve">A2 → Most bike rentals occur on working days compared to holidays  </t>
  </si>
  <si>
    <t xml:space="preserve">A3 → Bike rentals decrease during rainy or bad weather conditions  </t>
  </si>
  <si>
    <t xml:space="preserve">A4 → Summer season shows higher demand compared to winter  </t>
  </si>
  <si>
    <t xml:space="preserve">A5 → Higher temperature leads to increased bike usage  </t>
  </si>
  <si>
    <t xml:space="preserve">A6 → Weekday usage is higher due to office commuting patterns  </t>
  </si>
  <si>
    <t>A7 → Duplicate records were checked and removed during data cleaning</t>
  </si>
  <si>
    <r>
      <t xml:space="preserve">1. </t>
    </r>
    <r>
      <rPr>
        <b/>
        <sz val="10"/>
        <color rgb="FF000000"/>
        <rFont val="Arial Unicode MS"/>
      </rPr>
      <t>instant</t>
    </r>
    <r>
      <rPr>
        <b/>
        <sz val="18"/>
        <color rgb="FF000000"/>
        <rFont val="Arial"/>
        <family val="2"/>
        <scheme val="minor"/>
      </rPr>
      <t xml:space="preserve"> → Check duplicate IDs</t>
    </r>
  </si>
  <si>
    <t>Used for checking whether record IDs are unique.</t>
  </si>
  <si>
    <t>Why used:</t>
  </si>
  <si>
    <t>To identify duplicate records in the dataset.</t>
  </si>
  <si>
    <t>formula :=IF(COUNTIF(A:A,A2)&gt;1,"Duplicate","Unique")</t>
  </si>
  <si>
    <r>
      <t xml:space="preserve">2. </t>
    </r>
    <r>
      <rPr>
        <b/>
        <sz val="10"/>
        <color rgb="FF000000"/>
        <rFont val="Arial Unicode MS"/>
      </rPr>
      <t>dteday</t>
    </r>
    <r>
      <rPr>
        <b/>
        <sz val="18"/>
        <color rgb="FF000000"/>
        <rFont val="Arial"/>
        <family val="2"/>
        <scheme val="minor"/>
      </rPr>
      <t xml:space="preserve"> → Convert date into day name</t>
    </r>
  </si>
  <si>
    <t>Used for identifying the day of the rental.</t>
  </si>
  <si>
    <t>To know whether rental happened on Sunday, Monday, etc.</t>
  </si>
  <si>
    <t>formula:=TEXT(B2,"dddd")</t>
  </si>
  <si>
    <t>Used for making coded data readable.</t>
  </si>
  <si>
    <t>To understand seasonal rental patterns.</t>
  </si>
  <si>
    <t>formula :=IF(C2=1,"Spring",IF(C2=2,"Summer",IF(C2=3,"Fall","Winter")))</t>
  </si>
  <si>
    <r>
      <t xml:space="preserve">4. </t>
    </r>
    <r>
      <rPr>
        <b/>
        <sz val="10"/>
        <color rgb="FF000000"/>
        <rFont val="Arial Unicode MS"/>
      </rPr>
      <t>yr</t>
    </r>
    <r>
      <rPr>
        <b/>
        <sz val="18"/>
        <color rgb="FF000000"/>
        <rFont val="Arial"/>
        <family val="2"/>
        <scheme val="minor"/>
      </rPr>
      <t xml:space="preserve"> → Convert year code</t>
    </r>
  </si>
  <si>
    <t>Used for converting year code into actual year.</t>
  </si>
  <si>
    <t>To identify rental year clearly.</t>
  </si>
  <si>
    <t>formula :=IF(D2=0,"2011","2012")</t>
  </si>
  <si>
    <r>
      <t>holiday</t>
    </r>
    <r>
      <rPr>
        <b/>
        <sz val="18"/>
        <color rgb="FF000000"/>
        <rFont val="Arial"/>
        <family val="2"/>
        <scheme val="minor"/>
      </rPr>
      <t xml:space="preserve"> → Holiday classification</t>
    </r>
  </si>
  <si>
    <t>Used for classifying holiday and working day.</t>
  </si>
  <si>
    <t>To analyze rental behavior on working days and holidays.</t>
  </si>
  <si>
    <t>formula :=IF(G2=FALSE,"Working Day","Holiday")</t>
  </si>
  <si>
    <r>
      <t xml:space="preserve">6. </t>
    </r>
    <r>
      <rPr>
        <b/>
        <sz val="10"/>
        <color rgb="FF000000"/>
        <rFont val="Arial Unicode MS"/>
      </rPr>
      <t>weekday</t>
    </r>
    <r>
      <rPr>
        <b/>
        <sz val="18"/>
        <color rgb="FF000000"/>
        <rFont val="Arial"/>
        <family val="2"/>
        <scheme val="minor"/>
      </rPr>
      <t xml:space="preserve"> → Convert weekday code into day name</t>
    </r>
  </si>
  <si>
    <t>Used for weekly analysis.</t>
  </si>
  <si>
    <t>To understand which day has more bike rentals.</t>
  </si>
  <si>
    <t>formula :=CHOOSE(H2+1,"Sunday","Monday","Tuesday","Wednesday","Thursday","Friday","Saturday")</t>
  </si>
  <si>
    <r>
      <t xml:space="preserve">7. </t>
    </r>
    <r>
      <rPr>
        <b/>
        <sz val="10"/>
        <color rgb="FF000000"/>
        <rFont val="Arial Unicode MS"/>
      </rPr>
      <t>weathersit</t>
    </r>
    <r>
      <rPr>
        <b/>
        <sz val="18"/>
        <color rgb="FF000000"/>
        <rFont val="Arial"/>
        <family val="2"/>
        <scheme val="minor"/>
      </rPr>
      <t xml:space="preserve"> → Convert weather code</t>
    </r>
  </si>
  <si>
    <t>Used for weather classification.</t>
  </si>
  <si>
    <t>To analyze weather impact on bike rentals.</t>
  </si>
  <si>
    <t xml:space="preserve"> formula :=IF(I2=1,"Clear",IF(I2=2,"Cloudy",IF(I2=3,"Rainy","Storm")))</t>
  </si>
  <si>
    <r>
      <t xml:space="preserve">8. </t>
    </r>
    <r>
      <rPr>
        <b/>
        <sz val="10"/>
        <color rgb="FF000000"/>
        <rFont val="Arial Unicode MS"/>
      </rPr>
      <t>temp</t>
    </r>
    <r>
      <rPr>
        <b/>
        <sz val="18"/>
        <color rgb="FF000000"/>
        <rFont val="Arial"/>
        <family val="2"/>
        <scheme val="minor"/>
      </rPr>
      <t xml:space="preserve"> → Temperature classification</t>
    </r>
  </si>
  <si>
    <t>Used for grouping temperature.</t>
  </si>
  <si>
    <t>To analyze temperature effect on demand.</t>
  </si>
  <si>
    <t>formula :=IF(J2&lt;0.3,"Cold",IF(J2&lt;0.6,"Normal","Hot"))</t>
  </si>
  <si>
    <r>
      <t xml:space="preserve">3. </t>
    </r>
    <r>
      <rPr>
        <b/>
        <sz val="10"/>
        <color rgb="FF000000"/>
        <rFont val="Arial Unicode MS"/>
      </rPr>
      <t>season</t>
    </r>
    <r>
      <rPr>
        <b/>
        <sz val="18"/>
        <color rgb="FF000000"/>
        <rFont val="Arial"/>
        <family val="2"/>
        <scheme val="minor"/>
      </rPr>
      <t xml:space="preserve"> → Convert season  into season name</t>
    </r>
  </si>
  <si>
    <t>Unnamed: 0</t>
  </si>
  <si>
    <t>atemp</t>
  </si>
  <si>
    <t>hum</t>
  </si>
  <si>
    <t>windspeed</t>
  </si>
  <si>
    <t>casual</t>
  </si>
  <si>
    <t>registered</t>
  </si>
  <si>
    <t>cnt</t>
  </si>
  <si>
    <t>Humidity_Level</t>
  </si>
  <si>
    <t>Wind_Level</t>
  </si>
  <si>
    <t>Casual_User_Level</t>
  </si>
  <si>
    <t>Registered_User_Level</t>
  </si>
  <si>
    <t>Demand_Level</t>
  </si>
  <si>
    <t>Dataset 2 Insights</t>
  </si>
  <si>
    <t>steps used in data set2</t>
  </si>
  <si>
    <t>1.Duplicate record IDs were checked in the instant column.
(COUNTIF formula used)</t>
  </si>
  <si>
    <t>2.Temperature values were converted into Cold, Normal, and Hot categories.
(IF formula used)</t>
  </si>
  <si>
    <t>3.Humidity values were converted into Low, Medium, and High levels.
(IF formula used)</t>
  </si>
  <si>
    <t>4.Wind speed values were converted into Low Wind, Medium Wind, and High Wind categories.
(IF formula used)</t>
  </si>
  <si>
    <t>5.Casual user values were grouped into user activity levels.
(IF formula used)</t>
  </si>
  <si>
    <t>6.Registered user values were grouped into user activity levels.
(IF formula used)</t>
  </si>
  <si>
    <t>7.Total rental count values were converted into demand levels.
(IF formula used)</t>
  </si>
  <si>
    <t>8.Missing values and duplicate records were checked and cleaned before analysis.</t>
  </si>
  <si>
    <t>METRIC</t>
  </si>
  <si>
    <t>VALUE</t>
  </si>
  <si>
    <r>
      <t>B</t>
    </r>
    <r>
      <rPr>
        <b/>
        <sz val="18"/>
        <color theme="2"/>
        <rFont val="Arial"/>
        <family val="2"/>
        <scheme val="minor"/>
      </rPr>
      <t>ike Sharing Demand Analysis</t>
    </r>
  </si>
  <si>
    <t>TOTAL RENTAL</t>
  </si>
  <si>
    <t>AVERAGE RENTAL</t>
  </si>
  <si>
    <t xml:space="preserve">               MINIMUM RENTALS</t>
  </si>
  <si>
    <t xml:space="preserve">                MAXIMUM RENTALS</t>
  </si>
  <si>
    <t>Row Labels</t>
  </si>
  <si>
    <t>Grand Total</t>
  </si>
  <si>
    <t>Sum of cnt</t>
  </si>
  <si>
    <t>metric</t>
  </si>
  <si>
    <t>value</t>
  </si>
  <si>
    <t>day_typ</t>
  </si>
  <si>
    <t>KPI Calculations</t>
  </si>
  <si>
    <t>Total rentals</t>
  </si>
  <si>
    <t>Average rentals</t>
  </si>
  <si>
    <t>max rentals</t>
  </si>
  <si>
    <t>min rentals</t>
  </si>
  <si>
    <t>Bike Sharing Demand Dashboard</t>
  </si>
  <si>
    <t>Bike Sharing Demand Analysis Insights</t>
  </si>
  <si>
    <t>NO</t>
  </si>
  <si>
    <t>INSIGHTS</t>
  </si>
  <si>
    <t>Peak Hour Analysis</t>
  </si>
  <si>
    <t>Bike rentals were highest during morning and evening hours.
The maximum demand was observed around 8 AM and 5–6 PM.</t>
  </si>
  <si>
    <t>Weather Analysis</t>
  </si>
  <si>
    <t>Bike rentals were highest during clear weather conditions (weathersit = 1).
Rental demand decreased during poor weather conditions.</t>
  </si>
  <si>
    <t>Weekend Analysis</t>
  </si>
  <si>
    <t>Bike rentals increased on weekends compared to weekdays.</t>
  </si>
  <si>
    <t>User Analysis</t>
  </si>
  <si>
    <t>Registered users contributed significantly more rentals than casual users.</t>
  </si>
  <si>
    <t>Demand Trend Analysis</t>
  </si>
  <si>
    <t>Rental demand was lowest at night and highest during daytime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</si>
</sst>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0">
    <font>
      <sz val="10"/>
      <color rgb="FF000000"/>
      <name val="Arial"/>
      <scheme val="minor"/>
    </font>
    <font>
      <sz val="11"/>
      <color theme="1"/>
      <name val="Arial"/>
      <family val="2"/>
      <scheme val="minor"/>
    </font>
    <font>
      <sz val="10"/>
      <color theme="1"/>
      <name val="Arial"/>
      <scheme val="minor"/>
    </font>
    <font>
      <b/>
      <sz val="10"/>
      <color rgb="FF000000"/>
      <name val="Arial"/>
      <scheme val="minor"/>
    </font>
    <font>
      <sz val="10"/>
      <color rgb="FF000000"/>
      <name val="Arial Unicode MS"/>
    </font>
    <font>
      <sz val="10"/>
      <color rgb="FF000000"/>
      <name val="Arial"/>
      <family val="2"/>
      <scheme val="minor"/>
    </font>
    <font>
      <b/>
      <sz val="10"/>
      <color rgb="FF000000"/>
      <name val="Arial"/>
      <family val="2"/>
      <scheme val="minor"/>
    </font>
    <font>
      <b/>
      <sz val="18"/>
      <color rgb="FF000000"/>
      <name val="Arial"/>
      <family val="2"/>
      <scheme val="minor"/>
    </font>
    <font>
      <b/>
      <sz val="10"/>
      <color rgb="FF000000"/>
      <name val="Arial Unicode MS"/>
    </font>
    <font>
      <u/>
      <sz val="11"/>
      <color rgb="FF000000"/>
      <name val="Arial"/>
      <family val="2"/>
      <scheme val="minor"/>
    </font>
    <font>
      <sz val="11"/>
      <color theme="1"/>
      <name val="Arial"/>
      <scheme val="minor"/>
    </font>
    <font>
      <i/>
      <sz val="11"/>
      <color theme="1"/>
      <name val="Arial"/>
      <family val="2"/>
      <scheme val="minor"/>
    </font>
    <font>
      <b/>
      <sz val="16"/>
      <color rgb="FFFF0000"/>
      <name val="Arial"/>
      <family val="2"/>
      <scheme val="minor"/>
    </font>
    <font>
      <sz val="14"/>
      <color theme="4"/>
      <name val="Arial"/>
      <family val="2"/>
      <scheme val="minor"/>
    </font>
    <font>
      <sz val="10"/>
      <color theme="1"/>
      <name val="Arial"/>
      <family val="2"/>
      <scheme val="minor"/>
    </font>
    <font>
      <b/>
      <sz val="18"/>
      <color theme="2"/>
      <name val="Arial"/>
      <family val="2"/>
      <scheme val="minor"/>
    </font>
    <font>
      <sz val="16"/>
      <color rgb="FF000000"/>
      <name val="Arial"/>
      <family val="2"/>
      <scheme val="minor"/>
    </font>
    <font>
      <b/>
      <sz val="12"/>
      <color rgb="FF000000"/>
      <name val="Arial"/>
      <family val="2"/>
      <scheme val="minor"/>
    </font>
    <font>
      <b/>
      <sz val="11"/>
      <color rgb="FF000000"/>
      <name val="Arial"/>
      <family val="2"/>
      <scheme val="minor"/>
    </font>
    <font>
      <sz val="18"/>
      <color theme="2"/>
      <name val="Arial"/>
      <family val="2"/>
      <scheme val="minor"/>
    </font>
    <font>
      <sz val="8"/>
      <name val="Arial"/>
      <family val="2"/>
      <scheme val="minor"/>
    </font>
    <font>
      <sz val="20"/>
      <color theme="2"/>
      <name val="Arial"/>
      <family val="2"/>
      <scheme val="minor"/>
    </font>
    <font>
      <sz val="16"/>
      <color theme="4"/>
      <name val="Arial"/>
      <family val="2"/>
      <scheme val="minor"/>
    </font>
    <font>
      <b/>
      <sz val="12"/>
      <color theme="4"/>
      <name val="Arial"/>
      <family val="2"/>
      <scheme val="minor"/>
    </font>
    <font>
      <b/>
      <sz val="16"/>
      <color theme="4"/>
      <name val="Arial"/>
      <family val="2"/>
      <scheme val="minor"/>
    </font>
    <font>
      <b/>
      <sz val="16"/>
      <color theme="2"/>
      <name val="Times New Roman"/>
      <family val="1"/>
    </font>
    <font>
      <b/>
      <sz val="16"/>
      <color rgb="FF000000"/>
      <name val="Arial"/>
      <family val="2"/>
      <scheme val="minor"/>
    </font>
    <font>
      <sz val="10"/>
      <color theme="4"/>
      <name val="Arial"/>
      <family val="2"/>
      <scheme val="minor"/>
    </font>
    <font>
      <b/>
      <sz val="20"/>
      <color theme="2"/>
      <name val="Arial"/>
      <family val="2"/>
      <scheme val="minor"/>
    </font>
    <font>
      <sz val="22"/>
      <color theme="2"/>
      <name val="Arial"/>
      <family val="2"/>
      <scheme val="minor"/>
    </font>
  </fonts>
  <fills count="8">
    <fill>
      <patternFill patternType="none"/>
    </fill>
    <fill>
      <patternFill patternType="gray125"/>
    </fill>
    <fill>
      <patternFill patternType="solid">
        <fgColor rgb="FFFFFF0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4"/>
        <bgColor indexed="64"/>
      </patternFill>
    </fill>
    <fill>
      <patternFill patternType="solid">
        <fgColor theme="4" tint="0.59999389629810485"/>
        <bgColor indexed="64"/>
      </patternFill>
    </fill>
    <fill>
      <patternFill patternType="solid">
        <fgColor theme="6"/>
        <bgColor indexed="64"/>
      </patternFill>
    </fill>
  </fills>
  <borders count="2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1"/>
      </left>
      <right style="thin">
        <color theme="1"/>
      </right>
      <top style="thin">
        <color theme="1"/>
      </top>
      <bottom style="thin">
        <color theme="1"/>
      </bottom>
      <diagonal/>
    </border>
    <border>
      <left/>
      <right/>
      <top style="thin">
        <color theme="1"/>
      </top>
      <bottom/>
      <diagonal/>
    </border>
    <border>
      <left/>
      <right style="thin">
        <color theme="1"/>
      </right>
      <top/>
      <bottom style="thin">
        <color theme="1"/>
      </bottom>
      <diagonal/>
    </border>
    <border>
      <left style="thin">
        <color theme="1"/>
      </left>
      <right/>
      <top/>
      <bottom style="thin">
        <color theme="1"/>
      </bottom>
      <diagonal/>
    </border>
    <border>
      <left/>
      <right style="thin">
        <color theme="1"/>
      </right>
      <top style="thin">
        <color theme="1"/>
      </top>
      <bottom/>
      <diagonal/>
    </border>
    <border>
      <left style="thin">
        <color theme="1"/>
      </left>
      <right/>
      <top style="thin">
        <color theme="1"/>
      </top>
      <bottom/>
      <diagonal/>
    </border>
    <border>
      <left/>
      <right/>
      <top/>
      <bottom style="thin">
        <color theme="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5" fillId="0" borderId="0"/>
  </cellStyleXfs>
  <cellXfs count="125">
    <xf numFmtId="0" fontId="0" fillId="0" borderId="0" xfId="0"/>
    <xf numFmtId="0" fontId="2" fillId="0" borderId="0" xfId="0" applyFont="1"/>
    <xf numFmtId="164" fontId="2" fillId="0" borderId="0" xfId="0" applyNumberFormat="1" applyFont="1"/>
    <xf numFmtId="0" fontId="3" fillId="0" borderId="0" xfId="0" applyFont="1"/>
    <xf numFmtId="0" fontId="4" fillId="0" borderId="0" xfId="0" applyFont="1"/>
    <xf numFmtId="0" fontId="6" fillId="0" borderId="0" xfId="0" applyFont="1"/>
    <xf numFmtId="0" fontId="6" fillId="0" borderId="0" xfId="0" applyFont="1" applyAlignment="1">
      <alignment horizontal="left" vertical="center" indent="1"/>
    </xf>
    <xf numFmtId="0" fontId="5" fillId="0" borderId="0" xfId="0" applyFont="1"/>
    <xf numFmtId="0" fontId="7" fillId="0" borderId="0" xfId="0" applyFont="1" applyAlignment="1">
      <alignment vertical="center"/>
    </xf>
    <xf numFmtId="0" fontId="0" fillId="0" borderId="0" xfId="0" applyAlignment="1">
      <alignment vertical="center"/>
    </xf>
    <xf numFmtId="0" fontId="4" fillId="0" borderId="0" xfId="0" applyFont="1" applyAlignment="1">
      <alignment vertical="center"/>
    </xf>
    <xf numFmtId="0" fontId="8" fillId="0" borderId="0" xfId="0" applyFont="1" applyAlignment="1">
      <alignment vertical="center"/>
    </xf>
    <xf numFmtId="0" fontId="9" fillId="0" borderId="0" xfId="0" applyFont="1" applyAlignment="1">
      <alignment vertical="center"/>
    </xf>
    <xf numFmtId="0" fontId="10" fillId="0" borderId="0" xfId="0" applyFont="1"/>
    <xf numFmtId="0" fontId="11" fillId="0" borderId="0" xfId="0" applyFont="1"/>
    <xf numFmtId="0" fontId="1" fillId="0" borderId="0" xfId="0" applyFont="1"/>
    <xf numFmtId="0" fontId="12" fillId="2" borderId="0" xfId="0" applyFont="1" applyFill="1" applyAlignment="1">
      <alignment horizontal="center"/>
    </xf>
    <xf numFmtId="0" fontId="13" fillId="0" borderId="0" xfId="0" applyFont="1" applyAlignment="1">
      <alignment horizontal="left" vertical="top"/>
    </xf>
    <xf numFmtId="0" fontId="1" fillId="0" borderId="0" xfId="0" applyFont="1" applyAlignment="1">
      <alignment wrapText="1"/>
    </xf>
    <xf numFmtId="0" fontId="14" fillId="4" borderId="4" xfId="0" applyFont="1" applyFill="1" applyBorder="1"/>
    <xf numFmtId="0" fontId="14" fillId="0" borderId="4" xfId="0" applyFont="1" applyBorder="1"/>
    <xf numFmtId="0" fontId="14" fillId="4" borderId="5" xfId="0" applyFont="1" applyFill="1" applyBorder="1"/>
    <xf numFmtId="0" fontId="14" fillId="4" borderId="6" xfId="0" applyFont="1" applyFill="1" applyBorder="1"/>
    <xf numFmtId="0" fontId="14" fillId="0" borderId="5" xfId="0" applyFont="1" applyBorder="1"/>
    <xf numFmtId="0" fontId="14" fillId="0" borderId="6" xfId="0" applyFont="1" applyBorder="1"/>
    <xf numFmtId="0" fontId="14" fillId="0" borderId="1" xfId="0" applyFont="1" applyBorder="1"/>
    <xf numFmtId="0" fontId="14" fillId="0" borderId="2" xfId="0" applyFont="1" applyBorder="1"/>
    <xf numFmtId="0" fontId="14" fillId="0" borderId="3" xfId="0" applyFont="1" applyBorder="1"/>
    <xf numFmtId="0" fontId="14" fillId="3" borderId="4" xfId="0" applyFont="1" applyFill="1" applyBorder="1"/>
    <xf numFmtId="0" fontId="14" fillId="3" borderId="5" xfId="0" applyFont="1" applyFill="1" applyBorder="1"/>
    <xf numFmtId="0" fontId="14" fillId="3" borderId="6" xfId="0" applyFont="1" applyFill="1" applyBorder="1"/>
    <xf numFmtId="0" fontId="0" fillId="0" borderId="7" xfId="0" applyBorder="1"/>
    <xf numFmtId="0" fontId="0" fillId="0" borderId="0" xfId="0" applyAlignment="1">
      <alignment horizontal="left" indent="5"/>
    </xf>
    <xf numFmtId="0" fontId="0" fillId="0" borderId="0" xfId="0" pivotButton="1"/>
    <xf numFmtId="0" fontId="0" fillId="0" borderId="0" xfId="0" applyAlignment="1">
      <alignment horizontal="left"/>
    </xf>
    <xf numFmtId="0" fontId="14" fillId="0" borderId="0" xfId="1" applyFont="1"/>
    <xf numFmtId="164" fontId="14" fillId="0" borderId="0" xfId="1" applyNumberFormat="1" applyFont="1"/>
    <xf numFmtId="15" fontId="14" fillId="0" borderId="0" xfId="1" applyNumberFormat="1" applyFont="1"/>
    <xf numFmtId="0" fontId="14" fillId="0" borderId="0" xfId="0" applyFont="1"/>
    <xf numFmtId="0" fontId="21" fillId="0" borderId="0" xfId="0" applyFont="1" applyAlignment="1">
      <alignment horizontal="center"/>
    </xf>
    <xf numFmtId="0" fontId="21" fillId="0" borderId="0" xfId="0" applyFont="1" applyAlignment="1">
      <alignment horizontal="center" vertical="center"/>
    </xf>
    <xf numFmtId="0" fontId="7" fillId="0" borderId="0" xfId="0" applyFont="1" applyAlignment="1">
      <alignment horizontal="center" vertical="center"/>
    </xf>
    <xf numFmtId="0" fontId="22" fillId="0" borderId="0" xfId="0" applyFont="1" applyAlignment="1">
      <alignment horizontal="center" vertical="center"/>
    </xf>
    <xf numFmtId="0" fontId="23" fillId="0" borderId="0" xfId="0" applyFont="1" applyAlignment="1">
      <alignment horizontal="center" vertical="center"/>
    </xf>
    <xf numFmtId="0" fontId="24" fillId="0" borderId="0" xfId="0" applyFont="1" applyAlignment="1">
      <alignment horizontal="center" vertical="center"/>
    </xf>
    <xf numFmtId="0" fontId="0" fillId="0" borderId="0" xfId="0" applyAlignment="1">
      <alignment horizontal="center" vertical="center"/>
    </xf>
    <xf numFmtId="0" fontId="28" fillId="0" borderId="0" xfId="0" applyFont="1"/>
    <xf numFmtId="0" fontId="5" fillId="0" borderId="22" xfId="0" applyFont="1" applyBorder="1" applyAlignment="1">
      <alignment wrapText="1"/>
    </xf>
    <xf numFmtId="0" fontId="27" fillId="0" borderId="15" xfId="0" applyFont="1" applyBorder="1"/>
    <xf numFmtId="0" fontId="5" fillId="0" borderId="15" xfId="0" applyFont="1" applyBorder="1" applyAlignment="1">
      <alignment horizontal="left" vertical="top" wrapText="1"/>
    </xf>
    <xf numFmtId="0" fontId="5" fillId="0" borderId="21" xfId="0" applyFont="1" applyBorder="1" applyAlignment="1">
      <alignment horizontal="left" vertical="top"/>
    </xf>
    <xf numFmtId="0" fontId="5" fillId="0" borderId="22" xfId="0" applyFont="1" applyBorder="1" applyAlignment="1">
      <alignment horizontal="left" vertical="top"/>
    </xf>
    <xf numFmtId="0" fontId="17" fillId="0" borderId="12" xfId="0" applyFont="1" applyBorder="1" applyAlignment="1">
      <alignment horizontal="center"/>
    </xf>
    <xf numFmtId="0" fontId="0" fillId="0" borderId="8" xfId="0" applyBorder="1" applyAlignment="1">
      <alignment horizontal="center"/>
    </xf>
    <xf numFmtId="0" fontId="0" fillId="0" borderId="11" xfId="0" applyBorder="1" applyAlignment="1">
      <alignment horizontal="center"/>
    </xf>
    <xf numFmtId="0" fontId="0" fillId="0" borderId="10" xfId="0" applyBorder="1" applyAlignment="1">
      <alignment horizontal="center"/>
    </xf>
    <xf numFmtId="0" fontId="0" fillId="0" borderId="13" xfId="0" applyBorder="1" applyAlignment="1">
      <alignment horizontal="center"/>
    </xf>
    <xf numFmtId="0" fontId="0" fillId="0" borderId="9" xfId="0" applyBorder="1" applyAlignment="1">
      <alignment horizontal="center"/>
    </xf>
    <xf numFmtId="0" fontId="17" fillId="0" borderId="8" xfId="0" applyFont="1" applyBorder="1" applyAlignment="1">
      <alignment horizontal="center"/>
    </xf>
    <xf numFmtId="0" fontId="17" fillId="0" borderId="11" xfId="0" applyFont="1" applyBorder="1" applyAlignment="1">
      <alignment horizontal="center"/>
    </xf>
    <xf numFmtId="0" fontId="17" fillId="0" borderId="10" xfId="0" applyFont="1" applyBorder="1" applyAlignment="1">
      <alignment horizontal="center"/>
    </xf>
    <xf numFmtId="0" fontId="17" fillId="0" borderId="13" xfId="0" applyFont="1" applyBorder="1" applyAlignment="1">
      <alignment horizontal="center"/>
    </xf>
    <xf numFmtId="0" fontId="17" fillId="0" borderId="9" xfId="0" applyFont="1" applyBorder="1" applyAlignment="1">
      <alignment horizontal="center"/>
    </xf>
    <xf numFmtId="0" fontId="18" fillId="0" borderId="12" xfId="0" applyFont="1" applyBorder="1" applyAlignment="1">
      <alignment horizontal="center"/>
    </xf>
    <xf numFmtId="0" fontId="19" fillId="5" borderId="0" xfId="0" applyFont="1" applyFill="1" applyAlignment="1">
      <alignment horizontal="left" indent="1"/>
    </xf>
    <xf numFmtId="0" fontId="16" fillId="6" borderId="7" xfId="0" applyFont="1" applyFill="1" applyBorder="1" applyAlignment="1">
      <alignment horizontal="center"/>
    </xf>
    <xf numFmtId="0" fontId="17" fillId="0" borderId="12" xfId="0" applyFont="1" applyBorder="1" applyAlignment="1">
      <alignment horizontal="left" indent="5"/>
    </xf>
    <xf numFmtId="0" fontId="0" fillId="0" borderId="8" xfId="0" applyBorder="1" applyAlignment="1">
      <alignment horizontal="left" indent="5"/>
    </xf>
    <xf numFmtId="0" fontId="0" fillId="0" borderId="11" xfId="0" applyBorder="1" applyAlignment="1">
      <alignment horizontal="left" indent="5"/>
    </xf>
    <xf numFmtId="0" fontId="0" fillId="0" borderId="10" xfId="0" applyBorder="1" applyAlignment="1">
      <alignment horizontal="left" indent="5"/>
    </xf>
    <xf numFmtId="0" fontId="0" fillId="0" borderId="13" xfId="0" applyBorder="1" applyAlignment="1">
      <alignment horizontal="left" indent="5"/>
    </xf>
    <xf numFmtId="0" fontId="0" fillId="0" borderId="9" xfId="0" applyBorder="1" applyAlignment="1">
      <alignment horizontal="left" indent="5"/>
    </xf>
    <xf numFmtId="0" fontId="16" fillId="0" borderId="12" xfId="0" applyFont="1" applyBorder="1" applyAlignment="1">
      <alignment horizontal="center"/>
    </xf>
    <xf numFmtId="0" fontId="16" fillId="0" borderId="8" xfId="0" applyFont="1" applyBorder="1" applyAlignment="1">
      <alignment horizontal="center"/>
    </xf>
    <xf numFmtId="0" fontId="16" fillId="0" borderId="11" xfId="0" applyFont="1" applyBorder="1" applyAlignment="1">
      <alignment horizontal="center"/>
    </xf>
    <xf numFmtId="0" fontId="16" fillId="0" borderId="10" xfId="0" applyFont="1" applyBorder="1" applyAlignment="1">
      <alignment horizontal="center"/>
    </xf>
    <xf numFmtId="0" fontId="16" fillId="0" borderId="13" xfId="0" applyFont="1" applyBorder="1" applyAlignment="1">
      <alignment horizontal="center"/>
    </xf>
    <xf numFmtId="0" fontId="16" fillId="0" borderId="9" xfId="0" applyFont="1" applyBorder="1" applyAlignment="1">
      <alignment horizontal="center"/>
    </xf>
    <xf numFmtId="0" fontId="18" fillId="0" borderId="12" xfId="0" applyFont="1" applyBorder="1" applyAlignment="1">
      <alignment horizontal="left" indent="4"/>
    </xf>
    <xf numFmtId="0" fontId="0" fillId="0" borderId="8" xfId="0" applyBorder="1" applyAlignment="1">
      <alignment horizontal="left" indent="4"/>
    </xf>
    <xf numFmtId="0" fontId="0" fillId="0" borderId="11" xfId="0" applyBorder="1" applyAlignment="1">
      <alignment horizontal="left" indent="4"/>
    </xf>
    <xf numFmtId="0" fontId="0" fillId="0" borderId="10" xfId="0" applyBorder="1" applyAlignment="1">
      <alignment horizontal="left" indent="4"/>
    </xf>
    <xf numFmtId="0" fontId="0" fillId="0" borderId="13" xfId="0" applyBorder="1" applyAlignment="1">
      <alignment horizontal="left" indent="4"/>
    </xf>
    <xf numFmtId="0" fontId="0" fillId="0" borderId="9" xfId="0" applyBorder="1" applyAlignment="1">
      <alignment horizontal="left" indent="4"/>
    </xf>
    <xf numFmtId="0" fontId="24" fillId="0" borderId="16" xfId="0" applyFont="1" applyBorder="1" applyAlignment="1">
      <alignment horizontal="center" vertical="center"/>
    </xf>
    <xf numFmtId="0" fontId="24" fillId="0" borderId="18" xfId="0" applyFont="1" applyBorder="1" applyAlignment="1">
      <alignment horizontal="center" vertical="center"/>
    </xf>
    <xf numFmtId="0" fontId="24" fillId="0" borderId="19" xfId="0" applyFont="1" applyBorder="1" applyAlignment="1">
      <alignment horizontal="center" vertical="center"/>
    </xf>
    <xf numFmtId="0" fontId="24" fillId="0" borderId="20" xfId="0" applyFont="1" applyBorder="1" applyAlignment="1">
      <alignment horizontal="center" vertical="center"/>
    </xf>
    <xf numFmtId="0" fontId="24" fillId="0" borderId="15" xfId="0" applyFont="1" applyBorder="1" applyAlignment="1">
      <alignment horizontal="center" vertical="center"/>
    </xf>
    <xf numFmtId="0" fontId="5" fillId="0" borderId="16" xfId="0" applyFont="1" applyBorder="1" applyAlignment="1">
      <alignment horizontal="center" vertical="center"/>
    </xf>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5" fillId="0" borderId="15" xfId="0" applyFont="1" applyBorder="1" applyAlignment="1">
      <alignment horizontal="center" vertical="center"/>
    </xf>
    <xf numFmtId="0" fontId="21" fillId="5" borderId="16" xfId="0" applyFont="1" applyFill="1" applyBorder="1" applyAlignment="1">
      <alignment horizontal="center" vertical="center"/>
    </xf>
    <xf numFmtId="0" fontId="21" fillId="5" borderId="17" xfId="0" applyFont="1" applyFill="1" applyBorder="1" applyAlignment="1">
      <alignment horizontal="center" vertical="center"/>
    </xf>
    <xf numFmtId="0" fontId="21" fillId="5" borderId="18" xfId="0" applyFont="1" applyFill="1" applyBorder="1" applyAlignment="1">
      <alignment horizontal="center" vertical="center"/>
    </xf>
    <xf numFmtId="0" fontId="21" fillId="5" borderId="19" xfId="0" applyFont="1" applyFill="1" applyBorder="1" applyAlignment="1">
      <alignment horizontal="center" vertical="center"/>
    </xf>
    <xf numFmtId="0" fontId="21" fillId="5" borderId="14" xfId="0" applyFont="1" applyFill="1" applyBorder="1" applyAlignment="1">
      <alignment horizontal="center" vertical="center"/>
    </xf>
    <xf numFmtId="0" fontId="21" fillId="5" borderId="20" xfId="0" applyFont="1" applyFill="1" applyBorder="1" applyAlignment="1">
      <alignment horizontal="center" vertical="center"/>
    </xf>
    <xf numFmtId="0" fontId="7" fillId="7" borderId="16" xfId="0" applyFont="1" applyFill="1" applyBorder="1" applyAlignment="1">
      <alignment horizontal="center" vertical="center"/>
    </xf>
    <xf numFmtId="0" fontId="7" fillId="7" borderId="18" xfId="0" applyFont="1" applyFill="1" applyBorder="1" applyAlignment="1">
      <alignment horizontal="center" vertical="center"/>
    </xf>
    <xf numFmtId="0" fontId="7" fillId="7" borderId="19" xfId="0" applyFont="1" applyFill="1" applyBorder="1" applyAlignment="1">
      <alignment horizontal="center" vertical="center"/>
    </xf>
    <xf numFmtId="0" fontId="7" fillId="7" borderId="20" xfId="0" applyFont="1" applyFill="1" applyBorder="1" applyAlignment="1">
      <alignment horizontal="center" vertical="center"/>
    </xf>
    <xf numFmtId="0" fontId="22" fillId="0" borderId="16" xfId="0" applyFont="1" applyBorder="1" applyAlignment="1">
      <alignment horizontal="center" vertical="center"/>
    </xf>
    <xf numFmtId="0" fontId="22" fillId="0" borderId="18" xfId="0" applyFont="1" applyBorder="1" applyAlignment="1">
      <alignment horizontal="center" vertical="center"/>
    </xf>
    <xf numFmtId="0" fontId="22" fillId="0" borderId="19" xfId="0" applyFont="1" applyBorder="1" applyAlignment="1">
      <alignment horizontal="center" vertical="center"/>
    </xf>
    <xf numFmtId="0" fontId="22" fillId="0" borderId="20" xfId="0" applyFont="1" applyBorder="1" applyAlignment="1">
      <alignment horizontal="center" vertical="center"/>
    </xf>
    <xf numFmtId="0" fontId="23" fillId="0" borderId="16" xfId="0" applyFont="1" applyBorder="1" applyAlignment="1">
      <alignment horizontal="center" vertical="center"/>
    </xf>
    <xf numFmtId="0" fontId="23" fillId="0" borderId="18" xfId="0" applyFont="1" applyBorder="1" applyAlignment="1">
      <alignment horizontal="center" vertical="center"/>
    </xf>
    <xf numFmtId="0" fontId="23" fillId="0" borderId="19" xfId="0" applyFont="1" applyBorder="1" applyAlignment="1">
      <alignment horizontal="center" vertical="center"/>
    </xf>
    <xf numFmtId="0" fontId="23" fillId="0" borderId="20" xfId="0" applyFont="1" applyBorder="1" applyAlignment="1">
      <alignment horizontal="center" vertical="center"/>
    </xf>
    <xf numFmtId="0" fontId="25" fillId="5" borderId="15" xfId="0" applyFont="1" applyFill="1" applyBorder="1" applyAlignment="1">
      <alignment horizontal="center"/>
    </xf>
    <xf numFmtId="0" fontId="5" fillId="0" borderId="15" xfId="0" applyFont="1" applyBorder="1" applyAlignment="1">
      <alignment horizontal="left" vertical="top"/>
    </xf>
    <xf numFmtId="0" fontId="26" fillId="0" borderId="15" xfId="0" applyFont="1" applyBorder="1" applyAlignment="1">
      <alignment horizontal="center" vertical="center"/>
    </xf>
    <xf numFmtId="0" fontId="26" fillId="0" borderId="21" xfId="0" applyFont="1" applyBorder="1" applyAlignment="1">
      <alignment horizontal="center" vertical="center"/>
    </xf>
    <xf numFmtId="0" fontId="26" fillId="0" borderId="23" xfId="0" applyFont="1" applyBorder="1" applyAlignment="1">
      <alignment horizontal="center" vertical="center"/>
    </xf>
    <xf numFmtId="0" fontId="26" fillId="0" borderId="22" xfId="0" applyFont="1" applyBorder="1" applyAlignment="1">
      <alignment horizontal="center" vertical="center"/>
    </xf>
    <xf numFmtId="0" fontId="29" fillId="5" borderId="0" xfId="0" applyFont="1" applyFill="1" applyAlignment="1">
      <alignment horizontal="center"/>
    </xf>
    <xf numFmtId="0" fontId="26" fillId="0" borderId="21" xfId="0" applyFont="1" applyBorder="1" applyAlignment="1">
      <alignment horizontal="center"/>
    </xf>
    <xf numFmtId="0" fontId="5" fillId="0" borderId="22" xfId="0" applyFont="1" applyBorder="1" applyAlignment="1">
      <alignment horizontal="center"/>
    </xf>
    <xf numFmtId="0" fontId="26" fillId="0" borderId="15" xfId="0" applyFont="1" applyBorder="1" applyAlignment="1">
      <alignment horizontal="center"/>
    </xf>
    <xf numFmtId="0" fontId="5" fillId="0" borderId="15" xfId="0" applyFont="1" applyBorder="1" applyAlignment="1">
      <alignment horizontal="center"/>
    </xf>
    <xf numFmtId="0" fontId="26" fillId="0" borderId="16" xfId="0" applyFont="1" applyBorder="1" applyAlignment="1">
      <alignment horizontal="center" vertical="center"/>
    </xf>
    <xf numFmtId="0" fontId="0" fillId="0" borderId="0" xfId="0" applyNumberFormat="1"/>
  </cellXfs>
  <cellStyles count="2">
    <cellStyle name="Normal" xfId="0" builtinId="0"/>
    <cellStyle name="Normal 2" xfId="1" xr:uid="{0F25F915-376B-4E7F-866B-4A57ACEC40C7}"/>
  </cellStyles>
  <dxfs count="77">
    <dxf>
      <font>
        <b val="0"/>
        <i val="0"/>
        <strike val="0"/>
        <condense val="0"/>
        <extend val="0"/>
        <outline val="0"/>
        <shadow val="0"/>
        <u val="none"/>
        <vertAlign val="baseline"/>
        <sz val="10"/>
        <color theme="1"/>
        <name val="Arial"/>
        <scheme val="minor"/>
      </font>
      <numFmt numFmtId="0" formatCode="General"/>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164" formatCode="dd\-mm\-yyyy"/>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numFmt numFmtId="164" formatCode="dd\-mm\-yyyy"/>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164" formatCode="dd\-mm\-yyyy"/>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1"/>
        <color theme="1"/>
        <name val="Arial"/>
        <scheme val="minor"/>
      </font>
    </dxf>
    <dxf>
      <font>
        <b val="0"/>
        <i val="0"/>
        <strike val="0"/>
        <condense val="0"/>
        <extend val="0"/>
        <outline val="0"/>
        <shadow val="0"/>
        <u val="none"/>
        <vertAlign val="baseline"/>
        <sz val="11"/>
        <color theme="1"/>
        <name val="Arial"/>
        <scheme val="minor"/>
      </font>
    </dxf>
    <dxf>
      <font>
        <b val="0"/>
        <i val="0"/>
        <strike val="0"/>
        <condense val="0"/>
        <extend val="0"/>
        <outline val="0"/>
        <shadow val="0"/>
        <u val="none"/>
        <vertAlign val="baseline"/>
        <sz val="11"/>
        <color theme="1"/>
        <name val="Arial"/>
        <scheme val="minor"/>
      </font>
    </dxf>
    <dxf>
      <font>
        <b val="0"/>
        <i val="0"/>
        <strike val="0"/>
        <condense val="0"/>
        <extend val="0"/>
        <outline val="0"/>
        <shadow val="0"/>
        <u val="none"/>
        <vertAlign val="baseline"/>
        <sz val="11"/>
        <color theme="1"/>
        <name val="Arial"/>
        <scheme val="minor"/>
      </font>
    </dxf>
    <dxf>
      <font>
        <b val="0"/>
        <i val="0"/>
        <strike val="0"/>
        <condense val="0"/>
        <extend val="0"/>
        <outline val="0"/>
        <shadow val="0"/>
        <u val="none"/>
        <vertAlign val="baseline"/>
        <sz val="11"/>
        <color theme="1"/>
        <name val="Arial"/>
        <scheme val="minor"/>
      </font>
    </dxf>
    <dxf>
      <font>
        <b val="0"/>
        <i val="0"/>
        <strike val="0"/>
        <condense val="0"/>
        <extend val="0"/>
        <outline val="0"/>
        <shadow val="0"/>
        <u val="none"/>
        <vertAlign val="baseline"/>
        <sz val="11"/>
        <color theme="1"/>
        <name val="Arial"/>
        <scheme val="minor"/>
      </font>
    </dxf>
    <dxf>
      <font>
        <b val="0"/>
        <i val="0"/>
        <strike val="0"/>
        <condense val="0"/>
        <extend val="0"/>
        <outline val="0"/>
        <shadow val="0"/>
        <u val="none"/>
        <vertAlign val="baseline"/>
        <sz val="11"/>
        <color theme="1"/>
        <name val="Arial"/>
        <scheme val="minor"/>
      </font>
    </dxf>
    <dxf>
      <font>
        <b val="0"/>
        <i val="0"/>
        <strike val="0"/>
        <condense val="0"/>
        <extend val="0"/>
        <outline val="0"/>
        <shadow val="0"/>
        <u val="none"/>
        <vertAlign val="baseline"/>
        <sz val="11"/>
        <color theme="1"/>
        <name val="Arial"/>
        <scheme val="minor"/>
      </font>
    </dxf>
    <dxf>
      <font>
        <b val="0"/>
        <i val="0"/>
        <strike val="0"/>
        <condense val="0"/>
        <extend val="0"/>
        <outline val="0"/>
        <shadow val="0"/>
        <u val="none"/>
        <vertAlign val="baseline"/>
        <sz val="11"/>
        <color theme="1"/>
        <name val="Arial"/>
        <scheme val="minor"/>
      </font>
    </dxf>
    <dxf>
      <font>
        <b val="0"/>
        <i val="0"/>
        <strike val="0"/>
        <condense val="0"/>
        <extend val="0"/>
        <outline val="0"/>
        <shadow val="0"/>
        <u val="none"/>
        <vertAlign val="baseline"/>
        <sz val="11"/>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164" formatCode="dd\-mm\-yyyy"/>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[dataset1 anishkr15.xlsx]Hour Wise Bike rentals!PivotTable1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bg2"/>
                </a:solidFill>
                <a:latin typeface="+mn-lt"/>
                <a:ea typeface="+mn-ea"/>
                <a:cs typeface="+mn-cs"/>
              </a:defRPr>
            </a:pPr>
            <a:r>
              <a:rPr lang="en-IN" b="1">
                <a:solidFill>
                  <a:schemeClr val="bg2"/>
                </a:solidFill>
              </a:rPr>
              <a:t>Hour Wise Bike Rentals</a:t>
            </a:r>
          </a:p>
        </c:rich>
      </c:tx>
      <c:layout>
        <c:manualLayout>
          <c:xMode val="edge"/>
          <c:yMode val="edge"/>
          <c:x val="0.24568044619422572"/>
          <c:y val="7.7682997958588504E-2"/>
        </c:manualLayout>
      </c:layout>
      <c:overlay val="0"/>
      <c:spPr>
        <a:solidFill>
          <a:schemeClr val="accent1"/>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bg2"/>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72265966754154"/>
          <c:y val="0.24815685352763742"/>
          <c:w val="0.71452712160979881"/>
          <c:h val="0.5142335566263172"/>
        </c:manualLayout>
      </c:layout>
      <c:lineChart>
        <c:grouping val="standard"/>
        <c:varyColors val="0"/>
        <c:ser>
          <c:idx val="0"/>
          <c:order val="0"/>
          <c:tx>
            <c:strRef>
              <c:f>'Hour Wise Bike rentals'!$B$3</c:f>
              <c:strCache>
                <c:ptCount val="1"/>
                <c:pt idx="0">
                  <c:v>Total</c:v>
                </c:pt>
              </c:strCache>
            </c:strRef>
          </c:tx>
          <c:spPr>
            <a:ln w="28575" cap="rnd">
              <a:solidFill>
                <a:schemeClr val="accent1"/>
              </a:solidFill>
              <a:round/>
            </a:ln>
            <a:effectLst/>
          </c:spPr>
          <c:marker>
            <c:symbol val="none"/>
          </c:marker>
          <c:cat>
            <c:strRef>
              <c:f>'Hour Wise Bike rentals'!$A$4:$A$27</c:f>
              <c:strCache>
                <c:ptCount val="23"/>
                <c:pt idx="0">
                  <c:v>0</c:v>
                </c:pt>
                <c:pt idx="1">
                  <c:v>1</c:v>
                </c:pt>
                <c:pt idx="2">
                  <c:v>2</c:v>
                </c:pt>
                <c:pt idx="3">
                  <c:v>3</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strCache>
            </c:strRef>
          </c:cat>
          <c:val>
            <c:numRef>
              <c:f>'Hour Wise Bike rentals'!$B$4:$B$27</c:f>
              <c:numCache>
                <c:formatCode>General</c:formatCode>
                <c:ptCount val="23"/>
                <c:pt idx="0">
                  <c:v>27</c:v>
                </c:pt>
                <c:pt idx="1">
                  <c:v>12</c:v>
                </c:pt>
                <c:pt idx="2">
                  <c:v>7</c:v>
                </c:pt>
                <c:pt idx="3">
                  <c:v>2</c:v>
                </c:pt>
                <c:pt idx="4">
                  <c:v>6</c:v>
                </c:pt>
                <c:pt idx="5">
                  <c:v>27</c:v>
                </c:pt>
                <c:pt idx="6">
                  <c:v>99</c:v>
                </c:pt>
                <c:pt idx="7">
                  <c:v>455</c:v>
                </c:pt>
                <c:pt idx="8">
                  <c:v>390</c:v>
                </c:pt>
                <c:pt idx="9">
                  <c:v>198</c:v>
                </c:pt>
                <c:pt idx="10">
                  <c:v>147</c:v>
                </c:pt>
                <c:pt idx="11">
                  <c:v>221</c:v>
                </c:pt>
                <c:pt idx="12">
                  <c:v>269</c:v>
                </c:pt>
                <c:pt idx="13">
                  <c:v>213</c:v>
                </c:pt>
                <c:pt idx="14">
                  <c:v>218</c:v>
                </c:pt>
                <c:pt idx="15">
                  <c:v>317</c:v>
                </c:pt>
                <c:pt idx="16">
                  <c:v>437</c:v>
                </c:pt>
                <c:pt idx="17">
                  <c:v>526</c:v>
                </c:pt>
                <c:pt idx="18">
                  <c:v>353</c:v>
                </c:pt>
                <c:pt idx="19">
                  <c:v>157</c:v>
                </c:pt>
                <c:pt idx="20">
                  <c:v>105</c:v>
                </c:pt>
                <c:pt idx="21">
                  <c:v>69</c:v>
                </c:pt>
                <c:pt idx="22">
                  <c:v>60</c:v>
                </c:pt>
              </c:numCache>
            </c:numRef>
          </c:val>
          <c:smooth val="0"/>
          <c:extLst>
            <c:ext xmlns:c16="http://schemas.microsoft.com/office/drawing/2014/chart" uri="{C3380CC4-5D6E-409C-BE32-E72D297353CC}">
              <c16:uniqueId val="{00000000-3651-4D13-A04F-75FAC2CEAD71}"/>
            </c:ext>
          </c:extLst>
        </c:ser>
        <c:dLbls>
          <c:showLegendKey val="0"/>
          <c:showVal val="0"/>
          <c:showCatName val="0"/>
          <c:showSerName val="0"/>
          <c:showPercent val="0"/>
          <c:showBubbleSize val="0"/>
        </c:dLbls>
        <c:smooth val="0"/>
        <c:axId val="1441609311"/>
        <c:axId val="1441611711"/>
      </c:lineChart>
      <c:catAx>
        <c:axId val="144160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611711"/>
        <c:crosses val="autoZero"/>
        <c:auto val="1"/>
        <c:lblAlgn val="ctr"/>
        <c:lblOffset val="100"/>
        <c:noMultiLvlLbl val="0"/>
      </c:catAx>
      <c:valAx>
        <c:axId val="1441611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609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[dataset1 anishkr15.xlsx]Weather Wise Bike Rentals!PivotTable3</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IN" b="1">
                <a:solidFill>
                  <a:schemeClr val="bg2"/>
                </a:solidFill>
              </a:rPr>
              <a:t>Weather</a:t>
            </a:r>
            <a:r>
              <a:rPr lang="en-IN" b="1"/>
              <a:t> </a:t>
            </a:r>
            <a:r>
              <a:rPr lang="en-IN" b="1">
                <a:solidFill>
                  <a:schemeClr val="bg2"/>
                </a:solidFill>
              </a:rPr>
              <a:t>Wise</a:t>
            </a:r>
            <a:r>
              <a:rPr lang="en-IN" b="1"/>
              <a:t> </a:t>
            </a:r>
            <a:r>
              <a:rPr lang="en-IN" b="1">
                <a:solidFill>
                  <a:schemeClr val="bg2"/>
                </a:solidFill>
              </a:rPr>
              <a:t>Bike</a:t>
            </a:r>
            <a:r>
              <a:rPr lang="en-IN" b="1"/>
              <a:t> </a:t>
            </a:r>
            <a:r>
              <a:rPr lang="en-IN" b="1">
                <a:solidFill>
                  <a:schemeClr val="bg2"/>
                </a:solidFill>
              </a:rPr>
              <a:t>Rentals</a:t>
            </a:r>
          </a:p>
        </c:rich>
      </c:tx>
      <c:overlay val="0"/>
      <c:spPr>
        <a:solidFill>
          <a:schemeClr val="accent1"/>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'Weather Wise Bike Rentals'!$B$3</c:f>
              <c:strCache>
                <c:ptCount val="1"/>
                <c:pt idx="0">
                  <c:v>Total</c:v>
                </c:pt>
              </c:strCache>
            </c:strRef>
          </c:tx>
          <c:spPr>
            <a:solidFill>
              <a:schemeClr val="accent1"/>
            </a:solidFill>
            <a:ln>
              <a:noFill/>
            </a:ln>
            <a:effectLst/>
          </c:spPr>
          <c:invertIfNegative val="0"/>
          <c:cat>
            <c:strRef>
              <c:f>'Weather Wise Bike Rentals'!$A$4:$A$5</c:f>
              <c:strCache>
                <c:ptCount val="1"/>
                <c:pt idx="0">
                  <c:v>2</c:v>
                </c:pt>
              </c:strCache>
            </c:strRef>
          </c:cat>
          <c:val>
            <c:numRef>
              <c:f>'Weather Wise Bike Rentals'!$B$4:$B$5</c:f>
              <c:numCache>
                <c:formatCode>General</c:formatCode>
                <c:ptCount val="1"/>
                <c:pt idx="0">
                  <c:v>4315</c:v>
                </c:pt>
              </c:numCache>
            </c:numRef>
          </c:val>
          <c:extLst>
            <c:ext xmlns:c16="http://schemas.microsoft.com/office/drawing/2014/chart" uri="{C3380CC4-5D6E-409C-BE32-E72D297353CC}">
              <c16:uniqueId val="{00000000-82CA-4379-83D4-B73448B3A6DD}"/>
            </c:ext>
          </c:extLst>
        </c:ser>
        <c:dLbls>
          <c:showLegendKey val="0"/>
          <c:showVal val="0"/>
          <c:showCatName val="0"/>
          <c:showSerName val="0"/>
          <c:showPercent val="0"/>
          <c:showBubbleSize val="0"/>
        </c:dLbls>
        <c:gapWidth val="182"/>
        <c:axId val="1545513263"/>
        <c:axId val="1545514223"/>
      </c:barChart>
      <c:catAx>
        <c:axId val="1545513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514223"/>
        <c:crosses val="autoZero"/>
        <c:auto val="1"/>
        <c:lblAlgn val="ctr"/>
        <c:lblOffset val="100"/>
        <c:noMultiLvlLbl val="0"/>
      </c:catAx>
      <c:valAx>
        <c:axId val="15455142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513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[dataset1 anishkr15.xlsx]Month Wise Bike Rentals!PivotTable4</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IN" b="1">
                <a:solidFill>
                  <a:schemeClr val="bg2"/>
                </a:solidFill>
              </a:rPr>
              <a:t>Month Wise Bike Rentals</a:t>
            </a:r>
          </a:p>
        </c:rich>
      </c:tx>
      <c:overlay val="0"/>
      <c:spPr>
        <a:solidFill>
          <a:schemeClr val="accent1"/>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Wise Bike Rentals'!$B$3</c:f>
              <c:strCache>
                <c:ptCount val="1"/>
                <c:pt idx="0">
                  <c:v>Total</c:v>
                </c:pt>
              </c:strCache>
            </c:strRef>
          </c:tx>
          <c:spPr>
            <a:ln w="28575" cap="rnd">
              <a:solidFill>
                <a:schemeClr val="accent1"/>
              </a:solidFill>
              <a:round/>
            </a:ln>
            <a:effectLst/>
          </c:spPr>
          <c:marker>
            <c:symbol val="none"/>
          </c:marker>
          <c:cat>
            <c:strRef>
              <c:f>'Month Wise Bike Rentals'!$A$4:$A$6</c:f>
              <c:strCache>
                <c:ptCount val="2"/>
                <c:pt idx="0">
                  <c:v>1</c:v>
                </c:pt>
                <c:pt idx="1">
                  <c:v>2</c:v>
                </c:pt>
              </c:strCache>
            </c:strRef>
          </c:cat>
          <c:val>
            <c:numRef>
              <c:f>'Month Wise Bike Rentals'!$B$4:$B$6</c:f>
              <c:numCache>
                <c:formatCode>General</c:formatCode>
                <c:ptCount val="2"/>
                <c:pt idx="0">
                  <c:v>3117</c:v>
                </c:pt>
                <c:pt idx="1">
                  <c:v>1198</c:v>
                </c:pt>
              </c:numCache>
            </c:numRef>
          </c:val>
          <c:smooth val="0"/>
          <c:extLst>
            <c:ext xmlns:c16="http://schemas.microsoft.com/office/drawing/2014/chart" uri="{C3380CC4-5D6E-409C-BE32-E72D297353CC}">
              <c16:uniqueId val="{00000000-95AD-4F6C-B94D-59DC4842E271}"/>
            </c:ext>
          </c:extLst>
        </c:ser>
        <c:dLbls>
          <c:showLegendKey val="0"/>
          <c:showVal val="0"/>
          <c:showCatName val="0"/>
          <c:showSerName val="0"/>
          <c:showPercent val="0"/>
          <c:showBubbleSize val="0"/>
        </c:dLbls>
        <c:smooth val="0"/>
        <c:axId val="1403151199"/>
        <c:axId val="1403153119"/>
      </c:lineChart>
      <c:catAx>
        <c:axId val="1403151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153119"/>
        <c:crosses val="autoZero"/>
        <c:auto val="1"/>
        <c:lblAlgn val="ctr"/>
        <c:lblOffset val="100"/>
        <c:noMultiLvlLbl val="0"/>
      </c:catAx>
      <c:valAx>
        <c:axId val="1403153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151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[dataset1 anishkr15.xlsx]Season Wise Bike Rentals!PivotTable5</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bg2"/>
                </a:solidFill>
                <a:latin typeface="+mn-lt"/>
                <a:ea typeface="+mn-ea"/>
                <a:cs typeface="+mn-cs"/>
              </a:defRPr>
            </a:pPr>
            <a:r>
              <a:rPr lang="en-IN" b="1">
                <a:solidFill>
                  <a:schemeClr val="bg2"/>
                </a:solidFill>
              </a:rPr>
              <a:t>Season Wise Bike Rentals</a:t>
            </a:r>
          </a:p>
        </c:rich>
      </c:tx>
      <c:layout>
        <c:manualLayout>
          <c:xMode val="edge"/>
          <c:yMode val="edge"/>
          <c:x val="0.23888188976377953"/>
          <c:y val="7.3053368328958895E-2"/>
        </c:manualLayout>
      </c:layout>
      <c:overlay val="0"/>
      <c:spPr>
        <a:solidFill>
          <a:schemeClr val="accent1"/>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'Season Wise Bike Rentals'!$B$3</c:f>
              <c:strCache>
                <c:ptCount val="1"/>
                <c:pt idx="0">
                  <c:v>Total</c:v>
                </c:pt>
              </c:strCache>
            </c:strRef>
          </c:tx>
          <c:spPr>
            <a:solidFill>
              <a:schemeClr val="accent1"/>
            </a:solidFill>
            <a:ln>
              <a:noFill/>
            </a:ln>
            <a:effectLst/>
          </c:spPr>
          <c:invertIfNegative val="0"/>
          <c:cat>
            <c:strRef>
              <c:f>'Season Wise Bike Rentals'!$A$4:$A$5</c:f>
              <c:strCache>
                <c:ptCount val="1"/>
                <c:pt idx="0">
                  <c:v>1</c:v>
                </c:pt>
              </c:strCache>
            </c:strRef>
          </c:cat>
          <c:val>
            <c:numRef>
              <c:f>'Season Wise Bike Rentals'!$B$4:$B$5</c:f>
              <c:numCache>
                <c:formatCode>General</c:formatCode>
                <c:ptCount val="1"/>
                <c:pt idx="0">
                  <c:v>4315</c:v>
                </c:pt>
              </c:numCache>
            </c:numRef>
          </c:val>
          <c:extLst>
            <c:ext xmlns:c16="http://schemas.microsoft.com/office/drawing/2014/chart" uri="{C3380CC4-5D6E-409C-BE32-E72D297353CC}">
              <c16:uniqueId val="{00000000-D09F-410C-A214-896CA66B4691}"/>
            </c:ext>
          </c:extLst>
        </c:ser>
        <c:dLbls>
          <c:showLegendKey val="0"/>
          <c:showVal val="0"/>
          <c:showCatName val="0"/>
          <c:showSerName val="0"/>
          <c:showPercent val="0"/>
          <c:showBubbleSize val="0"/>
        </c:dLbls>
        <c:gapWidth val="219"/>
        <c:overlap val="-27"/>
        <c:axId val="1545449423"/>
        <c:axId val="1545449903"/>
      </c:barChart>
      <c:catAx>
        <c:axId val="1545449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449903"/>
        <c:crosses val="autoZero"/>
        <c:auto val="1"/>
        <c:lblAlgn val="ctr"/>
        <c:lblOffset val="100"/>
        <c:noMultiLvlLbl val="0"/>
      </c:catAx>
      <c:valAx>
        <c:axId val="1545449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449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[dataset1 anishkr15.xlsx]Hour Wise Bike rentals!PivotTable1</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bg2"/>
                </a:solidFill>
                <a:latin typeface="+mn-lt"/>
                <a:ea typeface="+mn-ea"/>
                <a:cs typeface="+mn-cs"/>
              </a:defRPr>
            </a:pPr>
            <a:r>
              <a:rPr lang="en-IN" b="1">
                <a:solidFill>
                  <a:schemeClr val="bg2"/>
                </a:solidFill>
              </a:rPr>
              <a:t>Hour Wise Bike Rentals</a:t>
            </a:r>
          </a:p>
        </c:rich>
      </c:tx>
      <c:layout>
        <c:manualLayout>
          <c:xMode val="edge"/>
          <c:yMode val="edge"/>
          <c:x val="0.24568044619422572"/>
          <c:y val="7.7682997958588504E-2"/>
        </c:manualLayout>
      </c:layout>
      <c:overlay val="0"/>
      <c:spPr>
        <a:solidFill>
          <a:schemeClr val="accent1"/>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72265966754154"/>
          <c:y val="0.24815685352763742"/>
          <c:w val="0.71452712160979881"/>
          <c:h val="0.5142335566263172"/>
        </c:manualLayout>
      </c:layout>
      <c:lineChart>
        <c:grouping val="standard"/>
        <c:varyColors val="0"/>
        <c:ser>
          <c:idx val="0"/>
          <c:order val="0"/>
          <c:tx>
            <c:strRef>
              <c:f>'Hour Wise Bike rentals'!$B$3</c:f>
              <c:strCache>
                <c:ptCount val="1"/>
                <c:pt idx="0">
                  <c:v>Total</c:v>
                </c:pt>
              </c:strCache>
            </c:strRef>
          </c:tx>
          <c:spPr>
            <a:ln w="28575" cap="rnd">
              <a:solidFill>
                <a:schemeClr val="accent1"/>
              </a:solidFill>
              <a:round/>
            </a:ln>
            <a:effectLst/>
          </c:spPr>
          <c:marker>
            <c:symbol val="none"/>
          </c:marker>
          <c:cat>
            <c:strRef>
              <c:f>'Hour Wise Bike rentals'!$A$4:$A$27</c:f>
              <c:strCache>
                <c:ptCount val="23"/>
                <c:pt idx="0">
                  <c:v>0</c:v>
                </c:pt>
                <c:pt idx="1">
                  <c:v>1</c:v>
                </c:pt>
                <c:pt idx="2">
                  <c:v>2</c:v>
                </c:pt>
                <c:pt idx="3">
                  <c:v>3</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strCache>
            </c:strRef>
          </c:cat>
          <c:val>
            <c:numRef>
              <c:f>'Hour Wise Bike rentals'!$B$4:$B$27</c:f>
              <c:numCache>
                <c:formatCode>General</c:formatCode>
                <c:ptCount val="23"/>
                <c:pt idx="0">
                  <c:v>27</c:v>
                </c:pt>
                <c:pt idx="1">
                  <c:v>12</c:v>
                </c:pt>
                <c:pt idx="2">
                  <c:v>7</c:v>
                </c:pt>
                <c:pt idx="3">
                  <c:v>2</c:v>
                </c:pt>
                <c:pt idx="4">
                  <c:v>6</c:v>
                </c:pt>
                <c:pt idx="5">
                  <c:v>27</c:v>
                </c:pt>
                <c:pt idx="6">
                  <c:v>99</c:v>
                </c:pt>
                <c:pt idx="7">
                  <c:v>455</c:v>
                </c:pt>
                <c:pt idx="8">
                  <c:v>390</c:v>
                </c:pt>
                <c:pt idx="9">
                  <c:v>198</c:v>
                </c:pt>
                <c:pt idx="10">
                  <c:v>147</c:v>
                </c:pt>
                <c:pt idx="11">
                  <c:v>221</c:v>
                </c:pt>
                <c:pt idx="12">
                  <c:v>269</c:v>
                </c:pt>
                <c:pt idx="13">
                  <c:v>213</c:v>
                </c:pt>
                <c:pt idx="14">
                  <c:v>218</c:v>
                </c:pt>
                <c:pt idx="15">
                  <c:v>317</c:v>
                </c:pt>
                <c:pt idx="16">
                  <c:v>437</c:v>
                </c:pt>
                <c:pt idx="17">
                  <c:v>526</c:v>
                </c:pt>
                <c:pt idx="18">
                  <c:v>353</c:v>
                </c:pt>
                <c:pt idx="19">
                  <c:v>157</c:v>
                </c:pt>
                <c:pt idx="20">
                  <c:v>105</c:v>
                </c:pt>
                <c:pt idx="21">
                  <c:v>69</c:v>
                </c:pt>
                <c:pt idx="22">
                  <c:v>60</c:v>
                </c:pt>
              </c:numCache>
            </c:numRef>
          </c:val>
          <c:smooth val="0"/>
          <c:extLst>
            <c:ext xmlns:c16="http://schemas.microsoft.com/office/drawing/2014/chart" uri="{C3380CC4-5D6E-409C-BE32-E72D297353CC}">
              <c16:uniqueId val="{00000000-B14B-45EA-94FE-1C2C9B4612E8}"/>
            </c:ext>
          </c:extLst>
        </c:ser>
        <c:dLbls>
          <c:showLegendKey val="0"/>
          <c:showVal val="0"/>
          <c:showCatName val="0"/>
          <c:showSerName val="0"/>
          <c:showPercent val="0"/>
          <c:showBubbleSize val="0"/>
        </c:dLbls>
        <c:smooth val="0"/>
        <c:axId val="1441609311"/>
        <c:axId val="1441611711"/>
      </c:lineChart>
      <c:catAx>
        <c:axId val="144160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611711"/>
        <c:crosses val="autoZero"/>
        <c:auto val="1"/>
        <c:lblAlgn val="ctr"/>
        <c:lblOffset val="100"/>
        <c:noMultiLvlLbl val="0"/>
      </c:catAx>
      <c:valAx>
        <c:axId val="1441611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609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[dataset1 anishkr15.xlsx]Weather Wise Bike Rentals!PivotTable3</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IN" b="1">
                <a:solidFill>
                  <a:schemeClr val="bg2"/>
                </a:solidFill>
              </a:rPr>
              <a:t>Weather</a:t>
            </a:r>
            <a:r>
              <a:rPr lang="en-IN" b="1"/>
              <a:t> </a:t>
            </a:r>
            <a:r>
              <a:rPr lang="en-IN" b="1">
                <a:solidFill>
                  <a:schemeClr val="bg2"/>
                </a:solidFill>
              </a:rPr>
              <a:t>Wise</a:t>
            </a:r>
            <a:r>
              <a:rPr lang="en-IN" b="1"/>
              <a:t> </a:t>
            </a:r>
            <a:r>
              <a:rPr lang="en-IN" b="1">
                <a:solidFill>
                  <a:schemeClr val="bg2"/>
                </a:solidFill>
              </a:rPr>
              <a:t>Bike</a:t>
            </a:r>
            <a:r>
              <a:rPr lang="en-IN" b="1"/>
              <a:t> </a:t>
            </a:r>
            <a:r>
              <a:rPr lang="en-IN" b="1">
                <a:solidFill>
                  <a:schemeClr val="bg2"/>
                </a:solidFill>
              </a:rPr>
              <a:t>Rentals</a:t>
            </a:r>
          </a:p>
        </c:rich>
      </c:tx>
      <c:overlay val="0"/>
      <c:spPr>
        <a:solidFill>
          <a:schemeClr val="accent1"/>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123622047244094"/>
          <c:y val="0.25870151647710704"/>
          <c:w val="0.58802034120734903"/>
          <c:h val="0.63953922426363374"/>
        </c:manualLayout>
      </c:layout>
      <c:barChart>
        <c:barDir val="bar"/>
        <c:grouping val="clustered"/>
        <c:varyColors val="0"/>
        <c:ser>
          <c:idx val="0"/>
          <c:order val="0"/>
          <c:tx>
            <c:strRef>
              <c:f>'Weather Wise Bike Rentals'!$B$3</c:f>
              <c:strCache>
                <c:ptCount val="1"/>
                <c:pt idx="0">
                  <c:v>Total</c:v>
                </c:pt>
              </c:strCache>
            </c:strRef>
          </c:tx>
          <c:spPr>
            <a:solidFill>
              <a:schemeClr val="accent1"/>
            </a:solidFill>
            <a:ln>
              <a:noFill/>
            </a:ln>
            <a:effectLst/>
          </c:spPr>
          <c:invertIfNegative val="0"/>
          <c:cat>
            <c:strRef>
              <c:f>'Weather Wise Bike Rentals'!$A$4:$A$5</c:f>
              <c:strCache>
                <c:ptCount val="1"/>
                <c:pt idx="0">
                  <c:v>2</c:v>
                </c:pt>
              </c:strCache>
            </c:strRef>
          </c:cat>
          <c:val>
            <c:numRef>
              <c:f>'Weather Wise Bike Rentals'!$B$4:$B$5</c:f>
              <c:numCache>
                <c:formatCode>General</c:formatCode>
                <c:ptCount val="1"/>
                <c:pt idx="0">
                  <c:v>4315</c:v>
                </c:pt>
              </c:numCache>
            </c:numRef>
          </c:val>
          <c:extLst>
            <c:ext xmlns:c16="http://schemas.microsoft.com/office/drawing/2014/chart" uri="{C3380CC4-5D6E-409C-BE32-E72D297353CC}">
              <c16:uniqueId val="{00000000-BE0F-4F37-B402-CF8D1EA467DB}"/>
            </c:ext>
          </c:extLst>
        </c:ser>
        <c:dLbls>
          <c:showLegendKey val="0"/>
          <c:showVal val="0"/>
          <c:showCatName val="0"/>
          <c:showSerName val="0"/>
          <c:showPercent val="0"/>
          <c:showBubbleSize val="0"/>
        </c:dLbls>
        <c:gapWidth val="182"/>
        <c:axId val="1545513263"/>
        <c:axId val="1545514223"/>
      </c:barChart>
      <c:catAx>
        <c:axId val="1545513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514223"/>
        <c:crosses val="autoZero"/>
        <c:auto val="1"/>
        <c:lblAlgn val="ctr"/>
        <c:lblOffset val="100"/>
        <c:noMultiLvlLbl val="0"/>
      </c:catAx>
      <c:valAx>
        <c:axId val="15455142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513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[dataset1 anishkr15.xlsx]Month Wise Bike Rentals!PivotTable4</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IN" b="1">
                <a:solidFill>
                  <a:schemeClr val="bg2"/>
                </a:solidFill>
              </a:rPr>
              <a:t>Month Wise Bike Rentals</a:t>
            </a:r>
          </a:p>
        </c:rich>
      </c:tx>
      <c:overlay val="0"/>
      <c:spPr>
        <a:solidFill>
          <a:schemeClr val="accent1"/>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Wise Bike Rentals'!$B$3</c:f>
              <c:strCache>
                <c:ptCount val="1"/>
                <c:pt idx="0">
                  <c:v>Total</c:v>
                </c:pt>
              </c:strCache>
            </c:strRef>
          </c:tx>
          <c:spPr>
            <a:ln w="28575" cap="rnd">
              <a:solidFill>
                <a:schemeClr val="accent1"/>
              </a:solidFill>
              <a:round/>
            </a:ln>
            <a:effectLst/>
          </c:spPr>
          <c:marker>
            <c:symbol val="none"/>
          </c:marker>
          <c:cat>
            <c:strRef>
              <c:f>'Month Wise Bike Rentals'!$A$4:$A$6</c:f>
              <c:strCache>
                <c:ptCount val="2"/>
                <c:pt idx="0">
                  <c:v>1</c:v>
                </c:pt>
                <c:pt idx="1">
                  <c:v>2</c:v>
                </c:pt>
              </c:strCache>
            </c:strRef>
          </c:cat>
          <c:val>
            <c:numRef>
              <c:f>'Month Wise Bike Rentals'!$B$4:$B$6</c:f>
              <c:numCache>
                <c:formatCode>General</c:formatCode>
                <c:ptCount val="2"/>
                <c:pt idx="0">
                  <c:v>3117</c:v>
                </c:pt>
                <c:pt idx="1">
                  <c:v>1198</c:v>
                </c:pt>
              </c:numCache>
            </c:numRef>
          </c:val>
          <c:smooth val="0"/>
          <c:extLst>
            <c:ext xmlns:c16="http://schemas.microsoft.com/office/drawing/2014/chart" uri="{C3380CC4-5D6E-409C-BE32-E72D297353CC}">
              <c16:uniqueId val="{00000000-832D-49A9-9B1E-6D9E6FE340A9}"/>
            </c:ext>
          </c:extLst>
        </c:ser>
        <c:dLbls>
          <c:showLegendKey val="0"/>
          <c:showVal val="0"/>
          <c:showCatName val="0"/>
          <c:showSerName val="0"/>
          <c:showPercent val="0"/>
          <c:showBubbleSize val="0"/>
        </c:dLbls>
        <c:smooth val="0"/>
        <c:axId val="1403151199"/>
        <c:axId val="1403153119"/>
      </c:lineChart>
      <c:catAx>
        <c:axId val="1403151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153119"/>
        <c:crosses val="autoZero"/>
        <c:auto val="1"/>
        <c:lblAlgn val="ctr"/>
        <c:lblOffset val="100"/>
        <c:noMultiLvlLbl val="0"/>
      </c:catAx>
      <c:valAx>
        <c:axId val="1403153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151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[dataset1 anishkr15.xlsx]Season Wise Bike Rentals!PivotTable5</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bg2"/>
                </a:solidFill>
                <a:latin typeface="+mn-lt"/>
                <a:ea typeface="+mn-ea"/>
                <a:cs typeface="+mn-cs"/>
              </a:defRPr>
            </a:pPr>
            <a:r>
              <a:rPr lang="en-IN" b="1">
                <a:solidFill>
                  <a:schemeClr val="bg2"/>
                </a:solidFill>
              </a:rPr>
              <a:t>Season Wise Bike Rentals</a:t>
            </a:r>
          </a:p>
        </c:rich>
      </c:tx>
      <c:layout>
        <c:manualLayout>
          <c:xMode val="edge"/>
          <c:yMode val="edge"/>
          <c:x val="0.23888188976377953"/>
          <c:y val="7.3053368328958895E-2"/>
        </c:manualLayout>
      </c:layout>
      <c:overlay val="0"/>
      <c:spPr>
        <a:solidFill>
          <a:schemeClr val="accent1"/>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'Season Wise Bike Rentals'!$B$3</c:f>
              <c:strCache>
                <c:ptCount val="1"/>
                <c:pt idx="0">
                  <c:v>Total</c:v>
                </c:pt>
              </c:strCache>
            </c:strRef>
          </c:tx>
          <c:spPr>
            <a:solidFill>
              <a:schemeClr val="accent1"/>
            </a:solidFill>
            <a:ln>
              <a:noFill/>
            </a:ln>
            <a:effectLst/>
          </c:spPr>
          <c:invertIfNegative val="0"/>
          <c:cat>
            <c:strRef>
              <c:f>'Season Wise Bike Rentals'!$A$4:$A$5</c:f>
              <c:strCache>
                <c:ptCount val="1"/>
                <c:pt idx="0">
                  <c:v>1</c:v>
                </c:pt>
              </c:strCache>
            </c:strRef>
          </c:cat>
          <c:val>
            <c:numRef>
              <c:f>'Season Wise Bike Rentals'!$B$4:$B$5</c:f>
              <c:numCache>
                <c:formatCode>General</c:formatCode>
                <c:ptCount val="1"/>
                <c:pt idx="0">
                  <c:v>4315</c:v>
                </c:pt>
              </c:numCache>
            </c:numRef>
          </c:val>
          <c:extLst>
            <c:ext xmlns:c16="http://schemas.microsoft.com/office/drawing/2014/chart" uri="{C3380CC4-5D6E-409C-BE32-E72D297353CC}">
              <c16:uniqueId val="{00000000-423D-43C3-8364-A4C88DD6906B}"/>
            </c:ext>
          </c:extLst>
        </c:ser>
        <c:dLbls>
          <c:showLegendKey val="0"/>
          <c:showVal val="0"/>
          <c:showCatName val="0"/>
          <c:showSerName val="0"/>
          <c:showPercent val="0"/>
          <c:showBubbleSize val="0"/>
        </c:dLbls>
        <c:gapWidth val="219"/>
        <c:overlap val="-27"/>
        <c:axId val="1545449423"/>
        <c:axId val="1545449903"/>
      </c:barChart>
      <c:catAx>
        <c:axId val="1545449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449903"/>
        <c:crosses val="autoZero"/>
        <c:auto val="1"/>
        <c:lblAlgn val="ctr"/>
        <c:lblOffset val="100"/>
        <c:noMultiLvlLbl val="0"/>
      </c:catAx>
      <c:valAx>
        <c:axId val="1545449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449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16</xdr:col>
      <xdr:colOff>18143</xdr:colOff>
      <xdr:row>615</xdr:row>
      <xdr:rowOff>27215</xdr:rowOff>
    </xdr:from>
    <xdr:to>
      <xdr:col>17</xdr:col>
      <xdr:colOff>90714</xdr:colOff>
      <xdr:row>617</xdr:row>
      <xdr:rowOff>18143</xdr:rowOff>
    </xdr:to>
    <xdr:pic>
      <xdr:nvPicPr>
        <xdr:cNvPr id="5" name="Graphic 4" descr="Signal outline">
          <a:extLst>
            <a:ext uri="{FF2B5EF4-FFF2-40B4-BE49-F238E27FC236}">
              <a16:creationId xmlns:a16="http://schemas.microsoft.com/office/drawing/2014/main" id="{BD2FA486-89E0-86A7-F730-374C3F153E9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974286" y="100574929"/>
          <a:ext cx="680357" cy="317500"/>
        </a:xfrm>
        <a:prstGeom prst="rect">
          <a:avLst/>
        </a:prstGeom>
      </xdr:spPr>
    </xdr:pic>
    <xdr:clientData/>
  </xdr:twoCellAnchor>
  <xdr:twoCellAnchor editAs="oneCell">
    <xdr:from>
      <xdr:col>15</xdr:col>
      <xdr:colOff>689429</xdr:colOff>
      <xdr:row>617</xdr:row>
      <xdr:rowOff>9072</xdr:rowOff>
    </xdr:from>
    <xdr:to>
      <xdr:col>16</xdr:col>
      <xdr:colOff>571500</xdr:colOff>
      <xdr:row>619</xdr:row>
      <xdr:rowOff>9072</xdr:rowOff>
    </xdr:to>
    <xdr:pic>
      <xdr:nvPicPr>
        <xdr:cNvPr id="7" name="Graphic 6" descr="Pie chart with solid fill">
          <a:extLst>
            <a:ext uri="{FF2B5EF4-FFF2-40B4-BE49-F238E27FC236}">
              <a16:creationId xmlns:a16="http://schemas.microsoft.com/office/drawing/2014/main" id="{C8E76EAA-7592-218E-692C-BF750C8BA04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947072" y="100883358"/>
          <a:ext cx="580571" cy="326571"/>
        </a:xfrm>
        <a:prstGeom prst="rect">
          <a:avLst/>
        </a:prstGeom>
      </xdr:spPr>
    </xdr:pic>
    <xdr:clientData/>
  </xdr:twoCellAnchor>
  <xdr:twoCellAnchor editAs="oneCell">
    <xdr:from>
      <xdr:col>15</xdr:col>
      <xdr:colOff>653143</xdr:colOff>
      <xdr:row>619</xdr:row>
      <xdr:rowOff>90714</xdr:rowOff>
    </xdr:from>
    <xdr:to>
      <xdr:col>16</xdr:col>
      <xdr:colOff>553357</xdr:colOff>
      <xdr:row>621</xdr:row>
      <xdr:rowOff>27214</xdr:rowOff>
    </xdr:to>
    <xdr:pic>
      <xdr:nvPicPr>
        <xdr:cNvPr id="9" name="Graphic 8" descr="Downstairs with solid fill">
          <a:extLst>
            <a:ext uri="{FF2B5EF4-FFF2-40B4-BE49-F238E27FC236}">
              <a16:creationId xmlns:a16="http://schemas.microsoft.com/office/drawing/2014/main" id="{44AE7AC7-955A-D4FC-5863-BC8729181BB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910786" y="101291571"/>
          <a:ext cx="598714" cy="263072"/>
        </a:xfrm>
        <a:prstGeom prst="rect">
          <a:avLst/>
        </a:prstGeom>
      </xdr:spPr>
    </xdr:pic>
    <xdr:clientData/>
  </xdr:twoCellAnchor>
  <xdr:twoCellAnchor editAs="oneCell">
    <xdr:from>
      <xdr:col>16</xdr:col>
      <xdr:colOff>27214</xdr:colOff>
      <xdr:row>621</xdr:row>
      <xdr:rowOff>27213</xdr:rowOff>
    </xdr:from>
    <xdr:to>
      <xdr:col>16</xdr:col>
      <xdr:colOff>453571</xdr:colOff>
      <xdr:row>623</xdr:row>
      <xdr:rowOff>12611</xdr:rowOff>
    </xdr:to>
    <xdr:pic>
      <xdr:nvPicPr>
        <xdr:cNvPr id="11" name="Graphic 10" descr="Upstairs outline">
          <a:extLst>
            <a:ext uri="{FF2B5EF4-FFF2-40B4-BE49-F238E27FC236}">
              <a16:creationId xmlns:a16="http://schemas.microsoft.com/office/drawing/2014/main" id="{BCCA2CF7-67CC-05A8-0AF4-A56C87D6B5F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983357" y="101554642"/>
          <a:ext cx="426357" cy="31196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432568</xdr:colOff>
      <xdr:row>5</xdr:row>
      <xdr:rowOff>26758</xdr:rowOff>
    </xdr:from>
    <xdr:to>
      <xdr:col>11</xdr:col>
      <xdr:colOff>188728</xdr:colOff>
      <xdr:row>20</xdr:row>
      <xdr:rowOff>87718</xdr:rowOff>
    </xdr:to>
    <xdr:graphicFrame macro="">
      <xdr:nvGraphicFramePr>
        <xdr:cNvPr id="2" name="Chart 1">
          <a:extLst>
            <a:ext uri="{FF2B5EF4-FFF2-40B4-BE49-F238E27FC236}">
              <a16:creationId xmlns:a16="http://schemas.microsoft.com/office/drawing/2014/main" id="{3569121B-5636-8696-C8A2-DBBF58F57B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302850</xdr:colOff>
      <xdr:row>3</xdr:row>
      <xdr:rowOff>30657</xdr:rowOff>
    </xdr:from>
    <xdr:to>
      <xdr:col>19</xdr:col>
      <xdr:colOff>297534</xdr:colOff>
      <xdr:row>16</xdr:row>
      <xdr:rowOff>80498</xdr:rowOff>
    </xdr:to>
    <mc:AlternateContent xmlns:mc="http://schemas.openxmlformats.org/markup-compatibility/2006" xmlns:a14="http://schemas.microsoft.com/office/drawing/2010/main">
      <mc:Choice Requires="a14">
        <xdr:graphicFrame macro="">
          <xdr:nvGraphicFramePr>
            <xdr:cNvPr id="3" name="season">
              <a:extLst>
                <a:ext uri="{FF2B5EF4-FFF2-40B4-BE49-F238E27FC236}">
                  <a16:creationId xmlns:a16="http://schemas.microsoft.com/office/drawing/2014/main" id="{84E5CEE1-1A8E-5DFF-5838-34EF2C7372B2}"/>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0487999" y="528598"/>
              <a:ext cx="1828010" cy="22075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393051</xdr:colOff>
      <xdr:row>17</xdr:row>
      <xdr:rowOff>129716</xdr:rowOff>
    </xdr:from>
    <xdr:to>
      <xdr:col>23</xdr:col>
      <xdr:colOff>387735</xdr:colOff>
      <xdr:row>31</xdr:row>
      <xdr:rowOff>11207</xdr:rowOff>
    </xdr:to>
    <mc:AlternateContent xmlns:mc="http://schemas.openxmlformats.org/markup-compatibility/2006" xmlns:a14="http://schemas.microsoft.com/office/drawing/2010/main">
      <mc:Choice Requires="a14">
        <xdr:graphicFrame macro="">
          <xdr:nvGraphicFramePr>
            <xdr:cNvPr id="4" name="weekday">
              <a:extLst>
                <a:ext uri="{FF2B5EF4-FFF2-40B4-BE49-F238E27FC236}">
                  <a16:creationId xmlns:a16="http://schemas.microsoft.com/office/drawing/2014/main" id="{027E4659-4E54-1313-8EB3-FE106A92FD35}"/>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mlns="">
        <xdr:sp macro="" textlink="">
          <xdr:nvSpPr>
            <xdr:cNvPr id="0" name=""/>
            <xdr:cNvSpPr>
              <a:spLocks noTextEdit="1"/>
            </xdr:cNvSpPr>
          </xdr:nvSpPr>
          <xdr:spPr>
            <a:xfrm>
              <a:off x="13022635" y="2951379"/>
              <a:ext cx="1828011" cy="22052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49087</xdr:colOff>
      <xdr:row>17</xdr:row>
      <xdr:rowOff>141767</xdr:rowOff>
    </xdr:from>
    <xdr:to>
      <xdr:col>20</xdr:col>
      <xdr:colOff>239233</xdr:colOff>
      <xdr:row>31</xdr:row>
      <xdr:rowOff>74826</xdr:rowOff>
    </xdr:to>
    <mc:AlternateContent xmlns:mc="http://schemas.openxmlformats.org/markup-compatibility/2006" xmlns:a14="http://schemas.microsoft.com/office/drawing/2010/main">
      <mc:Choice Requires="a14">
        <xdr:graphicFrame macro="">
          <xdr:nvGraphicFramePr>
            <xdr:cNvPr id="5" name="weathersit">
              <a:extLst>
                <a:ext uri="{FF2B5EF4-FFF2-40B4-BE49-F238E27FC236}">
                  <a16:creationId xmlns:a16="http://schemas.microsoft.com/office/drawing/2014/main" id="{B47A5308-3AF6-D7B7-DF27-0F8D7C739F25}"/>
                </a:ext>
              </a:extLst>
            </xdr:cNvPr>
            <xdr:cNvGraphicFramePr/>
          </xdr:nvGraphicFramePr>
          <xdr:xfrm>
            <a:off x="0" y="0"/>
            <a:ext cx="0" cy="0"/>
          </xdr:xfrm>
          <a:graphic>
            <a:graphicData uri="http://schemas.microsoft.com/office/drawing/2010/slicer">
              <sle:slicer xmlns:sle="http://schemas.microsoft.com/office/drawing/2010/slicer" name="weathersit"/>
            </a:graphicData>
          </a:graphic>
        </xdr:graphicFrame>
      </mc:Choice>
      <mc:Fallback xmlns="">
        <xdr:sp macro="" textlink="">
          <xdr:nvSpPr>
            <xdr:cNvPr id="0" name=""/>
            <xdr:cNvSpPr>
              <a:spLocks noTextEdit="1"/>
            </xdr:cNvSpPr>
          </xdr:nvSpPr>
          <xdr:spPr>
            <a:xfrm>
              <a:off x="10234236" y="2963430"/>
              <a:ext cx="2634581" cy="22567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91440</xdr:colOff>
      <xdr:row>6</xdr:row>
      <xdr:rowOff>140970</xdr:rowOff>
    </xdr:from>
    <xdr:to>
      <xdr:col>11</xdr:col>
      <xdr:colOff>396240</xdr:colOff>
      <xdr:row>23</xdr:row>
      <xdr:rowOff>34290</xdr:rowOff>
    </xdr:to>
    <xdr:graphicFrame macro="">
      <xdr:nvGraphicFramePr>
        <xdr:cNvPr id="2" name="Chart 1">
          <a:extLst>
            <a:ext uri="{FF2B5EF4-FFF2-40B4-BE49-F238E27FC236}">
              <a16:creationId xmlns:a16="http://schemas.microsoft.com/office/drawing/2014/main" id="{6D09F3DA-B3C4-999B-EC76-61573881AB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91440</xdr:colOff>
      <xdr:row>6</xdr:row>
      <xdr:rowOff>140970</xdr:rowOff>
    </xdr:from>
    <xdr:to>
      <xdr:col>11</xdr:col>
      <xdr:colOff>396240</xdr:colOff>
      <xdr:row>23</xdr:row>
      <xdr:rowOff>34290</xdr:rowOff>
    </xdr:to>
    <xdr:graphicFrame macro="">
      <xdr:nvGraphicFramePr>
        <xdr:cNvPr id="2" name="Chart 1">
          <a:extLst>
            <a:ext uri="{FF2B5EF4-FFF2-40B4-BE49-F238E27FC236}">
              <a16:creationId xmlns:a16="http://schemas.microsoft.com/office/drawing/2014/main" id="{AB7947A0-16BF-153E-E1AC-35282EC070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91440</xdr:colOff>
      <xdr:row>6</xdr:row>
      <xdr:rowOff>140970</xdr:rowOff>
    </xdr:from>
    <xdr:to>
      <xdr:col>11</xdr:col>
      <xdr:colOff>396240</xdr:colOff>
      <xdr:row>23</xdr:row>
      <xdr:rowOff>34290</xdr:rowOff>
    </xdr:to>
    <xdr:graphicFrame macro="">
      <xdr:nvGraphicFramePr>
        <xdr:cNvPr id="2" name="Chart 1">
          <a:extLst>
            <a:ext uri="{FF2B5EF4-FFF2-40B4-BE49-F238E27FC236}">
              <a16:creationId xmlns:a16="http://schemas.microsoft.com/office/drawing/2014/main" id="{9B11DAA5-B90D-7029-E4C9-236D9B4BAD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18</xdr:row>
      <xdr:rowOff>0</xdr:rowOff>
    </xdr:from>
    <xdr:to>
      <xdr:col>8</xdr:col>
      <xdr:colOff>359019</xdr:colOff>
      <xdr:row>33</xdr:row>
      <xdr:rowOff>120899</xdr:rowOff>
    </xdr:to>
    <xdr:graphicFrame macro="">
      <xdr:nvGraphicFramePr>
        <xdr:cNvPr id="2" name="Chart 1">
          <a:extLst>
            <a:ext uri="{FF2B5EF4-FFF2-40B4-BE49-F238E27FC236}">
              <a16:creationId xmlns:a16="http://schemas.microsoft.com/office/drawing/2014/main" id="{4B429C7E-F1BD-4AD9-8534-D8FA5E68AC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552824</xdr:colOff>
      <xdr:row>17</xdr:row>
      <xdr:rowOff>52295</xdr:rowOff>
    </xdr:from>
    <xdr:to>
      <xdr:col>17</xdr:col>
      <xdr:colOff>224118</xdr:colOff>
      <xdr:row>34</xdr:row>
      <xdr:rowOff>1495</xdr:rowOff>
    </xdr:to>
    <xdr:graphicFrame macro="">
      <xdr:nvGraphicFramePr>
        <xdr:cNvPr id="3" name="Chart 2">
          <a:extLst>
            <a:ext uri="{FF2B5EF4-FFF2-40B4-BE49-F238E27FC236}">
              <a16:creationId xmlns:a16="http://schemas.microsoft.com/office/drawing/2014/main" id="{4F3E42C2-9961-4FE1-86E2-8BC3507B10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613102</xdr:colOff>
      <xdr:row>38</xdr:row>
      <xdr:rowOff>122621</xdr:rowOff>
    </xdr:from>
    <xdr:to>
      <xdr:col>8</xdr:col>
      <xdr:colOff>253999</xdr:colOff>
      <xdr:row>55</xdr:row>
      <xdr:rowOff>113553</xdr:rowOff>
    </xdr:to>
    <xdr:graphicFrame macro="">
      <xdr:nvGraphicFramePr>
        <xdr:cNvPr id="4" name="Chart 3">
          <a:extLst>
            <a:ext uri="{FF2B5EF4-FFF2-40B4-BE49-F238E27FC236}">
              <a16:creationId xmlns:a16="http://schemas.microsoft.com/office/drawing/2014/main" id="{721471B4-B740-4063-90E3-A6B982888D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366059</xdr:colOff>
      <xdr:row>38</xdr:row>
      <xdr:rowOff>156881</xdr:rowOff>
    </xdr:from>
    <xdr:to>
      <xdr:col>18</xdr:col>
      <xdr:colOff>283883</xdr:colOff>
      <xdr:row>55</xdr:row>
      <xdr:rowOff>113552</xdr:rowOff>
    </xdr:to>
    <xdr:graphicFrame macro="">
      <xdr:nvGraphicFramePr>
        <xdr:cNvPr id="5" name="Chart 4">
          <a:extLst>
            <a:ext uri="{FF2B5EF4-FFF2-40B4-BE49-F238E27FC236}">
              <a16:creationId xmlns:a16="http://schemas.microsoft.com/office/drawing/2014/main" id="{9DC413D3-A3B3-4819-8078-FB0A53A69F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0</xdr:colOff>
      <xdr:row>18</xdr:row>
      <xdr:rowOff>0</xdr:rowOff>
    </xdr:from>
    <xdr:to>
      <xdr:col>22</xdr:col>
      <xdr:colOff>603624</xdr:colOff>
      <xdr:row>31</xdr:row>
      <xdr:rowOff>101787</xdr:rowOff>
    </xdr:to>
    <mc:AlternateContent xmlns:mc="http://schemas.openxmlformats.org/markup-compatibility/2006" xmlns:a14="http://schemas.microsoft.com/office/drawing/2010/main">
      <mc:Choice Requires="a14">
        <xdr:graphicFrame macro="">
          <xdr:nvGraphicFramePr>
            <xdr:cNvPr id="6" name="season 1">
              <a:extLst>
                <a:ext uri="{FF2B5EF4-FFF2-40B4-BE49-F238E27FC236}">
                  <a16:creationId xmlns:a16="http://schemas.microsoft.com/office/drawing/2014/main" id="{732BE223-A178-4B52-BB38-708EFAD6D783}"/>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12262069" y="2995448"/>
              <a:ext cx="1829831" cy="2265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97971</xdr:colOff>
      <xdr:row>39</xdr:row>
      <xdr:rowOff>0</xdr:rowOff>
    </xdr:from>
    <xdr:to>
      <xdr:col>23</xdr:col>
      <xdr:colOff>283252</xdr:colOff>
      <xdr:row>52</xdr:row>
      <xdr:rowOff>153355</xdr:rowOff>
    </xdr:to>
    <mc:AlternateContent xmlns:mc="http://schemas.openxmlformats.org/markup-compatibility/2006" xmlns:a14="http://schemas.microsoft.com/office/drawing/2010/main">
      <mc:Choice Requires="a14">
        <xdr:graphicFrame macro="">
          <xdr:nvGraphicFramePr>
            <xdr:cNvPr id="7" name="weathersit 1">
              <a:extLst>
                <a:ext uri="{FF2B5EF4-FFF2-40B4-BE49-F238E27FC236}">
                  <a16:creationId xmlns:a16="http://schemas.microsoft.com/office/drawing/2014/main" id="{2671B6CF-BFC4-4EEB-93DB-25005344BFCB}"/>
                </a:ext>
              </a:extLst>
            </xdr:cNvPr>
            <xdr:cNvGraphicFramePr/>
          </xdr:nvGraphicFramePr>
          <xdr:xfrm>
            <a:off x="0" y="0"/>
            <a:ext cx="0" cy="0"/>
          </xdr:xfrm>
          <a:graphic>
            <a:graphicData uri="http://schemas.microsoft.com/office/drawing/2010/slicer">
              <sle:slicer xmlns:sle="http://schemas.microsoft.com/office/drawing/2010/slicer" name="weathersit 1"/>
            </a:graphicData>
          </a:graphic>
        </xdr:graphicFrame>
      </mc:Choice>
      <mc:Fallback xmlns="">
        <xdr:sp macro="" textlink="">
          <xdr:nvSpPr>
            <xdr:cNvPr id="0" name=""/>
            <xdr:cNvSpPr>
              <a:spLocks noTextEdit="1"/>
            </xdr:cNvSpPr>
          </xdr:nvSpPr>
          <xdr:spPr>
            <a:xfrm>
              <a:off x="11746937" y="6490138"/>
              <a:ext cx="2637694" cy="23167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0</xdr:colOff>
      <xdr:row>18</xdr:row>
      <xdr:rowOff>0</xdr:rowOff>
    </xdr:from>
    <xdr:to>
      <xdr:col>28</xdr:col>
      <xdr:colOff>0</xdr:colOff>
      <xdr:row>31</xdr:row>
      <xdr:rowOff>115661</xdr:rowOff>
    </xdr:to>
    <mc:AlternateContent xmlns:mc="http://schemas.openxmlformats.org/markup-compatibility/2006" xmlns:a14="http://schemas.microsoft.com/office/drawing/2010/main">
      <mc:Choice Requires="a14">
        <xdr:graphicFrame macro="">
          <xdr:nvGraphicFramePr>
            <xdr:cNvPr id="8" name="weekday 1">
              <a:extLst>
                <a:ext uri="{FF2B5EF4-FFF2-40B4-BE49-F238E27FC236}">
                  <a16:creationId xmlns:a16="http://schemas.microsoft.com/office/drawing/2014/main" id="{E91D37EB-7D61-4F15-9ECB-B90349BA7229}"/>
                </a:ext>
              </a:extLst>
            </xdr:cNvPr>
            <xdr:cNvGraphicFramePr/>
          </xdr:nvGraphicFramePr>
          <xdr:xfrm>
            <a:off x="0" y="0"/>
            <a:ext cx="0" cy="0"/>
          </xdr:xfrm>
          <a:graphic>
            <a:graphicData uri="http://schemas.microsoft.com/office/drawing/2010/slicer">
              <sle:slicer xmlns:sle="http://schemas.microsoft.com/office/drawing/2010/slicer" name="weekday 1"/>
            </a:graphicData>
          </a:graphic>
        </xdr:graphicFrame>
      </mc:Choice>
      <mc:Fallback xmlns="">
        <xdr:sp macro="" textlink="">
          <xdr:nvSpPr>
            <xdr:cNvPr id="0" name=""/>
            <xdr:cNvSpPr>
              <a:spLocks noTextEdit="1"/>
            </xdr:cNvSpPr>
          </xdr:nvSpPr>
          <xdr:spPr>
            <a:xfrm>
              <a:off x="15327586" y="2995448"/>
              <a:ext cx="1839311" cy="22790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sh" refreshedDate="46160.772767361108" createdVersion="8" refreshedVersion="8" minRefreshableVersion="3" recordCount="1000" xr:uid="{9EC4229D-76C5-4F1E-B144-E3AA36D98C48}">
  <cacheSource type="worksheet">
    <worksheetSource name="Table6113"/>
  </cacheSource>
  <cacheFields count="17">
    <cacheField name="instant" numFmtId="0">
      <sharedItems containsSemiMixedTypes="0" containsString="0" containsNumber="1" containsInteger="1" minValue="1" maxValue="1000"/>
    </cacheField>
    <cacheField name="dteday" numFmtId="164">
      <sharedItems containsSemiMixedTypes="0" containsNonDate="0" containsDate="1" containsString="0" minDate="2011-01-01T00:00:00" maxDate="2011-02-15T00:00:00"/>
    </cacheField>
    <cacheField name="season" numFmtId="0">
      <sharedItems containsSemiMixedTypes="0" containsString="0" containsNumber="1" containsInteger="1" minValue="1" maxValue="1" count="1">
        <n v="1"/>
      </sharedItems>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2" count="2">
        <n v="1"/>
        <n v="2"/>
      </sharedItems>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acheField>
    <cacheField name="weekday" numFmtId="0">
      <sharedItems containsSemiMixedTypes="0" containsString="0" containsNumber="1" containsInteger="1" minValue="0" maxValue="6" count="7">
        <n v="6"/>
        <n v="0"/>
        <n v="1"/>
        <n v="2"/>
        <n v="3"/>
        <n v="4"/>
        <n v="5"/>
      </sharedItems>
    </cacheField>
    <cacheField name="weathersit" numFmtId="0">
      <sharedItems containsSemiMixedTypes="0" containsString="0" containsNumber="1" containsInteger="1" minValue="1" maxValue="4" count="4">
        <n v="1"/>
        <n v="2"/>
        <n v="3"/>
        <n v="4"/>
      </sharedItems>
    </cacheField>
    <cacheField name="temp" numFmtId="0">
      <sharedItems containsSemiMixedTypes="0" containsString="0" containsNumber="1" minValue="0.02" maxValue="0.46"/>
    </cacheField>
    <cacheField name="atemp" numFmtId="0">
      <sharedItems containsSemiMixedTypes="0" containsString="0" containsNumber="1" minValue="0" maxValue="0.45450000000000002"/>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acheField>
    <cacheField name="cnt" numFmtId="0">
      <sharedItems containsSemiMixedTypes="0" containsString="0" containsNumber="1" containsInteger="1" minValue="1" maxValue="249"/>
    </cacheField>
    <cacheField name="day_typ" numFmtId="0">
      <sharedItems/>
    </cacheField>
  </cacheFields>
  <extLst>
    <ext xmlns:x14="http://schemas.microsoft.com/office/spreadsheetml/2009/9/main" uri="{725AE2AE-9491-48be-B2B4-4EB974FC3084}">
      <x14:pivotCacheDefinition pivotCacheId="17385724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11-01-01T00:00:00"/>
    <x v="0"/>
    <n v="0"/>
    <x v="0"/>
    <x v="0"/>
    <b v="0"/>
    <x v="0"/>
    <x v="0"/>
    <n v="0.24"/>
    <n v="0.28789999999999999"/>
    <n v="0.81"/>
    <n v="0"/>
    <n v="3"/>
    <n v="13"/>
    <n v="16"/>
    <s v="Weekend"/>
  </r>
  <r>
    <n v="2"/>
    <d v="2011-01-01T00:00:00"/>
    <x v="0"/>
    <n v="0"/>
    <x v="0"/>
    <x v="1"/>
    <b v="0"/>
    <x v="0"/>
    <x v="0"/>
    <n v="0.22"/>
    <n v="0.2727"/>
    <n v="0.8"/>
    <n v="0"/>
    <n v="8"/>
    <n v="32"/>
    <n v="40"/>
    <s v="Weekend"/>
  </r>
  <r>
    <n v="3"/>
    <d v="2011-01-01T00:00:00"/>
    <x v="0"/>
    <n v="0"/>
    <x v="0"/>
    <x v="2"/>
    <b v="0"/>
    <x v="0"/>
    <x v="0"/>
    <n v="0.22"/>
    <n v="0.2727"/>
    <n v="0.8"/>
    <n v="0"/>
    <n v="5"/>
    <n v="27"/>
    <n v="32"/>
    <s v="Weekend"/>
  </r>
  <r>
    <n v="4"/>
    <d v="2011-01-01T00:00:00"/>
    <x v="0"/>
    <n v="0"/>
    <x v="0"/>
    <x v="3"/>
    <b v="0"/>
    <x v="0"/>
    <x v="0"/>
    <n v="0.24"/>
    <n v="0.28789999999999999"/>
    <n v="0.75"/>
    <n v="0"/>
    <n v="3"/>
    <n v="10"/>
    <n v="13"/>
    <s v="Weekend"/>
  </r>
  <r>
    <n v="5"/>
    <d v="2011-01-01T00:00:00"/>
    <x v="0"/>
    <n v="0"/>
    <x v="0"/>
    <x v="4"/>
    <b v="0"/>
    <x v="0"/>
    <x v="0"/>
    <n v="0.24"/>
    <n v="0.28789999999999999"/>
    <n v="0.75"/>
    <n v="0"/>
    <n v="0"/>
    <n v="1"/>
    <n v="1"/>
    <s v="Weekend"/>
  </r>
  <r>
    <n v="6"/>
    <d v="2011-01-01T00:00:00"/>
    <x v="0"/>
    <n v="0"/>
    <x v="0"/>
    <x v="5"/>
    <b v="0"/>
    <x v="0"/>
    <x v="1"/>
    <n v="0.24"/>
    <n v="0.2576"/>
    <n v="0.75"/>
    <n v="8.9599999999999999E-2"/>
    <n v="0"/>
    <n v="1"/>
    <n v="1"/>
    <s v="Weekend"/>
  </r>
  <r>
    <n v="7"/>
    <d v="2011-01-01T00:00:00"/>
    <x v="0"/>
    <n v="0"/>
    <x v="0"/>
    <x v="6"/>
    <b v="0"/>
    <x v="0"/>
    <x v="0"/>
    <n v="0.22"/>
    <n v="0.2727"/>
    <n v="0.8"/>
    <n v="0"/>
    <n v="2"/>
    <n v="0"/>
    <n v="2"/>
    <s v="Weekend"/>
  </r>
  <r>
    <n v="8"/>
    <d v="2011-01-01T00:00:00"/>
    <x v="0"/>
    <n v="0"/>
    <x v="0"/>
    <x v="7"/>
    <b v="0"/>
    <x v="0"/>
    <x v="0"/>
    <n v="0.2"/>
    <n v="0.2576"/>
    <n v="0.86"/>
    <n v="0"/>
    <n v="1"/>
    <n v="2"/>
    <n v="3"/>
    <s v="Weekend"/>
  </r>
  <r>
    <n v="9"/>
    <d v="2011-01-01T00:00:00"/>
    <x v="0"/>
    <n v="0"/>
    <x v="0"/>
    <x v="8"/>
    <b v="0"/>
    <x v="0"/>
    <x v="0"/>
    <n v="0.24"/>
    <n v="0"/>
    <n v="0.75"/>
    <n v="0"/>
    <n v="1"/>
    <n v="7"/>
    <n v="8"/>
    <s v="Weekend"/>
  </r>
  <r>
    <n v="10"/>
    <d v="2011-01-01T00:00:00"/>
    <x v="0"/>
    <n v="0"/>
    <x v="0"/>
    <x v="9"/>
    <b v="0"/>
    <x v="0"/>
    <x v="0"/>
    <n v="0.32"/>
    <n v="0.34849999999999998"/>
    <n v="0.76"/>
    <n v="0"/>
    <n v="8"/>
    <n v="6"/>
    <n v="14"/>
    <s v="Weekend"/>
  </r>
  <r>
    <n v="11"/>
    <d v="2011-01-01T00:00:00"/>
    <x v="0"/>
    <n v="0"/>
    <x v="0"/>
    <x v="10"/>
    <b v="0"/>
    <x v="0"/>
    <x v="0"/>
    <n v="0.38"/>
    <n v="0.39389999999999997"/>
    <n v="0.76"/>
    <n v="0.25369999999999998"/>
    <n v="12"/>
    <n v="24"/>
    <n v="36"/>
    <s v="Weekend"/>
  </r>
  <r>
    <n v="12"/>
    <d v="2011-01-01T00:00:00"/>
    <x v="0"/>
    <n v="0"/>
    <x v="0"/>
    <x v="11"/>
    <b v="0"/>
    <x v="0"/>
    <x v="0"/>
    <n v="0.36"/>
    <n v="0.33329999999999999"/>
    <n v="0.81"/>
    <n v="0.28360000000000002"/>
    <n v="26"/>
    <n v="30"/>
    <n v="56"/>
    <s v="Weekend"/>
  </r>
  <r>
    <n v="13"/>
    <d v="2011-01-01T00:00:00"/>
    <x v="0"/>
    <n v="0"/>
    <x v="0"/>
    <x v="12"/>
    <b v="0"/>
    <x v="0"/>
    <x v="0"/>
    <n v="0.42"/>
    <n v="0.42420000000000002"/>
    <n v="0.77"/>
    <n v="0.28360000000000002"/>
    <n v="29"/>
    <n v="55"/>
    <n v="84"/>
    <s v="Weekend"/>
  </r>
  <r>
    <n v="14"/>
    <d v="2011-01-01T00:00:00"/>
    <x v="0"/>
    <n v="0"/>
    <x v="0"/>
    <x v="13"/>
    <b v="0"/>
    <x v="0"/>
    <x v="1"/>
    <n v="0.46"/>
    <n v="0.45450000000000002"/>
    <n v="0.72"/>
    <n v="0.29849999999999999"/>
    <n v="47"/>
    <n v="47"/>
    <n v="94"/>
    <s v="Weekend"/>
  </r>
  <r>
    <n v="15"/>
    <d v="2011-01-01T00:00:00"/>
    <x v="0"/>
    <n v="0"/>
    <x v="0"/>
    <x v="14"/>
    <b v="0"/>
    <x v="0"/>
    <x v="1"/>
    <n v="0.46"/>
    <n v="0.45450000000000002"/>
    <n v="0.72"/>
    <n v="0.28360000000000002"/>
    <n v="35"/>
    <n v="71"/>
    <n v="106"/>
    <s v="Weekend"/>
  </r>
  <r>
    <n v="16"/>
    <d v="2011-01-01T00:00:00"/>
    <x v="0"/>
    <n v="0"/>
    <x v="0"/>
    <x v="15"/>
    <b v="0"/>
    <x v="0"/>
    <x v="1"/>
    <n v="0.44"/>
    <n v="0.43940000000000001"/>
    <n v="0.77"/>
    <n v="0.29849999999999999"/>
    <n v="40"/>
    <n v="70"/>
    <n v="110"/>
    <s v="Weekend"/>
  </r>
  <r>
    <n v="17"/>
    <d v="2011-01-01T00:00:00"/>
    <x v="0"/>
    <n v="0"/>
    <x v="0"/>
    <x v="16"/>
    <b v="0"/>
    <x v="0"/>
    <x v="1"/>
    <n v="0.42"/>
    <n v="0.42420000000000002"/>
    <n v="0.82"/>
    <n v="0.29849999999999999"/>
    <n v="41"/>
    <n v="52"/>
    <n v="93"/>
    <s v="Weekend"/>
  </r>
  <r>
    <n v="18"/>
    <d v="2011-01-01T00:00:00"/>
    <x v="0"/>
    <n v="0"/>
    <x v="0"/>
    <x v="17"/>
    <b v="0"/>
    <x v="0"/>
    <x v="1"/>
    <n v="0.44"/>
    <n v="0"/>
    <n v="0.82"/>
    <n v="0.28360000000000002"/>
    <n v="15"/>
    <n v="52"/>
    <n v="67"/>
    <s v="Weekend"/>
  </r>
  <r>
    <n v="19"/>
    <d v="2011-01-01T00:00:00"/>
    <x v="0"/>
    <n v="0"/>
    <x v="0"/>
    <x v="18"/>
    <b v="0"/>
    <x v="0"/>
    <x v="2"/>
    <n v="0.42"/>
    <n v="0.42420000000000002"/>
    <n v="0.88"/>
    <n v="0.25369999999999998"/>
    <n v="9"/>
    <n v="26"/>
    <n v="35"/>
    <s v="Weekend"/>
  </r>
  <r>
    <n v="20"/>
    <d v="2011-01-01T00:00:00"/>
    <x v="0"/>
    <n v="0"/>
    <x v="0"/>
    <x v="19"/>
    <b v="0"/>
    <x v="0"/>
    <x v="2"/>
    <n v="0.42"/>
    <n v="0.42420000000000002"/>
    <n v="0.88"/>
    <n v="0.25369999999999998"/>
    <n v="6"/>
    <n v="31"/>
    <n v="37"/>
    <s v="Weekend"/>
  </r>
  <r>
    <n v="21"/>
    <d v="2011-01-01T00:00:00"/>
    <x v="0"/>
    <n v="0"/>
    <x v="0"/>
    <x v="20"/>
    <b v="0"/>
    <x v="0"/>
    <x v="1"/>
    <n v="0.4"/>
    <n v="0.40910000000000002"/>
    <n v="0.87"/>
    <n v="0.25369999999999998"/>
    <n v="11"/>
    <n v="25"/>
    <n v="36"/>
    <s v="Weekend"/>
  </r>
  <r>
    <n v="22"/>
    <d v="2011-01-01T00:00:00"/>
    <x v="0"/>
    <n v="0"/>
    <x v="0"/>
    <x v="21"/>
    <b v="0"/>
    <x v="0"/>
    <x v="1"/>
    <n v="0.4"/>
    <n v="0.40910000000000002"/>
    <n v="0.87"/>
    <n v="0.19400000000000001"/>
    <n v="3"/>
    <n v="31"/>
    <n v="34"/>
    <s v="Weekend"/>
  </r>
  <r>
    <n v="23"/>
    <d v="2011-01-01T00:00:00"/>
    <x v="0"/>
    <n v="0"/>
    <x v="0"/>
    <x v="22"/>
    <b v="0"/>
    <x v="0"/>
    <x v="1"/>
    <n v="0.4"/>
    <n v="0.40910000000000002"/>
    <n v="0.94"/>
    <n v="0.22389999999999999"/>
    <n v="11"/>
    <n v="17"/>
    <n v="28"/>
    <s v="Weekend"/>
  </r>
  <r>
    <n v="24"/>
    <d v="2011-01-01T00:00:00"/>
    <x v="0"/>
    <n v="0"/>
    <x v="0"/>
    <x v="23"/>
    <b v="0"/>
    <x v="0"/>
    <x v="1"/>
    <n v="0.46"/>
    <n v="0"/>
    <n v="0.88"/>
    <n v="0.29849999999999999"/>
    <n v="15"/>
    <n v="24"/>
    <n v="39"/>
    <s v="Weekend"/>
  </r>
  <r>
    <n v="25"/>
    <d v="2011-01-02T00:00:00"/>
    <x v="0"/>
    <n v="0"/>
    <x v="0"/>
    <x v="0"/>
    <b v="0"/>
    <x v="1"/>
    <x v="1"/>
    <n v="0.46"/>
    <n v="0.45450000000000002"/>
    <n v="0.88"/>
    <n v="0.29849999999999999"/>
    <n v="4"/>
    <n v="13"/>
    <n v="17"/>
    <s v="Weekday"/>
  </r>
  <r>
    <n v="26"/>
    <d v="2011-01-02T00:00:00"/>
    <x v="0"/>
    <n v="0"/>
    <x v="0"/>
    <x v="1"/>
    <b v="0"/>
    <x v="1"/>
    <x v="1"/>
    <n v="0.44"/>
    <n v="0.43940000000000001"/>
    <n v="0.94"/>
    <n v="0.25369999999999998"/>
    <n v="1"/>
    <n v="16"/>
    <n v="17"/>
    <s v="Weekday"/>
  </r>
  <r>
    <n v="27"/>
    <d v="2011-01-02T00:00:00"/>
    <x v="0"/>
    <n v="0"/>
    <x v="0"/>
    <x v="2"/>
    <b v="0"/>
    <x v="1"/>
    <x v="1"/>
    <n v="0.42"/>
    <n v="0.42420000000000002"/>
    <n v="1"/>
    <n v="0.28360000000000002"/>
    <n v="1"/>
    <n v="8"/>
    <n v="9"/>
    <s v="Weekday"/>
  </r>
  <r>
    <n v="28"/>
    <d v="2011-01-02T00:00:00"/>
    <x v="0"/>
    <n v="0"/>
    <x v="0"/>
    <x v="3"/>
    <b v="0"/>
    <x v="1"/>
    <x v="1"/>
    <n v="0.46"/>
    <n v="0.45450000000000002"/>
    <n v="0.94"/>
    <n v="0.19400000000000001"/>
    <n v="2"/>
    <n v="4"/>
    <n v="6"/>
    <s v="Weekday"/>
  </r>
  <r>
    <n v="29"/>
    <d v="2011-01-02T00:00:00"/>
    <x v="0"/>
    <n v="0"/>
    <x v="0"/>
    <x v="4"/>
    <b v="0"/>
    <x v="1"/>
    <x v="1"/>
    <n v="0.46"/>
    <n v="0"/>
    <n v="0.94"/>
    <n v="0.19400000000000001"/>
    <n v="2"/>
    <n v="1"/>
    <n v="3"/>
    <s v="Weekday"/>
  </r>
  <r>
    <n v="30"/>
    <d v="2011-01-02T00:00:00"/>
    <x v="0"/>
    <n v="0"/>
    <x v="0"/>
    <x v="6"/>
    <b v="0"/>
    <x v="1"/>
    <x v="2"/>
    <n v="0.42"/>
    <n v="0.42420000000000002"/>
    <n v="0.77"/>
    <n v="0.29849999999999999"/>
    <n v="0"/>
    <n v="2"/>
    <n v="2"/>
    <s v="Weekday"/>
  </r>
  <r>
    <n v="31"/>
    <d v="2011-01-02T00:00:00"/>
    <x v="0"/>
    <n v="0"/>
    <x v="0"/>
    <x v="7"/>
    <b v="0"/>
    <x v="1"/>
    <x v="1"/>
    <n v="0.4"/>
    <n v="0.40910000000000002"/>
    <n v="0.76"/>
    <n v="0.19400000000000001"/>
    <n v="0"/>
    <n v="1"/>
    <n v="1"/>
    <s v="Weekday"/>
  </r>
  <r>
    <n v="32"/>
    <d v="2011-01-02T00:00:00"/>
    <x v="0"/>
    <n v="0"/>
    <x v="0"/>
    <x v="8"/>
    <b v="0"/>
    <x v="1"/>
    <x v="2"/>
    <n v="0.4"/>
    <n v="0.40910000000000002"/>
    <n v="0.71"/>
    <n v="0.22389999999999999"/>
    <n v="0"/>
    <n v="8"/>
    <n v="8"/>
    <s v="Weekday"/>
  </r>
  <r>
    <n v="33"/>
    <d v="2011-01-02T00:00:00"/>
    <x v="0"/>
    <n v="0"/>
    <x v="0"/>
    <x v="9"/>
    <b v="0"/>
    <x v="1"/>
    <x v="1"/>
    <n v="0.38"/>
    <n v="0"/>
    <n v="0.76"/>
    <n v="0.22389999999999999"/>
    <n v="1"/>
    <n v="19"/>
    <n v="20"/>
    <s v="Weekday"/>
  </r>
  <r>
    <n v="34"/>
    <d v="2011-01-02T00:00:00"/>
    <x v="0"/>
    <n v="0"/>
    <x v="0"/>
    <x v="10"/>
    <b v="0"/>
    <x v="1"/>
    <x v="1"/>
    <n v="0.36"/>
    <n v="0.34849999999999998"/>
    <n v="0.81"/>
    <n v="0.22389999999999999"/>
    <n v="7"/>
    <n v="46"/>
    <n v="53"/>
    <s v="Weekday"/>
  </r>
  <r>
    <n v="35"/>
    <d v="2011-01-02T00:00:00"/>
    <x v="0"/>
    <n v="0"/>
    <x v="0"/>
    <x v="11"/>
    <b v="0"/>
    <x v="1"/>
    <x v="1"/>
    <n v="0.36"/>
    <n v="0.33329999999999999"/>
    <n v="0.71"/>
    <n v="0.25369999999999998"/>
    <n v="16"/>
    <n v="54"/>
    <n v="70"/>
    <s v="Weekday"/>
  </r>
  <r>
    <n v="36"/>
    <d v="2011-01-02T00:00:00"/>
    <x v="0"/>
    <n v="0"/>
    <x v="0"/>
    <x v="12"/>
    <b v="0"/>
    <x v="1"/>
    <x v="1"/>
    <n v="0.36"/>
    <n v="0.33329999999999999"/>
    <n v="0.66"/>
    <n v="0.29849999999999999"/>
    <n v="20"/>
    <n v="73"/>
    <n v="93"/>
    <s v="Weekday"/>
  </r>
  <r>
    <n v="37"/>
    <d v="2011-01-02T00:00:00"/>
    <x v="0"/>
    <n v="0"/>
    <x v="0"/>
    <x v="13"/>
    <b v="0"/>
    <x v="1"/>
    <x v="1"/>
    <n v="0.36"/>
    <n v="0.34849999999999998"/>
    <n v="0.66"/>
    <n v="0.1343"/>
    <n v="11"/>
    <n v="64"/>
    <n v="75"/>
    <s v="Weekday"/>
  </r>
  <r>
    <n v="38"/>
    <d v="2011-01-02T00:00:00"/>
    <x v="0"/>
    <n v="0"/>
    <x v="0"/>
    <x v="14"/>
    <b v="0"/>
    <x v="1"/>
    <x v="2"/>
    <n v="0.36"/>
    <n v="0"/>
    <n v="0.76"/>
    <n v="0.19400000000000001"/>
    <n v="4"/>
    <n v="55"/>
    <n v="59"/>
    <s v="Weekday"/>
  </r>
  <r>
    <n v="39"/>
    <d v="2011-01-02T00:00:00"/>
    <x v="0"/>
    <n v="0"/>
    <x v="0"/>
    <x v="15"/>
    <b v="0"/>
    <x v="1"/>
    <x v="2"/>
    <n v="0.34"/>
    <n v="0.33329999999999999"/>
    <n v="0.81"/>
    <n v="0.16420000000000001"/>
    <n v="19"/>
    <n v="55"/>
    <n v="74"/>
    <s v="Weekday"/>
  </r>
  <r>
    <n v="40"/>
    <d v="2011-01-02T00:00:00"/>
    <x v="0"/>
    <n v="0"/>
    <x v="0"/>
    <x v="16"/>
    <b v="0"/>
    <x v="1"/>
    <x v="2"/>
    <n v="0.34"/>
    <n v="0.33329999999999999"/>
    <n v="0.71"/>
    <n v="0.16420000000000001"/>
    <n v="9"/>
    <n v="67"/>
    <n v="76"/>
    <s v="Weekday"/>
  </r>
  <r>
    <n v="41"/>
    <d v="2011-01-02T00:00:00"/>
    <x v="0"/>
    <n v="0"/>
    <x v="0"/>
    <x v="17"/>
    <b v="0"/>
    <x v="1"/>
    <x v="0"/>
    <n v="0.34"/>
    <n v="0.33329999999999999"/>
    <n v="0.56999999999999995"/>
    <n v="0.19400000000000001"/>
    <n v="7"/>
    <n v="58"/>
    <n v="65"/>
    <s v="Weekday"/>
  </r>
  <r>
    <n v="42"/>
    <d v="2011-01-02T00:00:00"/>
    <x v="0"/>
    <n v="0"/>
    <x v="0"/>
    <x v="18"/>
    <b v="0"/>
    <x v="1"/>
    <x v="1"/>
    <n v="0.36"/>
    <n v="0.33329999999999999"/>
    <n v="0.46"/>
    <n v="0.32840000000000003"/>
    <n v="10"/>
    <n v="43"/>
    <n v="53"/>
    <s v="Weekday"/>
  </r>
  <r>
    <n v="43"/>
    <d v="2011-01-02T00:00:00"/>
    <x v="0"/>
    <n v="0"/>
    <x v="0"/>
    <x v="19"/>
    <b v="0"/>
    <x v="1"/>
    <x v="0"/>
    <n v="0.32"/>
    <n v="0.28789999999999999"/>
    <n v="0.42"/>
    <n v="0.44779999999999998"/>
    <n v="1"/>
    <n v="29"/>
    <n v="30"/>
    <s v="Weekday"/>
  </r>
  <r>
    <n v="44"/>
    <d v="2011-01-02T00:00:00"/>
    <x v="0"/>
    <n v="0"/>
    <x v="0"/>
    <x v="20"/>
    <b v="0"/>
    <x v="1"/>
    <x v="0"/>
    <n v="0.3"/>
    <n v="0"/>
    <n v="0.39"/>
    <n v="0.35820000000000002"/>
    <n v="5"/>
    <n v="17"/>
    <n v="22"/>
    <s v="Weekday"/>
  </r>
  <r>
    <n v="45"/>
    <d v="2011-01-02T00:00:00"/>
    <x v="0"/>
    <n v="0"/>
    <x v="0"/>
    <x v="21"/>
    <b v="0"/>
    <x v="1"/>
    <x v="0"/>
    <n v="0.26"/>
    <n v="0.2273"/>
    <n v="0.44"/>
    <n v="0.32840000000000003"/>
    <n v="11"/>
    <n v="20"/>
    <n v="31"/>
    <s v="Weekday"/>
  </r>
  <r>
    <n v="46"/>
    <d v="2011-01-02T00:00:00"/>
    <x v="0"/>
    <n v="0"/>
    <x v="0"/>
    <x v="22"/>
    <b v="0"/>
    <x v="1"/>
    <x v="0"/>
    <n v="0.24"/>
    <n v="0.21210000000000001"/>
    <n v="0.44"/>
    <n v="0.29849999999999999"/>
    <n v="0"/>
    <n v="9"/>
    <n v="9"/>
    <s v="Weekday"/>
  </r>
  <r>
    <n v="47"/>
    <d v="2011-01-02T00:00:00"/>
    <x v="0"/>
    <n v="0"/>
    <x v="0"/>
    <x v="23"/>
    <b v="0"/>
    <x v="1"/>
    <x v="0"/>
    <n v="0.22"/>
    <n v="0.2273"/>
    <n v="0.47"/>
    <n v="0.16420000000000001"/>
    <n v="0"/>
    <n v="8"/>
    <n v="8"/>
    <s v="Weekday"/>
  </r>
  <r>
    <n v="48"/>
    <d v="2011-01-03T00:00:00"/>
    <x v="0"/>
    <n v="0"/>
    <x v="0"/>
    <x v="0"/>
    <b v="0"/>
    <x v="2"/>
    <x v="0"/>
    <n v="0.22"/>
    <n v="0.19700000000000001"/>
    <n v="0.44"/>
    <n v="0.35820000000000002"/>
    <n v="0"/>
    <n v="5"/>
    <n v="5"/>
    <s v="Weekday"/>
  </r>
  <r>
    <n v="49"/>
    <d v="2011-01-03T00:00:00"/>
    <x v="0"/>
    <n v="0"/>
    <x v="0"/>
    <x v="1"/>
    <b v="0"/>
    <x v="2"/>
    <x v="0"/>
    <n v="0.2"/>
    <n v="0"/>
    <n v="0.44"/>
    <n v="0.41789999999999999"/>
    <n v="0"/>
    <n v="2"/>
    <n v="2"/>
    <s v="Weekday"/>
  </r>
  <r>
    <n v="50"/>
    <d v="2011-01-03T00:00:00"/>
    <x v="0"/>
    <n v="0"/>
    <x v="0"/>
    <x v="4"/>
    <b v="0"/>
    <x v="2"/>
    <x v="0"/>
    <n v="0.16"/>
    <n v="0.13639999999999999"/>
    <n v="0.47"/>
    <n v="0.3881"/>
    <n v="0"/>
    <n v="1"/>
    <n v="1"/>
    <s v="Weekday"/>
  </r>
  <r>
    <n v="51"/>
    <d v="2011-01-03T00:00:00"/>
    <x v="0"/>
    <n v="0"/>
    <x v="0"/>
    <x v="5"/>
    <b v="0"/>
    <x v="2"/>
    <x v="0"/>
    <n v="0.16"/>
    <n v="0.13639999999999999"/>
    <n v="0.47"/>
    <n v="0.28360000000000002"/>
    <n v="0"/>
    <n v="3"/>
    <n v="3"/>
    <s v="Weekday"/>
  </r>
  <r>
    <n v="52"/>
    <d v="2011-01-03T00:00:00"/>
    <x v="0"/>
    <n v="0"/>
    <x v="0"/>
    <x v="6"/>
    <b v="0"/>
    <x v="2"/>
    <x v="0"/>
    <n v="0.14000000000000001"/>
    <n v="0.1061"/>
    <n v="0.5"/>
    <n v="0.3881"/>
    <n v="0"/>
    <n v="30"/>
    <n v="30"/>
    <s v="Weekday"/>
  </r>
  <r>
    <n v="53"/>
    <d v="2011-01-03T00:00:00"/>
    <x v="0"/>
    <n v="0"/>
    <x v="0"/>
    <x v="7"/>
    <b v="0"/>
    <x v="2"/>
    <x v="0"/>
    <n v="0.14000000000000001"/>
    <n v="0.13639999999999999"/>
    <n v="0.5"/>
    <n v="0.19400000000000001"/>
    <n v="1"/>
    <n v="63"/>
    <n v="64"/>
    <s v="Weekday"/>
  </r>
  <r>
    <n v="54"/>
    <d v="2011-01-03T00:00:00"/>
    <x v="0"/>
    <n v="0"/>
    <x v="0"/>
    <x v="8"/>
    <b v="0"/>
    <x v="2"/>
    <x v="0"/>
    <n v="0.14000000000000001"/>
    <n v="0.1212"/>
    <n v="0.5"/>
    <n v="0.28360000000000002"/>
    <n v="1"/>
    <n v="153"/>
    <n v="154"/>
    <s v="Weekday"/>
  </r>
  <r>
    <n v="55"/>
    <d v="2011-01-03T00:00:00"/>
    <x v="0"/>
    <n v="0"/>
    <x v="0"/>
    <x v="9"/>
    <b v="0"/>
    <x v="2"/>
    <x v="0"/>
    <n v="0.16"/>
    <n v="0.13639999999999999"/>
    <n v="0.43"/>
    <n v="0.3881"/>
    <n v="7"/>
    <n v="81"/>
    <n v="88"/>
    <s v="Weekday"/>
  </r>
  <r>
    <n v="56"/>
    <d v="2011-01-03T00:00:00"/>
    <x v="0"/>
    <n v="0"/>
    <x v="0"/>
    <x v="10"/>
    <b v="0"/>
    <x v="2"/>
    <x v="0"/>
    <n v="0.18"/>
    <n v="0.16669999999999999"/>
    <n v="0.43"/>
    <n v="0.25369999999999998"/>
    <n v="11"/>
    <n v="33"/>
    <n v="44"/>
    <s v="Weekday"/>
  </r>
  <r>
    <n v="57"/>
    <d v="2011-01-03T00:00:00"/>
    <x v="0"/>
    <n v="0"/>
    <x v="0"/>
    <x v="11"/>
    <b v="0"/>
    <x v="2"/>
    <x v="0"/>
    <n v="0.2"/>
    <n v="0.18179999999999999"/>
    <n v="0.4"/>
    <n v="0.32840000000000003"/>
    <n v="10"/>
    <n v="41"/>
    <n v="51"/>
    <s v="Weekday"/>
  </r>
  <r>
    <n v="58"/>
    <d v="2011-01-03T00:00:00"/>
    <x v="0"/>
    <n v="0"/>
    <x v="0"/>
    <x v="12"/>
    <b v="0"/>
    <x v="2"/>
    <x v="0"/>
    <n v="0.22"/>
    <n v="0.21210000000000001"/>
    <n v="0.35"/>
    <n v="0.29849999999999999"/>
    <n v="13"/>
    <n v="48"/>
    <n v="61"/>
    <s v="Weekday"/>
  </r>
  <r>
    <n v="59"/>
    <d v="2011-01-03T00:00:00"/>
    <x v="0"/>
    <n v="0"/>
    <x v="0"/>
    <x v="13"/>
    <b v="0"/>
    <x v="2"/>
    <x v="0"/>
    <n v="0.24"/>
    <n v="0"/>
    <n v="0.35"/>
    <n v="0.28360000000000002"/>
    <n v="8"/>
    <n v="53"/>
    <n v="61"/>
    <s v="Weekday"/>
  </r>
  <r>
    <n v="60"/>
    <d v="2011-01-03T00:00:00"/>
    <x v="0"/>
    <n v="0"/>
    <x v="0"/>
    <x v="14"/>
    <b v="0"/>
    <x v="2"/>
    <x v="0"/>
    <n v="0.26"/>
    <n v="0.2424"/>
    <n v="0.3"/>
    <n v="0.28360000000000002"/>
    <n v="11"/>
    <n v="66"/>
    <n v="77"/>
    <s v="Weekday"/>
  </r>
  <r>
    <n v="61"/>
    <d v="2011-01-03T00:00:00"/>
    <x v="0"/>
    <n v="0"/>
    <x v="0"/>
    <x v="15"/>
    <b v="0"/>
    <x v="2"/>
    <x v="0"/>
    <n v="0.26"/>
    <n v="0.2424"/>
    <n v="0.3"/>
    <n v="0.25369999999999998"/>
    <n v="14"/>
    <n v="58"/>
    <n v="72"/>
    <s v="Weekday"/>
  </r>
  <r>
    <n v="62"/>
    <d v="2011-01-03T00:00:00"/>
    <x v="0"/>
    <n v="0"/>
    <x v="0"/>
    <x v="16"/>
    <b v="0"/>
    <x v="2"/>
    <x v="0"/>
    <n v="0.26"/>
    <n v="0.2424"/>
    <n v="0.3"/>
    <n v="0.25369999999999998"/>
    <n v="9"/>
    <n v="67"/>
    <n v="76"/>
    <s v="Weekday"/>
  </r>
  <r>
    <n v="63"/>
    <d v="2011-01-03T00:00:00"/>
    <x v="0"/>
    <n v="0"/>
    <x v="0"/>
    <x v="17"/>
    <b v="0"/>
    <x v="2"/>
    <x v="0"/>
    <n v="0.24"/>
    <n v="0.2273"/>
    <n v="0.3"/>
    <n v="0.22389999999999999"/>
    <n v="11"/>
    <n v="146"/>
    <n v="157"/>
    <s v="Weekday"/>
  </r>
  <r>
    <n v="64"/>
    <d v="2011-01-03T00:00:00"/>
    <x v="0"/>
    <n v="0"/>
    <x v="0"/>
    <x v="18"/>
    <b v="0"/>
    <x v="2"/>
    <x v="0"/>
    <n v="0.24"/>
    <n v="0.2576"/>
    <n v="0.32"/>
    <n v="0.1045"/>
    <n v="9"/>
    <n v="148"/>
    <n v="157"/>
    <s v="Weekday"/>
  </r>
  <r>
    <n v="65"/>
    <d v="2011-01-03T00:00:00"/>
    <x v="0"/>
    <n v="0"/>
    <x v="0"/>
    <x v="19"/>
    <b v="0"/>
    <x v="2"/>
    <x v="0"/>
    <n v="0.2"/>
    <n v="0.2576"/>
    <n v="0.47"/>
    <n v="0"/>
    <n v="8"/>
    <n v="102"/>
    <n v="110"/>
    <s v="Weekday"/>
  </r>
  <r>
    <n v="66"/>
    <d v="2011-01-03T00:00:00"/>
    <x v="0"/>
    <n v="0"/>
    <x v="0"/>
    <x v="20"/>
    <b v="0"/>
    <x v="2"/>
    <x v="0"/>
    <n v="0.2"/>
    <n v="0"/>
    <n v="0.47"/>
    <n v="0.1045"/>
    <n v="3"/>
    <n v="49"/>
    <n v="52"/>
    <s v="Weekday"/>
  </r>
  <r>
    <n v="67"/>
    <d v="2011-01-03T00:00:00"/>
    <x v="0"/>
    <n v="0"/>
    <x v="0"/>
    <x v="21"/>
    <b v="0"/>
    <x v="2"/>
    <x v="0"/>
    <n v="0.18"/>
    <n v="0.19700000000000001"/>
    <n v="0.64"/>
    <n v="0.1343"/>
    <n v="3"/>
    <n v="49"/>
    <n v="52"/>
    <s v="Weekday"/>
  </r>
  <r>
    <n v="68"/>
    <d v="2011-01-03T00:00:00"/>
    <x v="0"/>
    <n v="0"/>
    <x v="0"/>
    <x v="22"/>
    <b v="0"/>
    <x v="2"/>
    <x v="0"/>
    <n v="0.14000000000000001"/>
    <n v="0.1515"/>
    <n v="0.69"/>
    <n v="0.1343"/>
    <n v="0"/>
    <n v="20"/>
    <n v="20"/>
    <s v="Weekday"/>
  </r>
  <r>
    <n v="69"/>
    <d v="2011-01-03T00:00:00"/>
    <x v="0"/>
    <n v="0"/>
    <x v="0"/>
    <x v="23"/>
    <b v="0"/>
    <x v="2"/>
    <x v="0"/>
    <n v="0.18"/>
    <n v="0.21210000000000001"/>
    <n v="0.55000000000000004"/>
    <n v="0.1045"/>
    <n v="1"/>
    <n v="11"/>
    <n v="12"/>
    <s v="Weekday"/>
  </r>
  <r>
    <n v="70"/>
    <d v="2011-01-04T00:00:00"/>
    <x v="0"/>
    <n v="0"/>
    <x v="0"/>
    <x v="0"/>
    <b v="0"/>
    <x v="3"/>
    <x v="0"/>
    <n v="0.16"/>
    <n v="0"/>
    <n v="0.55000000000000004"/>
    <n v="0.1045"/>
    <n v="0"/>
    <n v="5"/>
    <n v="5"/>
    <s v="Weekday"/>
  </r>
  <r>
    <n v="71"/>
    <d v="2011-01-04T00:00:00"/>
    <x v="0"/>
    <n v="0"/>
    <x v="0"/>
    <x v="1"/>
    <b v="0"/>
    <x v="3"/>
    <x v="0"/>
    <n v="0.16"/>
    <n v="0.18179999999999999"/>
    <n v="0.59"/>
    <n v="0.1045"/>
    <n v="0"/>
    <n v="2"/>
    <n v="2"/>
    <s v="Weekday"/>
  </r>
  <r>
    <n v="72"/>
    <d v="2011-01-04T00:00:00"/>
    <x v="0"/>
    <n v="0"/>
    <x v="0"/>
    <x v="2"/>
    <b v="0"/>
    <x v="3"/>
    <x v="0"/>
    <n v="0.14000000000000001"/>
    <n v="0.1515"/>
    <n v="0.63"/>
    <n v="0.1343"/>
    <n v="0"/>
    <n v="1"/>
    <n v="1"/>
    <s v="Weekday"/>
  </r>
  <r>
    <n v="73"/>
    <d v="2011-01-04T00:00:00"/>
    <x v="0"/>
    <n v="0"/>
    <x v="0"/>
    <x v="4"/>
    <b v="0"/>
    <x v="3"/>
    <x v="0"/>
    <n v="0.14000000000000001"/>
    <n v="0.18179999999999999"/>
    <n v="0.63"/>
    <n v="8.9599999999999999E-2"/>
    <n v="0"/>
    <n v="2"/>
    <n v="2"/>
    <s v="Weekday"/>
  </r>
  <r>
    <n v="74"/>
    <d v="2011-01-04T00:00:00"/>
    <x v="0"/>
    <n v="0"/>
    <x v="0"/>
    <x v="5"/>
    <b v="0"/>
    <x v="3"/>
    <x v="0"/>
    <n v="0.12"/>
    <n v="0.1515"/>
    <n v="0.68"/>
    <n v="0.1045"/>
    <n v="0"/>
    <n v="4"/>
    <n v="4"/>
    <s v="Weekday"/>
  </r>
  <r>
    <n v="75"/>
    <d v="2011-01-04T00:00:00"/>
    <x v="0"/>
    <n v="0"/>
    <x v="0"/>
    <x v="6"/>
    <b v="0"/>
    <x v="3"/>
    <x v="0"/>
    <n v="0.12"/>
    <n v="0.1515"/>
    <n v="0.74"/>
    <n v="0.1045"/>
    <n v="0"/>
    <n v="36"/>
    <n v="36"/>
    <s v="Weekday"/>
  </r>
  <r>
    <n v="76"/>
    <d v="2011-01-04T00:00:00"/>
    <x v="0"/>
    <n v="0"/>
    <x v="0"/>
    <x v="7"/>
    <b v="0"/>
    <x v="3"/>
    <x v="0"/>
    <n v="0.12"/>
    <n v="0.1515"/>
    <n v="0.74"/>
    <n v="0.1343"/>
    <n v="2"/>
    <n v="92"/>
    <n v="94"/>
    <s v="Weekday"/>
  </r>
  <r>
    <n v="77"/>
    <d v="2011-01-04T00:00:00"/>
    <x v="0"/>
    <n v="0"/>
    <x v="0"/>
    <x v="8"/>
    <b v="0"/>
    <x v="3"/>
    <x v="0"/>
    <n v="0.14000000000000001"/>
    <n v="0.1515"/>
    <n v="0.69"/>
    <n v="0.16420000000000001"/>
    <n v="2"/>
    <n v="177"/>
    <n v="179"/>
    <s v="Weekday"/>
  </r>
  <r>
    <n v="78"/>
    <d v="2011-01-04T00:00:00"/>
    <x v="0"/>
    <n v="0"/>
    <x v="0"/>
    <x v="9"/>
    <b v="0"/>
    <x v="3"/>
    <x v="0"/>
    <n v="0.16"/>
    <n v="0.1515"/>
    <n v="0.64"/>
    <n v="0.22389999999999999"/>
    <n v="2"/>
    <n v="98"/>
    <n v="100"/>
    <s v="Weekday"/>
  </r>
  <r>
    <n v="79"/>
    <d v="2011-01-04T00:00:00"/>
    <x v="0"/>
    <n v="0"/>
    <x v="0"/>
    <x v="10"/>
    <b v="0"/>
    <x v="3"/>
    <x v="1"/>
    <n v="0.16"/>
    <n v="0.13639999999999999"/>
    <n v="0.69"/>
    <n v="0.32840000000000003"/>
    <n v="5"/>
    <n v="37"/>
    <n v="42"/>
    <s v="Weekday"/>
  </r>
  <r>
    <n v="80"/>
    <d v="2011-01-04T00:00:00"/>
    <x v="0"/>
    <n v="0"/>
    <x v="0"/>
    <x v="11"/>
    <b v="0"/>
    <x v="3"/>
    <x v="0"/>
    <n v="0.22"/>
    <n v="0.21210000000000001"/>
    <n v="0.51"/>
    <n v="0.29849999999999999"/>
    <n v="7"/>
    <n v="50"/>
    <n v="57"/>
    <s v="Weekday"/>
  </r>
  <r>
    <n v="81"/>
    <d v="2011-01-04T00:00:00"/>
    <x v="0"/>
    <n v="0"/>
    <x v="0"/>
    <x v="12"/>
    <b v="0"/>
    <x v="3"/>
    <x v="0"/>
    <n v="0.22"/>
    <n v="0.2273"/>
    <n v="0.51"/>
    <n v="0.16420000000000001"/>
    <n v="12"/>
    <n v="66"/>
    <n v="78"/>
    <s v="Weekday"/>
  </r>
  <r>
    <n v="82"/>
    <d v="2011-01-04T00:00:00"/>
    <x v="0"/>
    <n v="0"/>
    <x v="0"/>
    <x v="13"/>
    <b v="0"/>
    <x v="3"/>
    <x v="0"/>
    <n v="0.24"/>
    <n v="0.2273"/>
    <n v="0.56000000000000005"/>
    <n v="0.19400000000000001"/>
    <n v="18"/>
    <n v="79"/>
    <n v="97"/>
    <s v="Weekday"/>
  </r>
  <r>
    <n v="83"/>
    <d v="2011-01-04T00:00:00"/>
    <x v="0"/>
    <n v="0"/>
    <x v="0"/>
    <x v="14"/>
    <b v="0"/>
    <x v="3"/>
    <x v="0"/>
    <n v="0.26"/>
    <n v="0.2576"/>
    <n v="0.52"/>
    <n v="0.22389999999999999"/>
    <n v="9"/>
    <n v="54"/>
    <n v="63"/>
    <s v="Weekday"/>
  </r>
  <r>
    <n v="84"/>
    <d v="2011-01-04T00:00:00"/>
    <x v="0"/>
    <n v="0"/>
    <x v="0"/>
    <x v="15"/>
    <b v="0"/>
    <x v="3"/>
    <x v="0"/>
    <n v="0.28000000000000003"/>
    <n v="0.2727"/>
    <n v="0.52"/>
    <n v="0.25369999999999998"/>
    <n v="17"/>
    <n v="48"/>
    <n v="65"/>
    <s v="Weekday"/>
  </r>
  <r>
    <n v="85"/>
    <d v="2011-01-04T00:00:00"/>
    <x v="0"/>
    <n v="0"/>
    <x v="0"/>
    <x v="16"/>
    <b v="0"/>
    <x v="3"/>
    <x v="0"/>
    <n v="0.3"/>
    <n v="0.28789999999999999"/>
    <n v="0.49"/>
    <n v="0.25369999999999998"/>
    <n v="15"/>
    <n v="68"/>
    <n v="83"/>
    <s v="Weekday"/>
  </r>
  <r>
    <n v="86"/>
    <d v="2011-01-04T00:00:00"/>
    <x v="0"/>
    <n v="0"/>
    <x v="0"/>
    <x v="17"/>
    <b v="0"/>
    <x v="3"/>
    <x v="0"/>
    <n v="0.28000000000000003"/>
    <n v="0.2727"/>
    <n v="0.48"/>
    <n v="0.22389999999999999"/>
    <n v="10"/>
    <n v="202"/>
    <n v="212"/>
    <s v="Weekday"/>
  </r>
  <r>
    <n v="87"/>
    <d v="2011-01-04T00:00:00"/>
    <x v="0"/>
    <n v="0"/>
    <x v="0"/>
    <x v="18"/>
    <b v="0"/>
    <x v="3"/>
    <x v="0"/>
    <n v="0.26"/>
    <n v="0.2576"/>
    <n v="0.48"/>
    <n v="0.19400000000000001"/>
    <n v="3"/>
    <n v="179"/>
    <n v="182"/>
    <s v="Weekday"/>
  </r>
  <r>
    <n v="88"/>
    <d v="2011-01-04T00:00:00"/>
    <x v="0"/>
    <n v="0"/>
    <x v="0"/>
    <x v="19"/>
    <b v="0"/>
    <x v="3"/>
    <x v="0"/>
    <n v="0.24"/>
    <n v="0.2576"/>
    <n v="0.48"/>
    <n v="0.1045"/>
    <n v="2"/>
    <n v="110"/>
    <n v="112"/>
    <s v="Weekday"/>
  </r>
  <r>
    <n v="89"/>
    <d v="2011-01-04T00:00:00"/>
    <x v="0"/>
    <n v="0"/>
    <x v="0"/>
    <x v="20"/>
    <b v="0"/>
    <x v="3"/>
    <x v="0"/>
    <n v="0.24"/>
    <n v="0.2576"/>
    <n v="0.48"/>
    <n v="0.1045"/>
    <n v="1"/>
    <n v="53"/>
    <n v="54"/>
    <s v="Weekday"/>
  </r>
  <r>
    <n v="90"/>
    <d v="2011-01-04T00:00:00"/>
    <x v="0"/>
    <n v="0"/>
    <x v="0"/>
    <x v="21"/>
    <b v="0"/>
    <x v="3"/>
    <x v="0"/>
    <n v="0.22"/>
    <n v="0.2727"/>
    <n v="0.64"/>
    <n v="0"/>
    <n v="0"/>
    <n v="48"/>
    <n v="48"/>
    <s v="Weekday"/>
  </r>
  <r>
    <n v="91"/>
    <d v="2011-01-04T00:00:00"/>
    <x v="0"/>
    <n v="0"/>
    <x v="0"/>
    <x v="22"/>
    <b v="0"/>
    <x v="3"/>
    <x v="0"/>
    <n v="0.22"/>
    <n v="0.2576"/>
    <n v="0.64"/>
    <n v="8.9599999999999999E-2"/>
    <n v="1"/>
    <n v="34"/>
    <n v="35"/>
    <s v="Weekday"/>
  </r>
  <r>
    <n v="92"/>
    <d v="2011-01-04T00:00:00"/>
    <x v="0"/>
    <n v="0"/>
    <x v="0"/>
    <x v="23"/>
    <b v="0"/>
    <x v="3"/>
    <x v="0"/>
    <n v="0.2"/>
    <n v="0.2273"/>
    <n v="0.69"/>
    <n v="8.9599999999999999E-2"/>
    <n v="2"/>
    <n v="9"/>
    <n v="11"/>
    <s v="Weekday"/>
  </r>
  <r>
    <n v="93"/>
    <d v="2011-01-05T00:00:00"/>
    <x v="0"/>
    <n v="0"/>
    <x v="0"/>
    <x v="0"/>
    <b v="0"/>
    <x v="4"/>
    <x v="0"/>
    <n v="0.2"/>
    <n v="0.2576"/>
    <n v="0.64"/>
    <n v="0"/>
    <n v="0"/>
    <n v="6"/>
    <n v="6"/>
    <s v="Weekday"/>
  </r>
  <r>
    <n v="94"/>
    <d v="2011-01-05T00:00:00"/>
    <x v="0"/>
    <n v="0"/>
    <x v="0"/>
    <x v="1"/>
    <b v="0"/>
    <x v="4"/>
    <x v="0"/>
    <n v="0.16"/>
    <n v="0.19700000000000001"/>
    <n v="0.74"/>
    <n v="8.9599999999999999E-2"/>
    <n v="0"/>
    <n v="6"/>
    <n v="6"/>
    <s v="Weekday"/>
  </r>
  <r>
    <n v="95"/>
    <d v="2011-01-05T00:00:00"/>
    <x v="0"/>
    <n v="0"/>
    <x v="0"/>
    <x v="2"/>
    <b v="0"/>
    <x v="4"/>
    <x v="0"/>
    <n v="0.16"/>
    <n v="0.19700000000000001"/>
    <n v="0.74"/>
    <n v="8.9599999999999999E-2"/>
    <n v="0"/>
    <n v="2"/>
    <n v="2"/>
    <s v="Weekday"/>
  </r>
  <r>
    <n v="96"/>
    <d v="2011-01-05T00:00:00"/>
    <x v="0"/>
    <n v="0"/>
    <x v="0"/>
    <x v="4"/>
    <b v="0"/>
    <x v="4"/>
    <x v="0"/>
    <n v="0.24"/>
    <n v="0.2273"/>
    <n v="0.48"/>
    <n v="0.22389999999999999"/>
    <n v="0"/>
    <n v="2"/>
    <n v="2"/>
    <s v="Weekday"/>
  </r>
  <r>
    <n v="97"/>
    <d v="2011-01-05T00:00:00"/>
    <x v="0"/>
    <n v="0"/>
    <x v="0"/>
    <x v="5"/>
    <b v="0"/>
    <x v="4"/>
    <x v="0"/>
    <n v="0.22"/>
    <n v="0.2273"/>
    <n v="0.47"/>
    <n v="0.16420000000000001"/>
    <n v="0"/>
    <n v="3"/>
    <n v="3"/>
    <s v="Weekday"/>
  </r>
  <r>
    <n v="98"/>
    <d v="2011-01-05T00:00:00"/>
    <x v="0"/>
    <n v="0"/>
    <x v="0"/>
    <x v="6"/>
    <b v="0"/>
    <x v="4"/>
    <x v="0"/>
    <n v="0.2"/>
    <n v="0.19700000000000001"/>
    <n v="0.47"/>
    <n v="0.22389999999999999"/>
    <n v="0"/>
    <n v="33"/>
    <n v="33"/>
    <s v="Weekday"/>
  </r>
  <r>
    <n v="99"/>
    <d v="2011-01-05T00:00:00"/>
    <x v="0"/>
    <n v="0"/>
    <x v="0"/>
    <x v="7"/>
    <b v="0"/>
    <x v="4"/>
    <x v="0"/>
    <n v="0.18"/>
    <n v="0.18179999999999999"/>
    <n v="0.43"/>
    <n v="0.19400000000000001"/>
    <n v="1"/>
    <n v="87"/>
    <n v="88"/>
    <s v="Weekday"/>
  </r>
  <r>
    <n v="100"/>
    <d v="2011-01-05T00:00:00"/>
    <x v="0"/>
    <n v="0"/>
    <x v="0"/>
    <x v="8"/>
    <b v="0"/>
    <x v="4"/>
    <x v="0"/>
    <n v="0.2"/>
    <n v="0.18179999999999999"/>
    <n v="0.4"/>
    <n v="0.29849999999999999"/>
    <n v="3"/>
    <n v="192"/>
    <n v="195"/>
    <s v="Weekday"/>
  </r>
  <r>
    <n v="101"/>
    <d v="2011-01-05T00:00:00"/>
    <x v="0"/>
    <n v="0"/>
    <x v="0"/>
    <x v="9"/>
    <b v="0"/>
    <x v="4"/>
    <x v="0"/>
    <n v="0.22"/>
    <n v="0.19700000000000001"/>
    <n v="0.37"/>
    <n v="0.32840000000000003"/>
    <n v="6"/>
    <n v="109"/>
    <n v="115"/>
    <s v="Weekday"/>
  </r>
  <r>
    <n v="102"/>
    <d v="2011-01-05T00:00:00"/>
    <x v="0"/>
    <n v="0"/>
    <x v="0"/>
    <x v="10"/>
    <b v="0"/>
    <x v="4"/>
    <x v="0"/>
    <n v="0.22"/>
    <n v="0.19700000000000001"/>
    <n v="0.37"/>
    <n v="0.32840000000000003"/>
    <n v="4"/>
    <n v="53"/>
    <n v="57"/>
    <s v="Weekday"/>
  </r>
  <r>
    <n v="103"/>
    <d v="2011-01-05T00:00:00"/>
    <x v="0"/>
    <n v="0"/>
    <x v="0"/>
    <x v="11"/>
    <b v="0"/>
    <x v="4"/>
    <x v="0"/>
    <n v="0.26"/>
    <n v="0.2273"/>
    <n v="0.33"/>
    <n v="0.32840000000000003"/>
    <n v="12"/>
    <n v="34"/>
    <n v="46"/>
    <s v="Weekday"/>
  </r>
  <r>
    <n v="104"/>
    <d v="2011-01-05T00:00:00"/>
    <x v="0"/>
    <n v="0"/>
    <x v="0"/>
    <x v="12"/>
    <b v="0"/>
    <x v="4"/>
    <x v="0"/>
    <n v="0.26"/>
    <n v="0.2273"/>
    <n v="0.33"/>
    <n v="0.32840000000000003"/>
    <n v="5"/>
    <n v="74"/>
    <n v="79"/>
    <s v="Weekday"/>
  </r>
  <r>
    <n v="105"/>
    <d v="2011-01-05T00:00:00"/>
    <x v="0"/>
    <n v="0"/>
    <x v="0"/>
    <x v="13"/>
    <b v="0"/>
    <x v="4"/>
    <x v="0"/>
    <n v="0.28000000000000003"/>
    <n v="0.2576"/>
    <n v="0.3"/>
    <n v="0.29849999999999999"/>
    <n v="6"/>
    <n v="65"/>
    <n v="71"/>
    <s v="Weekday"/>
  </r>
  <r>
    <n v="106"/>
    <d v="2011-01-05T00:00:00"/>
    <x v="0"/>
    <n v="0"/>
    <x v="0"/>
    <x v="14"/>
    <b v="0"/>
    <x v="4"/>
    <x v="0"/>
    <n v="0.3"/>
    <n v="0.28789999999999999"/>
    <n v="0.28000000000000003"/>
    <n v="0.19400000000000001"/>
    <n v="10"/>
    <n v="52"/>
    <n v="62"/>
    <s v="Weekday"/>
  </r>
  <r>
    <n v="107"/>
    <d v="2011-01-05T00:00:00"/>
    <x v="0"/>
    <n v="0"/>
    <x v="0"/>
    <x v="15"/>
    <b v="0"/>
    <x v="4"/>
    <x v="0"/>
    <n v="0.3"/>
    <n v="0.28789999999999999"/>
    <n v="0.28000000000000003"/>
    <n v="0.19400000000000001"/>
    <n v="7"/>
    <n v="55"/>
    <n v="62"/>
    <s v="Weekday"/>
  </r>
  <r>
    <n v="108"/>
    <d v="2011-01-05T00:00:00"/>
    <x v="0"/>
    <n v="0"/>
    <x v="0"/>
    <x v="16"/>
    <b v="0"/>
    <x v="4"/>
    <x v="0"/>
    <n v="0.3"/>
    <n v="0.31819999999999998"/>
    <n v="0.28000000000000003"/>
    <n v="8.9599999999999999E-2"/>
    <n v="4"/>
    <n v="85"/>
    <n v="89"/>
    <s v="Weekday"/>
  </r>
  <r>
    <n v="109"/>
    <d v="2011-01-05T00:00:00"/>
    <x v="0"/>
    <n v="0"/>
    <x v="0"/>
    <x v="17"/>
    <b v="0"/>
    <x v="4"/>
    <x v="0"/>
    <n v="0.24"/>
    <n v="0.2273"/>
    <n v="0.38"/>
    <n v="0.19400000000000001"/>
    <n v="4"/>
    <n v="186"/>
    <n v="190"/>
    <s v="Weekday"/>
  </r>
  <r>
    <n v="110"/>
    <d v="2011-01-05T00:00:00"/>
    <x v="0"/>
    <n v="0"/>
    <x v="0"/>
    <x v="18"/>
    <b v="0"/>
    <x v="4"/>
    <x v="0"/>
    <n v="0.24"/>
    <n v="0.2424"/>
    <n v="0.38"/>
    <n v="0.1343"/>
    <n v="3"/>
    <n v="166"/>
    <n v="169"/>
    <s v="Weekday"/>
  </r>
  <r>
    <n v="111"/>
    <d v="2011-01-05T00:00:00"/>
    <x v="0"/>
    <n v="0"/>
    <x v="0"/>
    <x v="19"/>
    <b v="0"/>
    <x v="4"/>
    <x v="0"/>
    <n v="0.24"/>
    <n v="0.2576"/>
    <n v="0.38"/>
    <n v="0.1045"/>
    <n v="5"/>
    <n v="127"/>
    <n v="132"/>
    <s v="Weekday"/>
  </r>
  <r>
    <n v="112"/>
    <d v="2011-01-05T00:00:00"/>
    <x v="0"/>
    <n v="0"/>
    <x v="0"/>
    <x v="20"/>
    <b v="0"/>
    <x v="4"/>
    <x v="0"/>
    <n v="0.22"/>
    <n v="0.2273"/>
    <n v="0.47"/>
    <n v="0.16420000000000001"/>
    <n v="7"/>
    <n v="82"/>
    <n v="89"/>
    <s v="Weekday"/>
  </r>
  <r>
    <n v="113"/>
    <d v="2011-01-05T00:00:00"/>
    <x v="0"/>
    <n v="0"/>
    <x v="0"/>
    <x v="21"/>
    <b v="0"/>
    <x v="4"/>
    <x v="0"/>
    <n v="0.2"/>
    <n v="0.19700000000000001"/>
    <n v="0.51"/>
    <n v="0.19400000000000001"/>
    <n v="3"/>
    <n v="40"/>
    <n v="43"/>
    <s v="Weekday"/>
  </r>
  <r>
    <n v="114"/>
    <d v="2011-01-05T00:00:00"/>
    <x v="0"/>
    <n v="0"/>
    <x v="0"/>
    <x v="22"/>
    <b v="0"/>
    <x v="4"/>
    <x v="0"/>
    <n v="0.18"/>
    <n v="0.19700000000000001"/>
    <n v="0.55000000000000004"/>
    <n v="0.1343"/>
    <n v="1"/>
    <n v="41"/>
    <n v="42"/>
    <s v="Weekday"/>
  </r>
  <r>
    <n v="115"/>
    <d v="2011-01-05T00:00:00"/>
    <x v="0"/>
    <n v="0"/>
    <x v="0"/>
    <x v="23"/>
    <b v="0"/>
    <x v="4"/>
    <x v="0"/>
    <n v="0.2"/>
    <n v="0.2576"/>
    <n v="0.47"/>
    <n v="0"/>
    <n v="1"/>
    <n v="18"/>
    <n v="19"/>
    <s v="Weekday"/>
  </r>
  <r>
    <n v="116"/>
    <d v="2011-01-06T00:00:00"/>
    <x v="0"/>
    <n v="0"/>
    <x v="0"/>
    <x v="0"/>
    <b v="0"/>
    <x v="5"/>
    <x v="0"/>
    <n v="0.18"/>
    <n v="0.2424"/>
    <n v="0.55000000000000004"/>
    <n v="0"/>
    <n v="0"/>
    <n v="11"/>
    <n v="11"/>
    <s v="Weekday"/>
  </r>
  <r>
    <n v="117"/>
    <d v="2011-01-06T00:00:00"/>
    <x v="0"/>
    <n v="0"/>
    <x v="0"/>
    <x v="1"/>
    <b v="0"/>
    <x v="5"/>
    <x v="0"/>
    <n v="0.16"/>
    <n v="0.2273"/>
    <n v="0.64"/>
    <n v="0"/>
    <n v="0"/>
    <n v="4"/>
    <n v="4"/>
    <s v="Weekday"/>
  </r>
  <r>
    <n v="118"/>
    <d v="2011-01-06T00:00:00"/>
    <x v="0"/>
    <n v="0"/>
    <x v="0"/>
    <x v="2"/>
    <b v="0"/>
    <x v="5"/>
    <x v="0"/>
    <n v="0.16"/>
    <n v="0.2273"/>
    <n v="0.64"/>
    <n v="0"/>
    <n v="0"/>
    <n v="2"/>
    <n v="2"/>
    <s v="Weekday"/>
  </r>
  <r>
    <n v="119"/>
    <d v="2011-01-06T00:00:00"/>
    <x v="0"/>
    <n v="0"/>
    <x v="0"/>
    <x v="4"/>
    <b v="0"/>
    <x v="5"/>
    <x v="1"/>
    <n v="0.16"/>
    <n v="0.19700000000000001"/>
    <n v="0.64"/>
    <n v="8.9599999999999999E-2"/>
    <n v="0"/>
    <n v="1"/>
    <n v="1"/>
    <s v="Weekday"/>
  </r>
  <r>
    <n v="120"/>
    <d v="2011-01-06T00:00:00"/>
    <x v="0"/>
    <n v="0"/>
    <x v="0"/>
    <x v="5"/>
    <b v="0"/>
    <x v="5"/>
    <x v="1"/>
    <n v="0.14000000000000001"/>
    <n v="0.18179999999999999"/>
    <n v="0.69"/>
    <n v="8.9599999999999999E-2"/>
    <n v="0"/>
    <n v="4"/>
    <n v="4"/>
    <s v="Weekday"/>
  </r>
  <r>
    <n v="121"/>
    <d v="2011-01-06T00:00:00"/>
    <x v="0"/>
    <n v="0"/>
    <x v="0"/>
    <x v="6"/>
    <b v="0"/>
    <x v="5"/>
    <x v="1"/>
    <n v="0.14000000000000001"/>
    <n v="0.16669999999999999"/>
    <n v="0.63"/>
    <n v="0.1045"/>
    <n v="0"/>
    <n v="36"/>
    <n v="36"/>
    <s v="Weekday"/>
  </r>
  <r>
    <n v="122"/>
    <d v="2011-01-06T00:00:00"/>
    <x v="0"/>
    <n v="0"/>
    <x v="0"/>
    <x v="7"/>
    <b v="0"/>
    <x v="5"/>
    <x v="1"/>
    <n v="0.16"/>
    <n v="0.2273"/>
    <n v="0.59"/>
    <n v="0"/>
    <n v="0"/>
    <n v="95"/>
    <n v="95"/>
    <s v="Weekday"/>
  </r>
  <r>
    <n v="123"/>
    <d v="2011-01-06T00:00:00"/>
    <x v="0"/>
    <n v="0"/>
    <x v="0"/>
    <x v="8"/>
    <b v="0"/>
    <x v="5"/>
    <x v="0"/>
    <n v="0.16"/>
    <n v="0.2273"/>
    <n v="0.59"/>
    <n v="0"/>
    <n v="3"/>
    <n v="216"/>
    <n v="219"/>
    <s v="Weekday"/>
  </r>
  <r>
    <n v="124"/>
    <d v="2011-01-06T00:00:00"/>
    <x v="0"/>
    <n v="0"/>
    <x v="0"/>
    <x v="9"/>
    <b v="0"/>
    <x v="5"/>
    <x v="1"/>
    <n v="0.18"/>
    <n v="0.2424"/>
    <n v="0.51"/>
    <n v="0"/>
    <n v="6"/>
    <n v="116"/>
    <n v="122"/>
    <s v="Weekday"/>
  </r>
  <r>
    <n v="125"/>
    <d v="2011-01-06T00:00:00"/>
    <x v="0"/>
    <n v="0"/>
    <x v="0"/>
    <x v="10"/>
    <b v="0"/>
    <x v="5"/>
    <x v="0"/>
    <n v="0.2"/>
    <n v="0.2576"/>
    <n v="0.47"/>
    <n v="0"/>
    <n v="3"/>
    <n v="42"/>
    <n v="45"/>
    <s v="Weekday"/>
  </r>
  <r>
    <n v="126"/>
    <d v="2011-01-06T00:00:00"/>
    <x v="0"/>
    <n v="0"/>
    <x v="0"/>
    <x v="11"/>
    <b v="0"/>
    <x v="5"/>
    <x v="0"/>
    <n v="0.22"/>
    <n v="0.2576"/>
    <n v="0.44"/>
    <n v="8.9599999999999999E-2"/>
    <n v="2"/>
    <n v="57"/>
    <n v="59"/>
    <s v="Weekday"/>
  </r>
  <r>
    <n v="127"/>
    <d v="2011-01-06T00:00:00"/>
    <x v="0"/>
    <n v="0"/>
    <x v="0"/>
    <x v="12"/>
    <b v="0"/>
    <x v="5"/>
    <x v="0"/>
    <n v="0.26"/>
    <n v="0.28789999999999999"/>
    <n v="0.35"/>
    <n v="0"/>
    <n v="6"/>
    <n v="78"/>
    <n v="84"/>
    <s v="Weekday"/>
  </r>
  <r>
    <n v="128"/>
    <d v="2011-01-06T00:00:00"/>
    <x v="0"/>
    <n v="0"/>
    <x v="0"/>
    <x v="13"/>
    <b v="0"/>
    <x v="5"/>
    <x v="0"/>
    <n v="0.26"/>
    <n v="0.2727"/>
    <n v="0.35"/>
    <n v="0.1045"/>
    <n v="12"/>
    <n v="55"/>
    <n v="67"/>
    <s v="Weekday"/>
  </r>
  <r>
    <n v="129"/>
    <d v="2011-01-06T00:00:00"/>
    <x v="0"/>
    <n v="0"/>
    <x v="0"/>
    <x v="14"/>
    <b v="0"/>
    <x v="5"/>
    <x v="0"/>
    <n v="0.28000000000000003"/>
    <n v="0.2727"/>
    <n v="0.36"/>
    <n v="0.16420000000000001"/>
    <n v="11"/>
    <n v="59"/>
    <n v="70"/>
    <s v="Weekday"/>
  </r>
  <r>
    <n v="130"/>
    <d v="2011-01-06T00:00:00"/>
    <x v="0"/>
    <n v="0"/>
    <x v="0"/>
    <x v="15"/>
    <b v="0"/>
    <x v="5"/>
    <x v="0"/>
    <n v="0.28000000000000003"/>
    <n v="0.2727"/>
    <n v="0.36"/>
    <n v="0"/>
    <n v="8"/>
    <n v="54"/>
    <n v="62"/>
    <s v="Weekday"/>
  </r>
  <r>
    <n v="131"/>
    <d v="2011-01-06T00:00:00"/>
    <x v="0"/>
    <n v="0"/>
    <x v="0"/>
    <x v="16"/>
    <b v="0"/>
    <x v="5"/>
    <x v="0"/>
    <n v="0.26"/>
    <n v="0.2576"/>
    <n v="0.38"/>
    <n v="0.16420000000000001"/>
    <n v="12"/>
    <n v="74"/>
    <n v="86"/>
    <s v="Weekday"/>
  </r>
  <r>
    <n v="132"/>
    <d v="2011-01-06T00:00:00"/>
    <x v="0"/>
    <n v="0"/>
    <x v="0"/>
    <x v="17"/>
    <b v="0"/>
    <x v="5"/>
    <x v="0"/>
    <n v="0.22"/>
    <n v="0.2273"/>
    <n v="0.51"/>
    <n v="0.16420000000000001"/>
    <n v="9"/>
    <n v="163"/>
    <n v="172"/>
    <s v="Weekday"/>
  </r>
  <r>
    <n v="133"/>
    <d v="2011-01-06T00:00:00"/>
    <x v="0"/>
    <n v="0"/>
    <x v="0"/>
    <x v="18"/>
    <b v="0"/>
    <x v="5"/>
    <x v="0"/>
    <n v="0.22"/>
    <n v="0.2273"/>
    <n v="0.51"/>
    <n v="0.1343"/>
    <n v="5"/>
    <n v="158"/>
    <n v="163"/>
    <s v="Weekday"/>
  </r>
  <r>
    <n v="134"/>
    <d v="2011-01-06T00:00:00"/>
    <x v="0"/>
    <n v="0"/>
    <x v="0"/>
    <x v="19"/>
    <b v="0"/>
    <x v="5"/>
    <x v="0"/>
    <n v="0.22"/>
    <n v="0.2576"/>
    <n v="0.55000000000000004"/>
    <n v="8.9599999999999999E-2"/>
    <n v="3"/>
    <n v="109"/>
    <n v="112"/>
    <s v="Weekday"/>
  </r>
  <r>
    <n v="135"/>
    <d v="2011-01-06T00:00:00"/>
    <x v="0"/>
    <n v="0"/>
    <x v="0"/>
    <x v="20"/>
    <b v="0"/>
    <x v="5"/>
    <x v="0"/>
    <n v="0.2"/>
    <n v="0.21210000000000001"/>
    <n v="0.51"/>
    <n v="0.16420000000000001"/>
    <n v="3"/>
    <n v="66"/>
    <n v="69"/>
    <s v="Weekday"/>
  </r>
  <r>
    <n v="136"/>
    <d v="2011-01-06T00:00:00"/>
    <x v="0"/>
    <n v="0"/>
    <x v="0"/>
    <x v="21"/>
    <b v="0"/>
    <x v="5"/>
    <x v="1"/>
    <n v="0.22"/>
    <n v="0.21210000000000001"/>
    <n v="0.55000000000000004"/>
    <n v="0.22389999999999999"/>
    <n v="0"/>
    <n v="48"/>
    <n v="48"/>
    <s v="Weekday"/>
  </r>
  <r>
    <n v="137"/>
    <d v="2011-01-06T00:00:00"/>
    <x v="0"/>
    <n v="0"/>
    <x v="0"/>
    <x v="22"/>
    <b v="0"/>
    <x v="5"/>
    <x v="1"/>
    <n v="0.22"/>
    <n v="0.21210000000000001"/>
    <n v="0.51"/>
    <n v="0.28360000000000002"/>
    <n v="1"/>
    <n v="51"/>
    <n v="52"/>
    <s v="Weekday"/>
  </r>
  <r>
    <n v="138"/>
    <d v="2011-01-06T00:00:00"/>
    <x v="0"/>
    <n v="0"/>
    <x v="0"/>
    <x v="23"/>
    <b v="0"/>
    <x v="5"/>
    <x v="1"/>
    <n v="0.2"/>
    <n v="0.19700000000000001"/>
    <n v="0.59"/>
    <n v="0.19400000000000001"/>
    <n v="4"/>
    <n v="19"/>
    <n v="23"/>
    <s v="Weekday"/>
  </r>
  <r>
    <n v="139"/>
    <d v="2011-01-07T00:00:00"/>
    <x v="0"/>
    <n v="0"/>
    <x v="0"/>
    <x v="0"/>
    <b v="0"/>
    <x v="6"/>
    <x v="1"/>
    <n v="0.2"/>
    <n v="0.19700000000000001"/>
    <n v="0.64"/>
    <n v="0.19400000000000001"/>
    <n v="4"/>
    <n v="13"/>
    <n v="17"/>
    <s v="Weekday"/>
  </r>
  <r>
    <n v="140"/>
    <d v="2011-01-07T00:00:00"/>
    <x v="0"/>
    <n v="0"/>
    <x v="0"/>
    <x v="1"/>
    <b v="0"/>
    <x v="6"/>
    <x v="1"/>
    <n v="0.2"/>
    <n v="0.19700000000000001"/>
    <n v="0.69"/>
    <n v="0.22389999999999999"/>
    <n v="2"/>
    <n v="5"/>
    <n v="7"/>
    <s v="Weekday"/>
  </r>
  <r>
    <n v="141"/>
    <d v="2011-01-07T00:00:00"/>
    <x v="0"/>
    <n v="0"/>
    <x v="0"/>
    <x v="2"/>
    <b v="0"/>
    <x v="6"/>
    <x v="1"/>
    <n v="0.2"/>
    <n v="0.19700000000000001"/>
    <n v="0.69"/>
    <n v="0.22389999999999999"/>
    <n v="0"/>
    <n v="1"/>
    <n v="1"/>
    <s v="Weekday"/>
  </r>
  <r>
    <n v="142"/>
    <d v="2011-01-07T00:00:00"/>
    <x v="0"/>
    <n v="0"/>
    <x v="0"/>
    <x v="4"/>
    <b v="0"/>
    <x v="6"/>
    <x v="1"/>
    <n v="0.2"/>
    <n v="0.21210000000000001"/>
    <n v="0.69"/>
    <n v="0.1343"/>
    <n v="0"/>
    <n v="1"/>
    <n v="1"/>
    <s v="Weekday"/>
  </r>
  <r>
    <n v="143"/>
    <d v="2011-01-07T00:00:00"/>
    <x v="0"/>
    <n v="0"/>
    <x v="0"/>
    <x v="5"/>
    <b v="0"/>
    <x v="6"/>
    <x v="2"/>
    <n v="0.22"/>
    <n v="0.2727"/>
    <n v="0.55000000000000004"/>
    <n v="0"/>
    <n v="0"/>
    <n v="5"/>
    <n v="5"/>
    <s v="Weekday"/>
  </r>
  <r>
    <n v="144"/>
    <d v="2011-01-07T00:00:00"/>
    <x v="0"/>
    <n v="0"/>
    <x v="0"/>
    <x v="6"/>
    <b v="0"/>
    <x v="6"/>
    <x v="1"/>
    <n v="0.2"/>
    <n v="0.2576"/>
    <n v="0.69"/>
    <n v="0"/>
    <n v="8"/>
    <n v="26"/>
    <n v="34"/>
    <s v="Weekday"/>
  </r>
  <r>
    <n v="145"/>
    <d v="2011-01-07T00:00:00"/>
    <x v="0"/>
    <n v="0"/>
    <x v="0"/>
    <x v="7"/>
    <b v="0"/>
    <x v="6"/>
    <x v="0"/>
    <n v="0.2"/>
    <n v="0.21210000000000001"/>
    <n v="0.69"/>
    <n v="0.1343"/>
    <n v="8"/>
    <n v="76"/>
    <n v="84"/>
    <s v="Weekday"/>
  </r>
  <r>
    <n v="146"/>
    <d v="2011-01-07T00:00:00"/>
    <x v="0"/>
    <n v="0"/>
    <x v="0"/>
    <x v="8"/>
    <b v="0"/>
    <x v="6"/>
    <x v="0"/>
    <n v="0.2"/>
    <n v="0.19700000000000001"/>
    <n v="0.51"/>
    <n v="0.25369999999999998"/>
    <n v="20"/>
    <n v="190"/>
    <n v="210"/>
    <s v="Weekday"/>
  </r>
  <r>
    <n v="147"/>
    <d v="2011-01-07T00:00:00"/>
    <x v="0"/>
    <n v="0"/>
    <x v="0"/>
    <x v="9"/>
    <b v="0"/>
    <x v="6"/>
    <x v="0"/>
    <n v="0.2"/>
    <n v="0.18179999999999999"/>
    <n v="0.47"/>
    <n v="0.29849999999999999"/>
    <n v="9"/>
    <n v="125"/>
    <n v="134"/>
    <s v="Weekday"/>
  </r>
  <r>
    <n v="148"/>
    <d v="2011-01-07T00:00:00"/>
    <x v="0"/>
    <n v="0"/>
    <x v="0"/>
    <x v="10"/>
    <b v="0"/>
    <x v="6"/>
    <x v="0"/>
    <n v="0.22"/>
    <n v="0.19700000000000001"/>
    <n v="0.37"/>
    <n v="0.32840000000000003"/>
    <n v="16"/>
    <n v="47"/>
    <n v="63"/>
    <s v="Weekday"/>
  </r>
  <r>
    <n v="149"/>
    <d v="2011-01-07T00:00:00"/>
    <x v="0"/>
    <n v="0"/>
    <x v="0"/>
    <x v="11"/>
    <b v="0"/>
    <x v="6"/>
    <x v="1"/>
    <n v="0.2"/>
    <n v="0.19700000000000001"/>
    <n v="0.4"/>
    <n v="0.22389999999999999"/>
    <n v="19"/>
    <n v="48"/>
    <n v="67"/>
    <s v="Weekday"/>
  </r>
  <r>
    <n v="150"/>
    <d v="2011-01-07T00:00:00"/>
    <x v="0"/>
    <n v="0"/>
    <x v="0"/>
    <x v="12"/>
    <b v="0"/>
    <x v="6"/>
    <x v="1"/>
    <n v="0.2"/>
    <n v="0.19700000000000001"/>
    <n v="0.37"/>
    <n v="0.25369999999999998"/>
    <n v="9"/>
    <n v="50"/>
    <n v="59"/>
    <s v="Weekday"/>
  </r>
  <r>
    <n v="151"/>
    <d v="2011-01-07T00:00:00"/>
    <x v="0"/>
    <n v="0"/>
    <x v="0"/>
    <x v="13"/>
    <b v="0"/>
    <x v="6"/>
    <x v="1"/>
    <n v="0.2"/>
    <n v="0.18179999999999999"/>
    <n v="0.37"/>
    <n v="0.28360000000000002"/>
    <n v="9"/>
    <n v="64"/>
    <n v="73"/>
    <s v="Weekday"/>
  </r>
  <r>
    <n v="152"/>
    <d v="2011-01-07T00:00:00"/>
    <x v="0"/>
    <n v="0"/>
    <x v="0"/>
    <x v="14"/>
    <b v="0"/>
    <x v="6"/>
    <x v="1"/>
    <n v="0.2"/>
    <n v="0.19700000000000001"/>
    <n v="0.4"/>
    <n v="0.25369999999999998"/>
    <n v="7"/>
    <n v="43"/>
    <n v="50"/>
    <s v="Weekday"/>
  </r>
  <r>
    <n v="153"/>
    <d v="2011-01-07T00:00:00"/>
    <x v="0"/>
    <n v="0"/>
    <x v="0"/>
    <x v="15"/>
    <b v="0"/>
    <x v="6"/>
    <x v="1"/>
    <n v="0.2"/>
    <n v="0.21210000000000001"/>
    <n v="0.37"/>
    <n v="0.16420000000000001"/>
    <n v="9"/>
    <n v="63"/>
    <n v="72"/>
    <s v="Weekday"/>
  </r>
  <r>
    <n v="154"/>
    <d v="2011-01-07T00:00:00"/>
    <x v="0"/>
    <n v="0"/>
    <x v="0"/>
    <x v="16"/>
    <b v="0"/>
    <x v="6"/>
    <x v="1"/>
    <n v="0.2"/>
    <n v="0.21210000000000001"/>
    <n v="0.37"/>
    <n v="0.16420000000000001"/>
    <n v="5"/>
    <n v="82"/>
    <n v="87"/>
    <s v="Weekday"/>
  </r>
  <r>
    <n v="155"/>
    <d v="2011-01-07T00:00:00"/>
    <x v="0"/>
    <n v="0"/>
    <x v="0"/>
    <x v="17"/>
    <b v="0"/>
    <x v="6"/>
    <x v="1"/>
    <n v="0.2"/>
    <n v="0.2576"/>
    <n v="0.37"/>
    <n v="0"/>
    <n v="9"/>
    <n v="178"/>
    <n v="187"/>
    <s v="Weekday"/>
  </r>
  <r>
    <n v="156"/>
    <d v="2011-01-07T00:00:00"/>
    <x v="0"/>
    <n v="0"/>
    <x v="0"/>
    <x v="18"/>
    <b v="0"/>
    <x v="6"/>
    <x v="0"/>
    <n v="0.2"/>
    <n v="0.2273"/>
    <n v="0.4"/>
    <n v="8.9599999999999999E-2"/>
    <n v="7"/>
    <n v="116"/>
    <n v="123"/>
    <s v="Weekday"/>
  </r>
  <r>
    <n v="157"/>
    <d v="2011-01-07T00:00:00"/>
    <x v="0"/>
    <n v="0"/>
    <x v="0"/>
    <x v="19"/>
    <b v="0"/>
    <x v="6"/>
    <x v="0"/>
    <n v="0.16"/>
    <n v="0.19700000000000001"/>
    <n v="0.55000000000000004"/>
    <n v="8.9599999999999999E-2"/>
    <n v="3"/>
    <n v="92"/>
    <n v="95"/>
    <s v="Weekday"/>
  </r>
  <r>
    <n v="158"/>
    <d v="2011-01-07T00:00:00"/>
    <x v="0"/>
    <n v="0"/>
    <x v="0"/>
    <x v="20"/>
    <b v="0"/>
    <x v="6"/>
    <x v="0"/>
    <n v="0.18"/>
    <n v="0.21210000000000001"/>
    <n v="0.47"/>
    <n v="0.1045"/>
    <n v="1"/>
    <n v="50"/>
    <n v="51"/>
    <s v="Weekday"/>
  </r>
  <r>
    <n v="159"/>
    <d v="2011-01-07T00:00:00"/>
    <x v="0"/>
    <n v="0"/>
    <x v="0"/>
    <x v="21"/>
    <b v="0"/>
    <x v="6"/>
    <x v="0"/>
    <n v="0.18"/>
    <n v="0.19700000000000001"/>
    <n v="0.47"/>
    <n v="0.1343"/>
    <n v="0"/>
    <n v="39"/>
    <n v="39"/>
    <s v="Weekday"/>
  </r>
  <r>
    <n v="160"/>
    <d v="2011-01-07T00:00:00"/>
    <x v="0"/>
    <n v="0"/>
    <x v="0"/>
    <x v="22"/>
    <b v="0"/>
    <x v="6"/>
    <x v="1"/>
    <n v="0.18"/>
    <n v="0.19700000000000001"/>
    <n v="0.43"/>
    <n v="0.16420000000000001"/>
    <n v="2"/>
    <n v="34"/>
    <n v="36"/>
    <s v="Weekday"/>
  </r>
  <r>
    <n v="161"/>
    <d v="2011-01-07T00:00:00"/>
    <x v="0"/>
    <n v="0"/>
    <x v="0"/>
    <x v="23"/>
    <b v="0"/>
    <x v="6"/>
    <x v="1"/>
    <n v="0.18"/>
    <n v="0.19700000000000001"/>
    <n v="0.51"/>
    <n v="0.16420000000000001"/>
    <n v="1"/>
    <n v="14"/>
    <n v="15"/>
    <s v="Weekday"/>
  </r>
  <r>
    <n v="162"/>
    <d v="2011-01-08T00:00:00"/>
    <x v="0"/>
    <n v="0"/>
    <x v="0"/>
    <x v="0"/>
    <b v="0"/>
    <x v="0"/>
    <x v="1"/>
    <n v="0.18"/>
    <n v="0.19700000000000001"/>
    <n v="0.51"/>
    <n v="0.16420000000000001"/>
    <n v="1"/>
    <n v="24"/>
    <n v="25"/>
    <s v="Weekend"/>
  </r>
  <r>
    <n v="163"/>
    <d v="2011-01-08T00:00:00"/>
    <x v="0"/>
    <n v="0"/>
    <x v="0"/>
    <x v="1"/>
    <b v="0"/>
    <x v="0"/>
    <x v="1"/>
    <n v="0.18"/>
    <n v="0.21210000000000001"/>
    <n v="0.55000000000000004"/>
    <n v="8.9599999999999999E-2"/>
    <n v="1"/>
    <n v="15"/>
    <n v="16"/>
    <s v="Weekend"/>
  </r>
  <r>
    <n v="164"/>
    <d v="2011-01-08T00:00:00"/>
    <x v="0"/>
    <n v="0"/>
    <x v="0"/>
    <x v="2"/>
    <b v="0"/>
    <x v="0"/>
    <x v="1"/>
    <n v="0.18"/>
    <n v="0.2424"/>
    <n v="0.55000000000000004"/>
    <n v="0"/>
    <n v="3"/>
    <n v="13"/>
    <n v="16"/>
    <s v="Weekend"/>
  </r>
  <r>
    <n v="165"/>
    <d v="2011-01-08T00:00:00"/>
    <x v="0"/>
    <n v="0"/>
    <x v="0"/>
    <x v="3"/>
    <b v="0"/>
    <x v="0"/>
    <x v="2"/>
    <n v="0.18"/>
    <n v="0.19700000000000001"/>
    <n v="0.55000000000000004"/>
    <n v="0.16420000000000001"/>
    <n v="0"/>
    <n v="7"/>
    <n v="7"/>
    <s v="Weekend"/>
  </r>
  <r>
    <n v="166"/>
    <d v="2011-01-08T00:00:00"/>
    <x v="0"/>
    <n v="0"/>
    <x v="0"/>
    <x v="4"/>
    <b v="0"/>
    <x v="0"/>
    <x v="2"/>
    <n v="0.18"/>
    <n v="0.19700000000000001"/>
    <n v="0.55000000000000004"/>
    <n v="0.16420000000000001"/>
    <n v="0"/>
    <n v="1"/>
    <n v="1"/>
    <s v="Weekend"/>
  </r>
  <r>
    <n v="167"/>
    <d v="2011-01-08T00:00:00"/>
    <x v="0"/>
    <n v="0"/>
    <x v="0"/>
    <x v="5"/>
    <b v="0"/>
    <x v="0"/>
    <x v="1"/>
    <n v="0.16"/>
    <n v="0.16669999999999999"/>
    <n v="0.74"/>
    <n v="0.16420000000000001"/>
    <n v="0"/>
    <n v="5"/>
    <n v="5"/>
    <s v="Weekend"/>
  </r>
  <r>
    <n v="168"/>
    <d v="2011-01-08T00:00:00"/>
    <x v="0"/>
    <n v="0"/>
    <x v="0"/>
    <x v="6"/>
    <b v="0"/>
    <x v="0"/>
    <x v="1"/>
    <n v="0.16"/>
    <n v="0.16669999999999999"/>
    <n v="0.74"/>
    <n v="0.16420000000000001"/>
    <n v="0"/>
    <n v="2"/>
    <n v="2"/>
    <s v="Weekend"/>
  </r>
  <r>
    <n v="169"/>
    <d v="2011-01-08T00:00:00"/>
    <x v="0"/>
    <n v="0"/>
    <x v="0"/>
    <x v="7"/>
    <b v="0"/>
    <x v="0"/>
    <x v="1"/>
    <n v="0.16"/>
    <n v="0.18179999999999999"/>
    <n v="0.74"/>
    <n v="0.1045"/>
    <n v="1"/>
    <n v="8"/>
    <n v="9"/>
    <s v="Weekend"/>
  </r>
  <r>
    <n v="170"/>
    <d v="2011-01-08T00:00:00"/>
    <x v="0"/>
    <n v="0"/>
    <x v="0"/>
    <x v="8"/>
    <b v="0"/>
    <x v="0"/>
    <x v="2"/>
    <n v="0.16"/>
    <n v="0.18179999999999999"/>
    <n v="0.93"/>
    <n v="0.1045"/>
    <n v="0"/>
    <n v="15"/>
    <n v="15"/>
    <s v="Weekend"/>
  </r>
  <r>
    <n v="171"/>
    <d v="2011-01-08T00:00:00"/>
    <x v="0"/>
    <n v="0"/>
    <x v="0"/>
    <x v="9"/>
    <b v="0"/>
    <x v="0"/>
    <x v="2"/>
    <n v="0.16"/>
    <n v="0.18179999999999999"/>
    <n v="0.93"/>
    <n v="0.1045"/>
    <n v="0"/>
    <n v="20"/>
    <n v="20"/>
    <s v="Weekend"/>
  </r>
  <r>
    <n v="172"/>
    <d v="2011-01-08T00:00:00"/>
    <x v="0"/>
    <n v="0"/>
    <x v="0"/>
    <x v="10"/>
    <b v="0"/>
    <x v="0"/>
    <x v="1"/>
    <n v="0.18"/>
    <n v="0.19700000000000001"/>
    <n v="0.8"/>
    <n v="0.16420000000000001"/>
    <n v="5"/>
    <n v="56"/>
    <n v="61"/>
    <s v="Weekend"/>
  </r>
  <r>
    <n v="173"/>
    <d v="2011-01-08T00:00:00"/>
    <x v="0"/>
    <n v="0"/>
    <x v="0"/>
    <x v="11"/>
    <b v="0"/>
    <x v="0"/>
    <x v="1"/>
    <n v="0.2"/>
    <n v="0.18179999999999999"/>
    <n v="0.69"/>
    <n v="0.3881"/>
    <n v="2"/>
    <n v="60"/>
    <n v="62"/>
    <s v="Weekend"/>
  </r>
  <r>
    <n v="174"/>
    <d v="2011-01-08T00:00:00"/>
    <x v="0"/>
    <n v="0"/>
    <x v="0"/>
    <x v="12"/>
    <b v="0"/>
    <x v="0"/>
    <x v="1"/>
    <n v="0.2"/>
    <n v="0.18179999999999999"/>
    <n v="0.59"/>
    <n v="0.35820000000000002"/>
    <n v="8"/>
    <n v="90"/>
    <n v="98"/>
    <s v="Weekend"/>
  </r>
  <r>
    <n v="175"/>
    <d v="2011-01-08T00:00:00"/>
    <x v="0"/>
    <n v="0"/>
    <x v="0"/>
    <x v="13"/>
    <b v="0"/>
    <x v="0"/>
    <x v="0"/>
    <n v="0.2"/>
    <n v="0.18179999999999999"/>
    <n v="0.44"/>
    <n v="0.32840000000000003"/>
    <n v="7"/>
    <n v="95"/>
    <n v="102"/>
    <s v="Weekend"/>
  </r>
  <r>
    <n v="176"/>
    <d v="2011-01-08T00:00:00"/>
    <x v="0"/>
    <n v="0"/>
    <x v="0"/>
    <x v="14"/>
    <b v="0"/>
    <x v="0"/>
    <x v="0"/>
    <n v="0.2"/>
    <n v="0.16669999999999999"/>
    <n v="0.32"/>
    <n v="0.49249999999999999"/>
    <n v="12"/>
    <n v="83"/>
    <n v="95"/>
    <s v="Weekend"/>
  </r>
  <r>
    <n v="177"/>
    <d v="2011-01-08T00:00:00"/>
    <x v="0"/>
    <n v="0"/>
    <x v="0"/>
    <x v="15"/>
    <b v="0"/>
    <x v="0"/>
    <x v="0"/>
    <n v="0.2"/>
    <n v="0.16669999999999999"/>
    <n v="0.32"/>
    <n v="0.44779999999999998"/>
    <n v="5"/>
    <n v="69"/>
    <n v="74"/>
    <s v="Weekend"/>
  </r>
  <r>
    <n v="178"/>
    <d v="2011-01-08T00:00:00"/>
    <x v="0"/>
    <n v="0"/>
    <x v="0"/>
    <x v="16"/>
    <b v="0"/>
    <x v="0"/>
    <x v="0"/>
    <n v="0.18"/>
    <n v="0.13639999999999999"/>
    <n v="0.28999999999999998"/>
    <n v="0.44779999999999998"/>
    <n v="8"/>
    <n v="68"/>
    <n v="76"/>
    <s v="Weekend"/>
  </r>
  <r>
    <n v="179"/>
    <d v="2011-01-08T00:00:00"/>
    <x v="0"/>
    <n v="0"/>
    <x v="0"/>
    <x v="17"/>
    <b v="0"/>
    <x v="0"/>
    <x v="0"/>
    <n v="0.16"/>
    <n v="0.1212"/>
    <n v="0.37"/>
    <n v="0.55220000000000002"/>
    <n v="5"/>
    <n v="64"/>
    <n v="69"/>
    <s v="Weekend"/>
  </r>
  <r>
    <n v="180"/>
    <d v="2011-01-08T00:00:00"/>
    <x v="0"/>
    <n v="0"/>
    <x v="0"/>
    <x v="18"/>
    <b v="0"/>
    <x v="0"/>
    <x v="0"/>
    <n v="0.14000000000000001"/>
    <n v="0.1212"/>
    <n v="0.39"/>
    <n v="0.29849999999999999"/>
    <n v="3"/>
    <n v="52"/>
    <n v="55"/>
    <s v="Weekend"/>
  </r>
  <r>
    <n v="181"/>
    <d v="2011-01-08T00:00:00"/>
    <x v="0"/>
    <n v="0"/>
    <x v="0"/>
    <x v="19"/>
    <b v="0"/>
    <x v="0"/>
    <x v="0"/>
    <n v="0.14000000000000001"/>
    <n v="0.1212"/>
    <n v="0.36"/>
    <n v="0.25369999999999998"/>
    <n v="4"/>
    <n v="26"/>
    <n v="30"/>
    <s v="Weekend"/>
  </r>
  <r>
    <n v="182"/>
    <d v="2011-01-08T00:00:00"/>
    <x v="0"/>
    <n v="0"/>
    <x v="0"/>
    <x v="20"/>
    <b v="0"/>
    <x v="0"/>
    <x v="0"/>
    <n v="0.12"/>
    <n v="0.1212"/>
    <n v="0.36"/>
    <n v="0.25369999999999998"/>
    <n v="0"/>
    <n v="28"/>
    <n v="28"/>
    <s v="Weekend"/>
  </r>
  <r>
    <n v="183"/>
    <d v="2011-01-08T00:00:00"/>
    <x v="0"/>
    <n v="0"/>
    <x v="0"/>
    <x v="21"/>
    <b v="0"/>
    <x v="0"/>
    <x v="0"/>
    <n v="0.12"/>
    <n v="0.1061"/>
    <n v="0.39"/>
    <n v="0.35820000000000002"/>
    <n v="2"/>
    <n v="35"/>
    <n v="37"/>
    <s v="Weekend"/>
  </r>
  <r>
    <n v="184"/>
    <d v="2011-01-08T00:00:00"/>
    <x v="0"/>
    <n v="0"/>
    <x v="0"/>
    <x v="22"/>
    <b v="0"/>
    <x v="0"/>
    <x v="0"/>
    <n v="0.12"/>
    <n v="0.1061"/>
    <n v="0.36"/>
    <n v="0.3881"/>
    <n v="1"/>
    <n v="33"/>
    <n v="34"/>
    <s v="Weekend"/>
  </r>
  <r>
    <n v="185"/>
    <d v="2011-01-08T00:00:00"/>
    <x v="0"/>
    <n v="0"/>
    <x v="0"/>
    <x v="23"/>
    <b v="0"/>
    <x v="0"/>
    <x v="0"/>
    <n v="0.1"/>
    <n v="6.0600000000000001E-2"/>
    <n v="0.39"/>
    <n v="0.44779999999999998"/>
    <n v="0"/>
    <n v="22"/>
    <n v="22"/>
    <s v="Weekend"/>
  </r>
  <r>
    <n v="186"/>
    <d v="2011-01-09T00:00:00"/>
    <x v="0"/>
    <n v="0"/>
    <x v="0"/>
    <x v="0"/>
    <b v="0"/>
    <x v="1"/>
    <x v="0"/>
    <n v="0.1"/>
    <n v="7.5800000000000006E-2"/>
    <n v="0.42"/>
    <n v="0.3881"/>
    <n v="1"/>
    <n v="24"/>
    <n v="25"/>
    <s v="Weekday"/>
  </r>
  <r>
    <n v="187"/>
    <d v="2011-01-09T00:00:00"/>
    <x v="0"/>
    <n v="0"/>
    <x v="0"/>
    <x v="1"/>
    <b v="0"/>
    <x v="1"/>
    <x v="0"/>
    <n v="0.1"/>
    <n v="6.0600000000000001E-2"/>
    <n v="0.42"/>
    <n v="0.4627"/>
    <n v="0"/>
    <n v="12"/>
    <n v="12"/>
    <s v="Weekday"/>
  </r>
  <r>
    <n v="188"/>
    <d v="2011-01-09T00:00:00"/>
    <x v="0"/>
    <n v="0"/>
    <x v="0"/>
    <x v="2"/>
    <b v="0"/>
    <x v="1"/>
    <x v="0"/>
    <n v="0.1"/>
    <n v="6.0600000000000001E-2"/>
    <n v="0.46"/>
    <n v="0.4627"/>
    <n v="0"/>
    <n v="11"/>
    <n v="11"/>
    <s v="Weekday"/>
  </r>
  <r>
    <n v="189"/>
    <d v="2011-01-09T00:00:00"/>
    <x v="0"/>
    <n v="0"/>
    <x v="0"/>
    <x v="3"/>
    <b v="0"/>
    <x v="1"/>
    <x v="0"/>
    <n v="0.1"/>
    <n v="7.5800000000000006E-2"/>
    <n v="0.46"/>
    <n v="0.41789999999999999"/>
    <n v="0"/>
    <n v="4"/>
    <n v="4"/>
    <s v="Weekday"/>
  </r>
  <r>
    <n v="190"/>
    <d v="2011-01-09T00:00:00"/>
    <x v="0"/>
    <n v="0"/>
    <x v="0"/>
    <x v="4"/>
    <b v="0"/>
    <x v="1"/>
    <x v="0"/>
    <n v="0.08"/>
    <n v="9.0899999999999995E-2"/>
    <n v="0.53"/>
    <n v="0.19400000000000001"/>
    <n v="0"/>
    <n v="1"/>
    <n v="1"/>
    <s v="Weekday"/>
  </r>
  <r>
    <n v="191"/>
    <d v="2011-01-09T00:00:00"/>
    <x v="0"/>
    <n v="0"/>
    <x v="0"/>
    <x v="5"/>
    <b v="0"/>
    <x v="1"/>
    <x v="0"/>
    <n v="0.08"/>
    <n v="9.0899999999999995E-2"/>
    <n v="0.53"/>
    <n v="0.19400000000000001"/>
    <n v="0"/>
    <n v="1"/>
    <n v="1"/>
    <s v="Weekday"/>
  </r>
  <r>
    <n v="192"/>
    <d v="2011-01-09T00:00:00"/>
    <x v="0"/>
    <n v="0"/>
    <x v="0"/>
    <x v="6"/>
    <b v="0"/>
    <x v="1"/>
    <x v="0"/>
    <n v="0.1"/>
    <n v="9.0899999999999995E-2"/>
    <n v="0.49"/>
    <n v="0.28360000000000002"/>
    <n v="0"/>
    <n v="1"/>
    <n v="1"/>
    <s v="Weekday"/>
  </r>
  <r>
    <n v="193"/>
    <d v="2011-01-09T00:00:00"/>
    <x v="0"/>
    <n v="0"/>
    <x v="0"/>
    <x v="7"/>
    <b v="0"/>
    <x v="1"/>
    <x v="0"/>
    <n v="0.08"/>
    <n v="9.0899999999999995E-2"/>
    <n v="0.53"/>
    <n v="0.19400000000000001"/>
    <n v="1"/>
    <n v="5"/>
    <n v="6"/>
    <s v="Weekday"/>
  </r>
  <r>
    <n v="194"/>
    <d v="2011-01-09T00:00:00"/>
    <x v="0"/>
    <n v="0"/>
    <x v="0"/>
    <x v="8"/>
    <b v="0"/>
    <x v="1"/>
    <x v="0"/>
    <n v="0.1"/>
    <n v="9.0899999999999995E-2"/>
    <n v="0.49"/>
    <n v="0.28360000000000002"/>
    <n v="0"/>
    <n v="10"/>
    <n v="10"/>
    <s v="Weekday"/>
  </r>
  <r>
    <n v="195"/>
    <d v="2011-01-09T00:00:00"/>
    <x v="0"/>
    <n v="0"/>
    <x v="0"/>
    <x v="9"/>
    <b v="0"/>
    <x v="1"/>
    <x v="0"/>
    <n v="0.12"/>
    <n v="7.5800000000000006E-2"/>
    <n v="0.46"/>
    <n v="0.52239999999999998"/>
    <n v="0"/>
    <n v="19"/>
    <n v="19"/>
    <s v="Weekday"/>
  </r>
  <r>
    <n v="196"/>
    <d v="2011-01-09T00:00:00"/>
    <x v="0"/>
    <n v="0"/>
    <x v="0"/>
    <x v="10"/>
    <b v="0"/>
    <x v="1"/>
    <x v="0"/>
    <n v="0.14000000000000001"/>
    <n v="0.1061"/>
    <n v="0.43"/>
    <n v="0.3881"/>
    <n v="0"/>
    <n v="49"/>
    <n v="49"/>
    <s v="Weekday"/>
  </r>
  <r>
    <n v="197"/>
    <d v="2011-01-09T00:00:00"/>
    <x v="0"/>
    <n v="0"/>
    <x v="0"/>
    <x v="11"/>
    <b v="0"/>
    <x v="1"/>
    <x v="0"/>
    <n v="0.16"/>
    <n v="0.1212"/>
    <n v="0.4"/>
    <n v="0.52239999999999998"/>
    <n v="2"/>
    <n v="47"/>
    <n v="49"/>
    <s v="Weekday"/>
  </r>
  <r>
    <n v="198"/>
    <d v="2011-01-09T00:00:00"/>
    <x v="0"/>
    <n v="0"/>
    <x v="0"/>
    <x v="12"/>
    <b v="0"/>
    <x v="1"/>
    <x v="0"/>
    <n v="0.18"/>
    <n v="0.13639999999999999"/>
    <n v="0.37"/>
    <n v="0.44779999999999998"/>
    <n v="4"/>
    <n v="79"/>
    <n v="83"/>
    <s v="Weekday"/>
  </r>
  <r>
    <n v="199"/>
    <d v="2011-01-09T00:00:00"/>
    <x v="0"/>
    <n v="0"/>
    <x v="0"/>
    <x v="13"/>
    <b v="0"/>
    <x v="1"/>
    <x v="0"/>
    <n v="0.2"/>
    <n v="0.16669999999999999"/>
    <n v="0.34"/>
    <n v="0.44779999999999998"/>
    <n v="6"/>
    <n v="69"/>
    <n v="75"/>
    <s v="Weekday"/>
  </r>
  <r>
    <n v="200"/>
    <d v="2011-01-09T00:00:00"/>
    <x v="0"/>
    <n v="0"/>
    <x v="0"/>
    <x v="14"/>
    <b v="0"/>
    <x v="1"/>
    <x v="0"/>
    <n v="0.22"/>
    <n v="0.18179999999999999"/>
    <n v="0.32"/>
    <n v="0.4627"/>
    <n v="8"/>
    <n v="64"/>
    <n v="72"/>
    <s v="Weekday"/>
  </r>
  <r>
    <n v="201"/>
    <d v="2011-01-09T00:00:00"/>
    <x v="0"/>
    <n v="0"/>
    <x v="0"/>
    <x v="15"/>
    <b v="0"/>
    <x v="1"/>
    <x v="0"/>
    <n v="0.22"/>
    <n v="0.19700000000000001"/>
    <n v="0.35"/>
    <n v="0.35820000000000002"/>
    <n v="5"/>
    <n v="77"/>
    <n v="82"/>
    <s v="Weekday"/>
  </r>
  <r>
    <n v="202"/>
    <d v="2011-01-09T00:00:00"/>
    <x v="0"/>
    <n v="0"/>
    <x v="0"/>
    <x v="16"/>
    <b v="0"/>
    <x v="1"/>
    <x v="0"/>
    <n v="0.2"/>
    <n v="0.16669999999999999"/>
    <n v="0.34"/>
    <n v="0.44779999999999998"/>
    <n v="13"/>
    <n v="79"/>
    <n v="92"/>
    <s v="Weekday"/>
  </r>
  <r>
    <n v="203"/>
    <d v="2011-01-09T00:00:00"/>
    <x v="0"/>
    <n v="0"/>
    <x v="0"/>
    <x v="17"/>
    <b v="0"/>
    <x v="1"/>
    <x v="0"/>
    <n v="0.18"/>
    <n v="0.1515"/>
    <n v="0.37"/>
    <n v="0.3881"/>
    <n v="3"/>
    <n v="59"/>
    <n v="62"/>
    <s v="Weekday"/>
  </r>
  <r>
    <n v="204"/>
    <d v="2011-01-09T00:00:00"/>
    <x v="0"/>
    <n v="0"/>
    <x v="0"/>
    <x v="18"/>
    <b v="0"/>
    <x v="1"/>
    <x v="0"/>
    <n v="0.16"/>
    <n v="0.13639999999999999"/>
    <n v="0.4"/>
    <n v="0.32840000000000003"/>
    <n v="4"/>
    <n v="44"/>
    <n v="48"/>
    <s v="Weekday"/>
  </r>
  <r>
    <n v="205"/>
    <d v="2011-01-09T00:00:00"/>
    <x v="0"/>
    <n v="0"/>
    <x v="0"/>
    <x v="19"/>
    <b v="0"/>
    <x v="1"/>
    <x v="0"/>
    <n v="0.16"/>
    <n v="0.13639999999999999"/>
    <n v="0.43"/>
    <n v="0.32840000000000003"/>
    <n v="1"/>
    <n v="40"/>
    <n v="41"/>
    <s v="Weekday"/>
  </r>
  <r>
    <n v="206"/>
    <d v="2011-01-09T00:00:00"/>
    <x v="0"/>
    <n v="0"/>
    <x v="0"/>
    <x v="20"/>
    <b v="0"/>
    <x v="1"/>
    <x v="0"/>
    <n v="0.14000000000000001"/>
    <n v="0.1212"/>
    <n v="0.46"/>
    <n v="0.25369999999999998"/>
    <n v="0"/>
    <n v="38"/>
    <n v="38"/>
    <s v="Weekday"/>
  </r>
  <r>
    <n v="207"/>
    <d v="2011-01-09T00:00:00"/>
    <x v="0"/>
    <n v="0"/>
    <x v="0"/>
    <x v="21"/>
    <b v="0"/>
    <x v="1"/>
    <x v="0"/>
    <n v="0.14000000000000001"/>
    <n v="0.1061"/>
    <n v="0.46"/>
    <n v="0.41789999999999999"/>
    <n v="1"/>
    <n v="19"/>
    <n v="20"/>
    <s v="Weekday"/>
  </r>
  <r>
    <n v="208"/>
    <d v="2011-01-09T00:00:00"/>
    <x v="0"/>
    <n v="0"/>
    <x v="0"/>
    <x v="22"/>
    <b v="0"/>
    <x v="1"/>
    <x v="0"/>
    <n v="0.14000000000000001"/>
    <n v="0.1212"/>
    <n v="0.46"/>
    <n v="0.29849999999999999"/>
    <n v="5"/>
    <n v="10"/>
    <n v="15"/>
    <s v="Weekday"/>
  </r>
  <r>
    <n v="209"/>
    <d v="2011-01-09T00:00:00"/>
    <x v="0"/>
    <n v="0"/>
    <x v="0"/>
    <x v="23"/>
    <b v="0"/>
    <x v="1"/>
    <x v="0"/>
    <n v="0.12"/>
    <n v="0.13639999999999999"/>
    <n v="0.5"/>
    <n v="0.19400000000000001"/>
    <n v="0"/>
    <n v="6"/>
    <n v="6"/>
    <s v="Weekday"/>
  </r>
  <r>
    <n v="210"/>
    <d v="2011-01-10T00:00:00"/>
    <x v="0"/>
    <n v="0"/>
    <x v="0"/>
    <x v="0"/>
    <b v="0"/>
    <x v="2"/>
    <x v="0"/>
    <n v="0.12"/>
    <n v="0.1212"/>
    <n v="0.5"/>
    <n v="0.28360000000000002"/>
    <n v="2"/>
    <n v="3"/>
    <n v="5"/>
    <s v="Weekday"/>
  </r>
  <r>
    <n v="211"/>
    <d v="2011-01-10T00:00:00"/>
    <x v="0"/>
    <n v="0"/>
    <x v="0"/>
    <x v="1"/>
    <b v="0"/>
    <x v="2"/>
    <x v="0"/>
    <n v="0.12"/>
    <n v="0.1212"/>
    <n v="0.5"/>
    <n v="0.28360000000000002"/>
    <n v="1"/>
    <n v="0"/>
    <n v="1"/>
    <s v="Weekday"/>
  </r>
  <r>
    <n v="212"/>
    <d v="2011-01-10T00:00:00"/>
    <x v="0"/>
    <n v="0"/>
    <x v="0"/>
    <x v="2"/>
    <b v="0"/>
    <x v="2"/>
    <x v="0"/>
    <n v="0.12"/>
    <n v="0.1212"/>
    <n v="0.5"/>
    <n v="0.22389999999999999"/>
    <n v="0"/>
    <n v="3"/>
    <n v="3"/>
    <s v="Weekday"/>
  </r>
  <r>
    <n v="213"/>
    <d v="2011-01-10T00:00:00"/>
    <x v="0"/>
    <n v="0"/>
    <x v="0"/>
    <x v="3"/>
    <b v="0"/>
    <x v="2"/>
    <x v="0"/>
    <n v="0.12"/>
    <n v="0.1212"/>
    <n v="0.5"/>
    <n v="0.22389999999999999"/>
    <n v="0"/>
    <n v="1"/>
    <n v="1"/>
    <s v="Weekday"/>
  </r>
  <r>
    <n v="214"/>
    <d v="2011-01-10T00:00:00"/>
    <x v="0"/>
    <n v="0"/>
    <x v="0"/>
    <x v="4"/>
    <b v="0"/>
    <x v="2"/>
    <x v="0"/>
    <n v="0.1"/>
    <n v="0.1212"/>
    <n v="0.54"/>
    <n v="0.1343"/>
    <n v="1"/>
    <n v="2"/>
    <n v="3"/>
    <s v="Weekday"/>
  </r>
  <r>
    <n v="215"/>
    <d v="2011-01-10T00:00:00"/>
    <x v="0"/>
    <n v="0"/>
    <x v="0"/>
    <x v="5"/>
    <b v="0"/>
    <x v="2"/>
    <x v="0"/>
    <n v="0.1"/>
    <n v="0.1061"/>
    <n v="0.54"/>
    <n v="0.25369999999999998"/>
    <n v="0"/>
    <n v="3"/>
    <n v="3"/>
    <s v="Weekday"/>
  </r>
  <r>
    <n v="216"/>
    <d v="2011-01-10T00:00:00"/>
    <x v="0"/>
    <n v="0"/>
    <x v="0"/>
    <x v="6"/>
    <b v="0"/>
    <x v="2"/>
    <x v="0"/>
    <n v="0.12"/>
    <n v="0.1212"/>
    <n v="0.5"/>
    <n v="0.28360000000000002"/>
    <n v="0"/>
    <n v="31"/>
    <n v="31"/>
    <s v="Weekday"/>
  </r>
  <r>
    <n v="217"/>
    <d v="2011-01-10T00:00:00"/>
    <x v="0"/>
    <n v="0"/>
    <x v="0"/>
    <x v="7"/>
    <b v="0"/>
    <x v="2"/>
    <x v="0"/>
    <n v="0.12"/>
    <n v="0.1212"/>
    <n v="0.5"/>
    <n v="0.22389999999999999"/>
    <n v="2"/>
    <n v="75"/>
    <n v="77"/>
    <s v="Weekday"/>
  </r>
  <r>
    <n v="218"/>
    <d v="2011-01-10T00:00:00"/>
    <x v="0"/>
    <n v="0"/>
    <x v="0"/>
    <x v="8"/>
    <b v="0"/>
    <x v="2"/>
    <x v="1"/>
    <n v="0.12"/>
    <n v="0.1212"/>
    <n v="0.5"/>
    <n v="0.28360000000000002"/>
    <n v="4"/>
    <n v="184"/>
    <n v="188"/>
    <s v="Weekday"/>
  </r>
  <r>
    <n v="219"/>
    <d v="2011-01-10T00:00:00"/>
    <x v="0"/>
    <n v="0"/>
    <x v="0"/>
    <x v="9"/>
    <b v="0"/>
    <x v="2"/>
    <x v="1"/>
    <n v="0.14000000000000001"/>
    <n v="0.1212"/>
    <n v="0.5"/>
    <n v="0.25369999999999998"/>
    <n v="2"/>
    <n v="92"/>
    <n v="94"/>
    <s v="Weekday"/>
  </r>
  <r>
    <n v="220"/>
    <d v="2011-01-10T00:00:00"/>
    <x v="0"/>
    <n v="0"/>
    <x v="0"/>
    <x v="10"/>
    <b v="0"/>
    <x v="2"/>
    <x v="1"/>
    <n v="0.14000000000000001"/>
    <n v="0.1212"/>
    <n v="0.5"/>
    <n v="0.29849999999999999"/>
    <n v="0"/>
    <n v="31"/>
    <n v="31"/>
    <s v="Weekday"/>
  </r>
  <r>
    <n v="221"/>
    <d v="2011-01-10T00:00:00"/>
    <x v="0"/>
    <n v="0"/>
    <x v="0"/>
    <x v="11"/>
    <b v="0"/>
    <x v="2"/>
    <x v="1"/>
    <n v="0.16"/>
    <n v="0.13639999999999999"/>
    <n v="0.47"/>
    <n v="0.28360000000000002"/>
    <n v="2"/>
    <n v="28"/>
    <n v="30"/>
    <s v="Weekday"/>
  </r>
  <r>
    <n v="222"/>
    <d v="2011-01-10T00:00:00"/>
    <x v="0"/>
    <n v="0"/>
    <x v="0"/>
    <x v="12"/>
    <b v="0"/>
    <x v="2"/>
    <x v="1"/>
    <n v="0.2"/>
    <n v="0.18179999999999999"/>
    <n v="0.4"/>
    <n v="0.28360000000000002"/>
    <n v="5"/>
    <n v="47"/>
    <n v="52"/>
    <s v="Weekday"/>
  </r>
  <r>
    <n v="223"/>
    <d v="2011-01-10T00:00:00"/>
    <x v="0"/>
    <n v="0"/>
    <x v="0"/>
    <x v="13"/>
    <b v="0"/>
    <x v="2"/>
    <x v="1"/>
    <n v="0.2"/>
    <n v="0.18179999999999999"/>
    <n v="0.4"/>
    <n v="0.28360000000000002"/>
    <n v="4"/>
    <n v="50"/>
    <n v="54"/>
    <s v="Weekday"/>
  </r>
  <r>
    <n v="224"/>
    <d v="2011-01-10T00:00:00"/>
    <x v="0"/>
    <n v="0"/>
    <x v="0"/>
    <x v="14"/>
    <b v="0"/>
    <x v="2"/>
    <x v="1"/>
    <n v="0.2"/>
    <n v="0.19700000000000001"/>
    <n v="0.4"/>
    <n v="0.22389999999999999"/>
    <n v="0"/>
    <n v="47"/>
    <n v="47"/>
    <s v="Weekday"/>
  </r>
  <r>
    <n v="225"/>
    <d v="2011-01-10T00:00:00"/>
    <x v="0"/>
    <n v="0"/>
    <x v="0"/>
    <x v="15"/>
    <b v="0"/>
    <x v="2"/>
    <x v="1"/>
    <n v="0.2"/>
    <n v="0.19700000000000001"/>
    <n v="0.4"/>
    <n v="0.22389999999999999"/>
    <n v="2"/>
    <n v="43"/>
    <n v="45"/>
    <s v="Weekday"/>
  </r>
  <r>
    <n v="226"/>
    <d v="2011-01-10T00:00:00"/>
    <x v="0"/>
    <n v="0"/>
    <x v="0"/>
    <x v="16"/>
    <b v="0"/>
    <x v="2"/>
    <x v="0"/>
    <n v="0.2"/>
    <n v="0.21210000000000001"/>
    <n v="0.4"/>
    <n v="0.1343"/>
    <n v="4"/>
    <n v="70"/>
    <n v="74"/>
    <s v="Weekday"/>
  </r>
  <r>
    <n v="227"/>
    <d v="2011-01-10T00:00:00"/>
    <x v="0"/>
    <n v="0"/>
    <x v="0"/>
    <x v="17"/>
    <b v="0"/>
    <x v="2"/>
    <x v="0"/>
    <n v="0.2"/>
    <n v="0.2273"/>
    <n v="0.4"/>
    <n v="0.1045"/>
    <n v="4"/>
    <n v="174"/>
    <n v="178"/>
    <s v="Weekday"/>
  </r>
  <r>
    <n v="228"/>
    <d v="2011-01-10T00:00:00"/>
    <x v="0"/>
    <n v="0"/>
    <x v="0"/>
    <x v="18"/>
    <b v="0"/>
    <x v="2"/>
    <x v="0"/>
    <n v="0.2"/>
    <n v="0.19700000000000001"/>
    <n v="0.4"/>
    <n v="0.22389999999999999"/>
    <n v="1"/>
    <n v="154"/>
    <n v="155"/>
    <s v="Weekday"/>
  </r>
  <r>
    <n v="229"/>
    <d v="2011-01-10T00:00:00"/>
    <x v="0"/>
    <n v="0"/>
    <x v="0"/>
    <x v="19"/>
    <b v="0"/>
    <x v="2"/>
    <x v="0"/>
    <n v="0.16"/>
    <n v="0.16669999999999999"/>
    <n v="0.47"/>
    <n v="0.16420000000000001"/>
    <n v="3"/>
    <n v="92"/>
    <n v="95"/>
    <s v="Weekday"/>
  </r>
  <r>
    <n v="230"/>
    <d v="2011-01-10T00:00:00"/>
    <x v="0"/>
    <n v="0"/>
    <x v="0"/>
    <x v="20"/>
    <b v="0"/>
    <x v="2"/>
    <x v="0"/>
    <n v="0.16"/>
    <n v="0.16669999999999999"/>
    <n v="0.5"/>
    <n v="0.16420000000000001"/>
    <n v="1"/>
    <n v="73"/>
    <n v="74"/>
    <s v="Weekday"/>
  </r>
  <r>
    <n v="231"/>
    <d v="2011-01-10T00:00:00"/>
    <x v="0"/>
    <n v="0"/>
    <x v="0"/>
    <x v="21"/>
    <b v="0"/>
    <x v="2"/>
    <x v="0"/>
    <n v="0.14000000000000001"/>
    <n v="0.13639999999999999"/>
    <n v="0.59"/>
    <n v="0.19400000000000001"/>
    <n v="1"/>
    <n v="37"/>
    <n v="38"/>
    <s v="Weekday"/>
  </r>
  <r>
    <n v="232"/>
    <d v="2011-01-10T00:00:00"/>
    <x v="0"/>
    <n v="0"/>
    <x v="0"/>
    <x v="22"/>
    <b v="0"/>
    <x v="2"/>
    <x v="0"/>
    <n v="0.14000000000000001"/>
    <n v="0.1515"/>
    <n v="0.59"/>
    <n v="0.16420000000000001"/>
    <n v="2"/>
    <n v="22"/>
    <n v="24"/>
    <s v="Weekday"/>
  </r>
  <r>
    <n v="233"/>
    <d v="2011-01-10T00:00:00"/>
    <x v="0"/>
    <n v="0"/>
    <x v="0"/>
    <x v="23"/>
    <b v="0"/>
    <x v="2"/>
    <x v="0"/>
    <n v="0.14000000000000001"/>
    <n v="0.1515"/>
    <n v="0.59"/>
    <n v="0.16420000000000001"/>
    <n v="0"/>
    <n v="18"/>
    <n v="18"/>
    <s v="Weekday"/>
  </r>
  <r>
    <n v="234"/>
    <d v="2011-01-11T00:00:00"/>
    <x v="0"/>
    <n v="0"/>
    <x v="0"/>
    <x v="0"/>
    <b v="0"/>
    <x v="3"/>
    <x v="0"/>
    <n v="0.14000000000000001"/>
    <n v="0.16669999999999999"/>
    <n v="0.59"/>
    <n v="0.1045"/>
    <n v="2"/>
    <n v="10"/>
    <n v="12"/>
    <s v="Weekday"/>
  </r>
  <r>
    <n v="235"/>
    <d v="2011-01-11T00:00:00"/>
    <x v="0"/>
    <n v="0"/>
    <x v="0"/>
    <x v="1"/>
    <b v="0"/>
    <x v="3"/>
    <x v="0"/>
    <n v="0.14000000000000001"/>
    <n v="0.1515"/>
    <n v="0.59"/>
    <n v="0.16420000000000001"/>
    <n v="0"/>
    <n v="3"/>
    <n v="3"/>
    <s v="Weekday"/>
  </r>
  <r>
    <n v="236"/>
    <d v="2011-01-11T00:00:00"/>
    <x v="0"/>
    <n v="0"/>
    <x v="0"/>
    <x v="2"/>
    <b v="0"/>
    <x v="3"/>
    <x v="1"/>
    <n v="0.16"/>
    <n v="0.1515"/>
    <n v="0.55000000000000004"/>
    <n v="0.19400000000000001"/>
    <n v="0"/>
    <n v="3"/>
    <n v="3"/>
    <s v="Weekday"/>
  </r>
  <r>
    <n v="237"/>
    <d v="2011-01-11T00:00:00"/>
    <x v="0"/>
    <n v="0"/>
    <x v="0"/>
    <x v="5"/>
    <b v="0"/>
    <x v="3"/>
    <x v="1"/>
    <n v="0.16"/>
    <n v="0.18179999999999999"/>
    <n v="0.55000000000000004"/>
    <n v="0.1343"/>
    <n v="0"/>
    <n v="6"/>
    <n v="6"/>
    <s v="Weekday"/>
  </r>
  <r>
    <n v="238"/>
    <d v="2011-01-11T00:00:00"/>
    <x v="0"/>
    <n v="0"/>
    <x v="0"/>
    <x v="6"/>
    <b v="0"/>
    <x v="3"/>
    <x v="1"/>
    <n v="0.16"/>
    <n v="0.18179999999999999"/>
    <n v="0.55000000000000004"/>
    <n v="0.1343"/>
    <n v="0"/>
    <n v="27"/>
    <n v="27"/>
    <s v="Weekday"/>
  </r>
  <r>
    <n v="239"/>
    <d v="2011-01-11T00:00:00"/>
    <x v="0"/>
    <n v="0"/>
    <x v="0"/>
    <x v="7"/>
    <b v="0"/>
    <x v="3"/>
    <x v="1"/>
    <n v="0.16"/>
    <n v="0.2273"/>
    <n v="0.55000000000000004"/>
    <n v="0"/>
    <n v="2"/>
    <n v="97"/>
    <n v="99"/>
    <s v="Weekday"/>
  </r>
  <r>
    <n v="240"/>
    <d v="2011-01-11T00:00:00"/>
    <x v="0"/>
    <n v="0"/>
    <x v="0"/>
    <x v="8"/>
    <b v="0"/>
    <x v="3"/>
    <x v="1"/>
    <n v="0.18"/>
    <n v="0.21210000000000001"/>
    <n v="0.51"/>
    <n v="8.9599999999999999E-2"/>
    <n v="3"/>
    <n v="214"/>
    <n v="217"/>
    <s v="Weekday"/>
  </r>
  <r>
    <n v="241"/>
    <d v="2011-01-11T00:00:00"/>
    <x v="0"/>
    <n v="0"/>
    <x v="0"/>
    <x v="9"/>
    <b v="0"/>
    <x v="3"/>
    <x v="1"/>
    <n v="0.18"/>
    <n v="0.19700000000000001"/>
    <n v="0.51"/>
    <n v="0.16420000000000001"/>
    <n v="3"/>
    <n v="127"/>
    <n v="130"/>
    <s v="Weekday"/>
  </r>
  <r>
    <n v="242"/>
    <d v="2011-01-11T00:00:00"/>
    <x v="0"/>
    <n v="0"/>
    <x v="0"/>
    <x v="10"/>
    <b v="0"/>
    <x v="3"/>
    <x v="1"/>
    <n v="0.2"/>
    <n v="0.21210000000000001"/>
    <n v="0.51"/>
    <n v="0.16420000000000001"/>
    <n v="3"/>
    <n v="51"/>
    <n v="54"/>
    <s v="Weekday"/>
  </r>
  <r>
    <n v="243"/>
    <d v="2011-01-11T00:00:00"/>
    <x v="0"/>
    <n v="0"/>
    <x v="0"/>
    <x v="11"/>
    <b v="0"/>
    <x v="3"/>
    <x v="1"/>
    <n v="0.2"/>
    <n v="0.21210000000000001"/>
    <n v="0.47"/>
    <n v="0.1343"/>
    <n v="4"/>
    <n v="31"/>
    <n v="35"/>
    <s v="Weekday"/>
  </r>
  <r>
    <n v="244"/>
    <d v="2011-01-11T00:00:00"/>
    <x v="0"/>
    <n v="0"/>
    <x v="0"/>
    <x v="12"/>
    <b v="0"/>
    <x v="3"/>
    <x v="1"/>
    <n v="0.2"/>
    <n v="0.2273"/>
    <n v="0.51"/>
    <n v="0.1045"/>
    <n v="2"/>
    <n v="55"/>
    <n v="57"/>
    <s v="Weekday"/>
  </r>
  <r>
    <n v="245"/>
    <d v="2011-01-11T00:00:00"/>
    <x v="0"/>
    <n v="0"/>
    <x v="0"/>
    <x v="13"/>
    <b v="0"/>
    <x v="3"/>
    <x v="1"/>
    <n v="0.2"/>
    <n v="0.2273"/>
    <n v="0.59"/>
    <n v="8.9599999999999999E-2"/>
    <n v="6"/>
    <n v="46"/>
    <n v="52"/>
    <s v="Weekday"/>
  </r>
  <r>
    <n v="246"/>
    <d v="2011-01-11T00:00:00"/>
    <x v="0"/>
    <n v="0"/>
    <x v="0"/>
    <x v="14"/>
    <b v="0"/>
    <x v="3"/>
    <x v="1"/>
    <n v="0.2"/>
    <n v="0.2273"/>
    <n v="0.59"/>
    <n v="8.9599999999999999E-2"/>
    <n v="3"/>
    <n v="60"/>
    <n v="63"/>
    <s v="Weekday"/>
  </r>
  <r>
    <n v="247"/>
    <d v="2011-01-11T00:00:00"/>
    <x v="0"/>
    <n v="0"/>
    <x v="0"/>
    <x v="15"/>
    <b v="0"/>
    <x v="3"/>
    <x v="1"/>
    <n v="0.16"/>
    <n v="0.19700000000000001"/>
    <n v="0.8"/>
    <n v="8.9599999999999999E-2"/>
    <n v="2"/>
    <n v="45"/>
    <n v="47"/>
    <s v="Weekday"/>
  </r>
  <r>
    <n v="248"/>
    <d v="2011-01-11T00:00:00"/>
    <x v="0"/>
    <n v="0"/>
    <x v="0"/>
    <x v="16"/>
    <b v="0"/>
    <x v="3"/>
    <x v="1"/>
    <n v="0.16"/>
    <n v="0.1515"/>
    <n v="0.86"/>
    <n v="0.22389999999999999"/>
    <n v="4"/>
    <n v="72"/>
    <n v="76"/>
    <s v="Weekday"/>
  </r>
  <r>
    <n v="249"/>
    <d v="2011-01-11T00:00:00"/>
    <x v="0"/>
    <n v="0"/>
    <x v="0"/>
    <x v="17"/>
    <b v="0"/>
    <x v="3"/>
    <x v="1"/>
    <n v="0.16"/>
    <n v="0.1515"/>
    <n v="0.86"/>
    <n v="0.22389999999999999"/>
    <n v="6"/>
    <n v="130"/>
    <n v="136"/>
    <s v="Weekday"/>
  </r>
  <r>
    <n v="250"/>
    <d v="2011-01-11T00:00:00"/>
    <x v="0"/>
    <n v="0"/>
    <x v="0"/>
    <x v="18"/>
    <b v="0"/>
    <x v="3"/>
    <x v="2"/>
    <n v="0.16"/>
    <n v="0.18179999999999999"/>
    <n v="0.93"/>
    <n v="0.1045"/>
    <n v="1"/>
    <n v="94"/>
    <n v="95"/>
    <s v="Weekday"/>
  </r>
  <r>
    <n v="251"/>
    <d v="2011-01-11T00:00:00"/>
    <x v="0"/>
    <n v="0"/>
    <x v="0"/>
    <x v="19"/>
    <b v="0"/>
    <x v="3"/>
    <x v="2"/>
    <n v="0.16"/>
    <n v="0.2273"/>
    <n v="0.93"/>
    <n v="0"/>
    <n v="0"/>
    <n v="51"/>
    <n v="51"/>
    <s v="Weekday"/>
  </r>
  <r>
    <n v="252"/>
    <d v="2011-01-11T00:00:00"/>
    <x v="0"/>
    <n v="0"/>
    <x v="0"/>
    <x v="20"/>
    <b v="0"/>
    <x v="3"/>
    <x v="2"/>
    <n v="0.16"/>
    <n v="0.1515"/>
    <n v="0.93"/>
    <n v="0.19400000000000001"/>
    <n v="0"/>
    <n v="32"/>
    <n v="32"/>
    <s v="Weekday"/>
  </r>
  <r>
    <n v="253"/>
    <d v="2011-01-11T00:00:00"/>
    <x v="0"/>
    <n v="0"/>
    <x v="0"/>
    <x v="21"/>
    <b v="0"/>
    <x v="3"/>
    <x v="2"/>
    <n v="0.16"/>
    <n v="0.19700000000000001"/>
    <n v="0.86"/>
    <n v="8.9599999999999999E-2"/>
    <n v="0"/>
    <n v="20"/>
    <n v="20"/>
    <s v="Weekday"/>
  </r>
  <r>
    <n v="254"/>
    <d v="2011-01-11T00:00:00"/>
    <x v="0"/>
    <n v="0"/>
    <x v="0"/>
    <x v="22"/>
    <b v="0"/>
    <x v="3"/>
    <x v="2"/>
    <n v="0.16"/>
    <n v="0.18179999999999999"/>
    <n v="0.93"/>
    <n v="0.1045"/>
    <n v="1"/>
    <n v="28"/>
    <n v="29"/>
    <s v="Weekday"/>
  </r>
  <r>
    <n v="255"/>
    <d v="2011-01-11T00:00:00"/>
    <x v="0"/>
    <n v="0"/>
    <x v="0"/>
    <x v="23"/>
    <b v="0"/>
    <x v="3"/>
    <x v="2"/>
    <n v="0.16"/>
    <n v="0.19700000000000001"/>
    <n v="0.93"/>
    <n v="8.9599999999999999E-2"/>
    <n v="1"/>
    <n v="18"/>
    <n v="19"/>
    <s v="Weekday"/>
  </r>
  <r>
    <n v="256"/>
    <d v="2011-01-12T00:00:00"/>
    <x v="0"/>
    <n v="0"/>
    <x v="0"/>
    <x v="0"/>
    <b v="0"/>
    <x v="4"/>
    <x v="1"/>
    <n v="0.16"/>
    <n v="0.19700000000000001"/>
    <n v="0.86"/>
    <n v="8.9599999999999999E-2"/>
    <n v="0"/>
    <n v="7"/>
    <n v="7"/>
    <s v="Weekday"/>
  </r>
  <r>
    <n v="257"/>
    <d v="2011-01-12T00:00:00"/>
    <x v="0"/>
    <n v="0"/>
    <x v="0"/>
    <x v="1"/>
    <b v="0"/>
    <x v="4"/>
    <x v="1"/>
    <n v="0.16"/>
    <n v="0.18179999999999999"/>
    <n v="0.86"/>
    <n v="0.1045"/>
    <n v="0"/>
    <n v="6"/>
    <n v="6"/>
    <s v="Weekday"/>
  </r>
  <r>
    <n v="258"/>
    <d v="2011-01-12T00:00:00"/>
    <x v="0"/>
    <n v="0"/>
    <x v="0"/>
    <x v="2"/>
    <b v="0"/>
    <x v="4"/>
    <x v="0"/>
    <n v="0.14000000000000001"/>
    <n v="0.1515"/>
    <n v="0.86"/>
    <n v="0.1343"/>
    <n v="0"/>
    <n v="1"/>
    <n v="1"/>
    <s v="Weekday"/>
  </r>
  <r>
    <n v="259"/>
    <d v="2011-01-12T00:00:00"/>
    <x v="0"/>
    <n v="0"/>
    <x v="0"/>
    <x v="5"/>
    <b v="0"/>
    <x v="4"/>
    <x v="0"/>
    <n v="0.14000000000000001"/>
    <n v="0.1515"/>
    <n v="0.86"/>
    <n v="0.16420000000000001"/>
    <n v="0"/>
    <n v="5"/>
    <n v="5"/>
    <s v="Weekday"/>
  </r>
  <r>
    <n v="260"/>
    <d v="2011-01-12T00:00:00"/>
    <x v="0"/>
    <n v="0"/>
    <x v="0"/>
    <x v="6"/>
    <b v="0"/>
    <x v="4"/>
    <x v="0"/>
    <n v="0.12"/>
    <n v="0.1515"/>
    <n v="0.93"/>
    <n v="0.1343"/>
    <n v="0"/>
    <n v="16"/>
    <n v="16"/>
    <s v="Weekday"/>
  </r>
  <r>
    <n v="261"/>
    <d v="2011-01-12T00:00:00"/>
    <x v="0"/>
    <n v="0"/>
    <x v="0"/>
    <x v="7"/>
    <b v="0"/>
    <x v="4"/>
    <x v="0"/>
    <n v="0.14000000000000001"/>
    <n v="0.1515"/>
    <n v="0.69"/>
    <n v="0.1343"/>
    <n v="0"/>
    <n v="54"/>
    <n v="54"/>
    <s v="Weekday"/>
  </r>
  <r>
    <n v="262"/>
    <d v="2011-01-12T00:00:00"/>
    <x v="0"/>
    <n v="0"/>
    <x v="0"/>
    <x v="8"/>
    <b v="0"/>
    <x v="4"/>
    <x v="0"/>
    <n v="0.16"/>
    <n v="0.16669999999999999"/>
    <n v="0.59"/>
    <n v="0.16420000000000001"/>
    <n v="3"/>
    <n v="125"/>
    <n v="128"/>
    <s v="Weekday"/>
  </r>
  <r>
    <n v="263"/>
    <d v="2011-01-12T00:00:00"/>
    <x v="0"/>
    <n v="0"/>
    <x v="0"/>
    <x v="9"/>
    <b v="0"/>
    <x v="4"/>
    <x v="0"/>
    <n v="0.16"/>
    <n v="0.13639999999999999"/>
    <n v="0.59"/>
    <n v="0.32840000000000003"/>
    <n v="3"/>
    <n v="78"/>
    <n v="81"/>
    <s v="Weekday"/>
  </r>
  <r>
    <n v="264"/>
    <d v="2011-01-12T00:00:00"/>
    <x v="0"/>
    <n v="0"/>
    <x v="0"/>
    <x v="10"/>
    <b v="0"/>
    <x v="4"/>
    <x v="0"/>
    <n v="0.18"/>
    <n v="0.18179999999999999"/>
    <n v="0.55000000000000004"/>
    <n v="0.22389999999999999"/>
    <n v="0"/>
    <n v="39"/>
    <n v="39"/>
    <s v="Weekday"/>
  </r>
  <r>
    <n v="265"/>
    <d v="2011-01-12T00:00:00"/>
    <x v="0"/>
    <n v="0"/>
    <x v="0"/>
    <x v="11"/>
    <b v="0"/>
    <x v="4"/>
    <x v="0"/>
    <n v="0.2"/>
    <n v="0.18179999999999999"/>
    <n v="0.51"/>
    <n v="0.3881"/>
    <n v="3"/>
    <n v="32"/>
    <n v="35"/>
    <s v="Weekday"/>
  </r>
  <r>
    <n v="266"/>
    <d v="2011-01-12T00:00:00"/>
    <x v="0"/>
    <n v="0"/>
    <x v="0"/>
    <x v="12"/>
    <b v="0"/>
    <x v="4"/>
    <x v="0"/>
    <n v="0.2"/>
    <n v="0.1515"/>
    <n v="0.47"/>
    <n v="0.58209999999999995"/>
    <n v="3"/>
    <n v="52"/>
    <n v="55"/>
    <s v="Weekday"/>
  </r>
  <r>
    <n v="267"/>
    <d v="2011-01-12T00:00:00"/>
    <x v="0"/>
    <n v="0"/>
    <x v="0"/>
    <x v="13"/>
    <b v="0"/>
    <x v="4"/>
    <x v="0"/>
    <n v="0.22"/>
    <n v="0.19700000000000001"/>
    <n v="0.44"/>
    <n v="0.35820000000000002"/>
    <n v="0"/>
    <n v="49"/>
    <n v="49"/>
    <s v="Weekday"/>
  </r>
  <r>
    <n v="268"/>
    <d v="2011-01-12T00:00:00"/>
    <x v="0"/>
    <n v="0"/>
    <x v="0"/>
    <x v="14"/>
    <b v="0"/>
    <x v="4"/>
    <x v="0"/>
    <n v="0.2"/>
    <n v="0.18179999999999999"/>
    <n v="0.47"/>
    <n v="0.32840000000000003"/>
    <n v="0"/>
    <n v="44"/>
    <n v="44"/>
    <s v="Weekday"/>
  </r>
  <r>
    <n v="269"/>
    <d v="2011-01-12T00:00:00"/>
    <x v="0"/>
    <n v="0"/>
    <x v="0"/>
    <x v="15"/>
    <b v="0"/>
    <x v="4"/>
    <x v="0"/>
    <n v="0.2"/>
    <n v="0.16669999999999999"/>
    <n v="0.47"/>
    <n v="0.41789999999999999"/>
    <n v="1"/>
    <n v="48"/>
    <n v="49"/>
    <s v="Weekday"/>
  </r>
  <r>
    <n v="270"/>
    <d v="2011-01-12T00:00:00"/>
    <x v="0"/>
    <n v="0"/>
    <x v="0"/>
    <x v="16"/>
    <b v="0"/>
    <x v="4"/>
    <x v="0"/>
    <n v="0.22"/>
    <n v="0.19700000000000001"/>
    <n v="0.44"/>
    <n v="0.32840000000000003"/>
    <n v="5"/>
    <n v="63"/>
    <n v="68"/>
    <s v="Weekday"/>
  </r>
  <r>
    <n v="271"/>
    <d v="2011-01-12T00:00:00"/>
    <x v="0"/>
    <n v="0"/>
    <x v="0"/>
    <x v="17"/>
    <b v="0"/>
    <x v="4"/>
    <x v="0"/>
    <n v="0.2"/>
    <n v="0.18179999999999999"/>
    <n v="0.47"/>
    <n v="0.35820000000000002"/>
    <n v="0"/>
    <n v="139"/>
    <n v="139"/>
    <s v="Weekday"/>
  </r>
  <r>
    <n v="272"/>
    <d v="2011-01-12T00:00:00"/>
    <x v="0"/>
    <n v="0"/>
    <x v="0"/>
    <x v="18"/>
    <b v="0"/>
    <x v="4"/>
    <x v="0"/>
    <n v="0.2"/>
    <n v="0.1515"/>
    <n v="0.47"/>
    <n v="0.52239999999999998"/>
    <n v="2"/>
    <n v="135"/>
    <n v="137"/>
    <s v="Weekday"/>
  </r>
  <r>
    <n v="273"/>
    <d v="2011-01-12T00:00:00"/>
    <x v="0"/>
    <n v="0"/>
    <x v="0"/>
    <x v="19"/>
    <b v="0"/>
    <x v="4"/>
    <x v="0"/>
    <n v="0.18"/>
    <n v="0.1515"/>
    <n v="0.47"/>
    <n v="0.41789999999999999"/>
    <n v="1"/>
    <n v="82"/>
    <n v="83"/>
    <s v="Weekday"/>
  </r>
  <r>
    <n v="274"/>
    <d v="2011-01-12T00:00:00"/>
    <x v="0"/>
    <n v="0"/>
    <x v="0"/>
    <x v="20"/>
    <b v="0"/>
    <x v="4"/>
    <x v="0"/>
    <n v="0.16"/>
    <n v="0.13639999999999999"/>
    <n v="0.5"/>
    <n v="0.32840000000000003"/>
    <n v="2"/>
    <n v="54"/>
    <n v="56"/>
    <s v="Weekday"/>
  </r>
  <r>
    <n v="275"/>
    <d v="2011-01-12T00:00:00"/>
    <x v="0"/>
    <n v="0"/>
    <x v="0"/>
    <x v="21"/>
    <b v="0"/>
    <x v="4"/>
    <x v="0"/>
    <n v="0.16"/>
    <n v="0.13639999999999999"/>
    <n v="0.55000000000000004"/>
    <n v="0.32840000000000003"/>
    <n v="0"/>
    <n v="57"/>
    <n v="57"/>
    <s v="Weekday"/>
  </r>
  <r>
    <n v="276"/>
    <d v="2011-01-12T00:00:00"/>
    <x v="0"/>
    <n v="0"/>
    <x v="0"/>
    <x v="22"/>
    <b v="0"/>
    <x v="4"/>
    <x v="0"/>
    <n v="0.16"/>
    <n v="0.1212"/>
    <n v="0.55000000000000004"/>
    <n v="0.44779999999999998"/>
    <n v="1"/>
    <n v="32"/>
    <n v="33"/>
    <s v="Weekday"/>
  </r>
  <r>
    <n v="277"/>
    <d v="2011-01-12T00:00:00"/>
    <x v="0"/>
    <n v="0"/>
    <x v="0"/>
    <x v="23"/>
    <b v="0"/>
    <x v="4"/>
    <x v="0"/>
    <n v="0.14000000000000001"/>
    <n v="0.1061"/>
    <n v="0.59"/>
    <n v="0.41789999999999999"/>
    <n v="1"/>
    <n v="19"/>
    <n v="20"/>
    <s v="Weekday"/>
  </r>
  <r>
    <n v="278"/>
    <d v="2011-01-13T00:00:00"/>
    <x v="0"/>
    <n v="0"/>
    <x v="0"/>
    <x v="0"/>
    <b v="0"/>
    <x v="5"/>
    <x v="0"/>
    <n v="0.14000000000000001"/>
    <n v="0.1212"/>
    <n v="0.59"/>
    <n v="0.28360000000000002"/>
    <n v="1"/>
    <n v="6"/>
    <n v="7"/>
    <s v="Weekday"/>
  </r>
  <r>
    <n v="279"/>
    <d v="2011-01-13T00:00:00"/>
    <x v="0"/>
    <n v="0"/>
    <x v="0"/>
    <x v="1"/>
    <b v="0"/>
    <x v="5"/>
    <x v="0"/>
    <n v="0.14000000000000001"/>
    <n v="0.1212"/>
    <n v="0.5"/>
    <n v="0.28360000000000002"/>
    <n v="0"/>
    <n v="2"/>
    <n v="2"/>
    <s v="Weekday"/>
  </r>
  <r>
    <n v="280"/>
    <d v="2011-01-13T00:00:00"/>
    <x v="0"/>
    <n v="0"/>
    <x v="0"/>
    <x v="2"/>
    <b v="0"/>
    <x v="5"/>
    <x v="0"/>
    <n v="0.14000000000000001"/>
    <n v="0.1212"/>
    <n v="0.5"/>
    <n v="0.35820000000000002"/>
    <n v="0"/>
    <n v="2"/>
    <n v="2"/>
    <s v="Weekday"/>
  </r>
  <r>
    <n v="281"/>
    <d v="2011-01-13T00:00:00"/>
    <x v="0"/>
    <n v="0"/>
    <x v="0"/>
    <x v="3"/>
    <b v="0"/>
    <x v="5"/>
    <x v="0"/>
    <n v="0.14000000000000001"/>
    <n v="0.1212"/>
    <n v="0.5"/>
    <n v="0.32840000000000003"/>
    <n v="0"/>
    <n v="3"/>
    <n v="3"/>
    <s v="Weekday"/>
  </r>
  <r>
    <n v="282"/>
    <d v="2011-01-13T00:00:00"/>
    <x v="0"/>
    <n v="0"/>
    <x v="0"/>
    <x v="4"/>
    <b v="0"/>
    <x v="5"/>
    <x v="0"/>
    <n v="0.14000000000000001"/>
    <n v="0.1212"/>
    <n v="0.5"/>
    <n v="0.25369999999999998"/>
    <n v="0"/>
    <n v="4"/>
    <n v="4"/>
    <s v="Weekday"/>
  </r>
  <r>
    <n v="283"/>
    <d v="2011-01-13T00:00:00"/>
    <x v="0"/>
    <n v="0"/>
    <x v="0"/>
    <x v="5"/>
    <b v="0"/>
    <x v="5"/>
    <x v="0"/>
    <n v="0.14000000000000001"/>
    <n v="0.1212"/>
    <n v="0.5"/>
    <n v="0.29849999999999999"/>
    <n v="0"/>
    <n v="3"/>
    <n v="3"/>
    <s v="Weekday"/>
  </r>
  <r>
    <n v="284"/>
    <d v="2011-01-13T00:00:00"/>
    <x v="0"/>
    <n v="0"/>
    <x v="0"/>
    <x v="6"/>
    <b v="0"/>
    <x v="5"/>
    <x v="0"/>
    <n v="0.12"/>
    <n v="0.1515"/>
    <n v="0.54"/>
    <n v="0.1343"/>
    <n v="0"/>
    <n v="28"/>
    <n v="28"/>
    <s v="Weekday"/>
  </r>
  <r>
    <n v="285"/>
    <d v="2011-01-13T00:00:00"/>
    <x v="0"/>
    <n v="0"/>
    <x v="0"/>
    <x v="7"/>
    <b v="0"/>
    <x v="5"/>
    <x v="0"/>
    <n v="0.12"/>
    <n v="0.1515"/>
    <n v="0.54"/>
    <n v="0.1343"/>
    <n v="0"/>
    <n v="72"/>
    <n v="72"/>
    <s v="Weekday"/>
  </r>
  <r>
    <n v="286"/>
    <d v="2011-01-13T00:00:00"/>
    <x v="0"/>
    <n v="0"/>
    <x v="0"/>
    <x v="8"/>
    <b v="0"/>
    <x v="5"/>
    <x v="0"/>
    <n v="0.14000000000000001"/>
    <n v="0.13639999999999999"/>
    <n v="0.5"/>
    <n v="0.19400000000000001"/>
    <n v="5"/>
    <n v="197"/>
    <n v="202"/>
    <s v="Weekday"/>
  </r>
  <r>
    <n v="287"/>
    <d v="2011-01-13T00:00:00"/>
    <x v="0"/>
    <n v="0"/>
    <x v="0"/>
    <x v="9"/>
    <b v="0"/>
    <x v="5"/>
    <x v="0"/>
    <n v="0.14000000000000001"/>
    <n v="0.1212"/>
    <n v="0.5"/>
    <n v="0.32840000000000003"/>
    <n v="2"/>
    <n v="137"/>
    <n v="139"/>
    <s v="Weekday"/>
  </r>
  <r>
    <n v="288"/>
    <d v="2011-01-13T00:00:00"/>
    <x v="0"/>
    <n v="0"/>
    <x v="0"/>
    <x v="10"/>
    <b v="0"/>
    <x v="5"/>
    <x v="1"/>
    <n v="0.16"/>
    <n v="0.13639999999999999"/>
    <n v="0.5"/>
    <n v="0.35820000000000002"/>
    <n v="2"/>
    <n v="36"/>
    <n v="38"/>
    <s v="Weekday"/>
  </r>
  <r>
    <n v="289"/>
    <d v="2011-01-13T00:00:00"/>
    <x v="0"/>
    <n v="0"/>
    <x v="0"/>
    <x v="11"/>
    <b v="0"/>
    <x v="5"/>
    <x v="1"/>
    <n v="0.2"/>
    <n v="0.16669999999999999"/>
    <n v="0.44"/>
    <n v="0.44779999999999998"/>
    <n v="4"/>
    <n v="33"/>
    <n v="37"/>
    <s v="Weekday"/>
  </r>
  <r>
    <n v="290"/>
    <d v="2011-01-13T00:00:00"/>
    <x v="0"/>
    <n v="0"/>
    <x v="0"/>
    <x v="12"/>
    <b v="0"/>
    <x v="5"/>
    <x v="0"/>
    <n v="0.2"/>
    <n v="0.16669999999999999"/>
    <n v="0.44"/>
    <n v="0.41789999999999999"/>
    <n v="3"/>
    <n v="49"/>
    <n v="52"/>
    <s v="Weekday"/>
  </r>
  <r>
    <n v="291"/>
    <d v="2011-01-13T00:00:00"/>
    <x v="0"/>
    <n v="0"/>
    <x v="0"/>
    <x v="13"/>
    <b v="0"/>
    <x v="5"/>
    <x v="0"/>
    <n v="0.22"/>
    <n v="0.19700000000000001"/>
    <n v="0.41"/>
    <n v="0.44779999999999998"/>
    <n v="2"/>
    <n v="81"/>
    <n v="83"/>
    <s v="Weekday"/>
  </r>
  <r>
    <n v="292"/>
    <d v="2011-01-13T00:00:00"/>
    <x v="0"/>
    <n v="0"/>
    <x v="0"/>
    <x v="14"/>
    <b v="0"/>
    <x v="5"/>
    <x v="0"/>
    <n v="0.22"/>
    <n v="0.19700000000000001"/>
    <n v="0.41"/>
    <n v="0.3881"/>
    <n v="3"/>
    <n v="39"/>
    <n v="42"/>
    <s v="Weekday"/>
  </r>
  <r>
    <n v="293"/>
    <d v="2011-01-13T00:00:00"/>
    <x v="0"/>
    <n v="0"/>
    <x v="0"/>
    <x v="15"/>
    <b v="0"/>
    <x v="5"/>
    <x v="0"/>
    <n v="0.24"/>
    <n v="0.21210000000000001"/>
    <n v="0.38"/>
    <n v="0.29849999999999999"/>
    <n v="5"/>
    <n v="55"/>
    <n v="60"/>
    <s v="Weekday"/>
  </r>
  <r>
    <n v="294"/>
    <d v="2011-01-13T00:00:00"/>
    <x v="0"/>
    <n v="0"/>
    <x v="0"/>
    <x v="16"/>
    <b v="0"/>
    <x v="5"/>
    <x v="0"/>
    <n v="0.24"/>
    <n v="0.21210000000000001"/>
    <n v="0.38"/>
    <n v="0.35820000000000002"/>
    <n v="2"/>
    <n v="76"/>
    <n v="78"/>
    <s v="Weekday"/>
  </r>
  <r>
    <n v="295"/>
    <d v="2011-01-13T00:00:00"/>
    <x v="0"/>
    <n v="0"/>
    <x v="0"/>
    <x v="17"/>
    <b v="0"/>
    <x v="5"/>
    <x v="0"/>
    <n v="0.2"/>
    <n v="0.18179999999999999"/>
    <n v="0.4"/>
    <n v="0.28360000000000002"/>
    <n v="4"/>
    <n v="158"/>
    <n v="162"/>
    <s v="Weekday"/>
  </r>
  <r>
    <n v="296"/>
    <d v="2011-01-13T00:00:00"/>
    <x v="0"/>
    <n v="0"/>
    <x v="0"/>
    <x v="18"/>
    <b v="0"/>
    <x v="5"/>
    <x v="0"/>
    <n v="0.2"/>
    <n v="0.18179999999999999"/>
    <n v="0.4"/>
    <n v="0.32840000000000003"/>
    <n v="3"/>
    <n v="141"/>
    <n v="144"/>
    <s v="Weekday"/>
  </r>
  <r>
    <n v="297"/>
    <d v="2011-01-13T00:00:00"/>
    <x v="0"/>
    <n v="0"/>
    <x v="0"/>
    <x v="19"/>
    <b v="0"/>
    <x v="5"/>
    <x v="0"/>
    <n v="0.16"/>
    <n v="0.1515"/>
    <n v="0.47"/>
    <n v="0.25369999999999998"/>
    <n v="1"/>
    <n v="98"/>
    <n v="99"/>
    <s v="Weekday"/>
  </r>
  <r>
    <n v="298"/>
    <d v="2011-01-13T00:00:00"/>
    <x v="0"/>
    <n v="0"/>
    <x v="0"/>
    <x v="20"/>
    <b v="0"/>
    <x v="5"/>
    <x v="0"/>
    <n v="0.16"/>
    <n v="0.1515"/>
    <n v="0.47"/>
    <n v="0.22389999999999999"/>
    <n v="0"/>
    <n v="64"/>
    <n v="64"/>
    <s v="Weekday"/>
  </r>
  <r>
    <n v="299"/>
    <d v="2011-01-13T00:00:00"/>
    <x v="0"/>
    <n v="0"/>
    <x v="0"/>
    <x v="21"/>
    <b v="0"/>
    <x v="5"/>
    <x v="0"/>
    <n v="0.14000000000000001"/>
    <n v="0.1212"/>
    <n v="0.46"/>
    <n v="0.29849999999999999"/>
    <n v="0"/>
    <n v="40"/>
    <n v="40"/>
    <s v="Weekday"/>
  </r>
  <r>
    <n v="300"/>
    <d v="2011-01-13T00:00:00"/>
    <x v="0"/>
    <n v="0"/>
    <x v="0"/>
    <x v="22"/>
    <b v="0"/>
    <x v="5"/>
    <x v="0"/>
    <n v="0.14000000000000001"/>
    <n v="0.1212"/>
    <n v="0.46"/>
    <n v="0.32840000000000003"/>
    <n v="0"/>
    <n v="30"/>
    <n v="30"/>
    <s v="Weekday"/>
  </r>
  <r>
    <n v="301"/>
    <d v="2011-01-13T00:00:00"/>
    <x v="0"/>
    <n v="0"/>
    <x v="0"/>
    <x v="23"/>
    <b v="0"/>
    <x v="5"/>
    <x v="0"/>
    <n v="0.12"/>
    <n v="0.13639999999999999"/>
    <n v="0.5"/>
    <n v="0.19400000000000001"/>
    <n v="1"/>
    <n v="14"/>
    <n v="15"/>
    <s v="Weekday"/>
  </r>
  <r>
    <n v="302"/>
    <d v="2011-01-14T00:00:00"/>
    <x v="0"/>
    <n v="0"/>
    <x v="0"/>
    <x v="0"/>
    <b v="0"/>
    <x v="6"/>
    <x v="0"/>
    <n v="0.12"/>
    <n v="0.13639999999999999"/>
    <n v="0.5"/>
    <n v="0.19400000000000001"/>
    <n v="0"/>
    <n v="14"/>
    <n v="14"/>
    <s v="Weekday"/>
  </r>
  <r>
    <n v="303"/>
    <d v="2011-01-14T00:00:00"/>
    <x v="0"/>
    <n v="0"/>
    <x v="0"/>
    <x v="1"/>
    <b v="0"/>
    <x v="6"/>
    <x v="0"/>
    <n v="0.1"/>
    <n v="0.1212"/>
    <n v="0.54"/>
    <n v="0.16420000000000001"/>
    <n v="0"/>
    <n v="5"/>
    <n v="5"/>
    <s v="Weekday"/>
  </r>
  <r>
    <n v="304"/>
    <d v="2011-01-14T00:00:00"/>
    <x v="0"/>
    <n v="0"/>
    <x v="0"/>
    <x v="2"/>
    <b v="0"/>
    <x v="6"/>
    <x v="0"/>
    <n v="0.1"/>
    <n v="0.1212"/>
    <n v="0.54"/>
    <n v="0.1343"/>
    <n v="0"/>
    <n v="1"/>
    <n v="1"/>
    <s v="Weekday"/>
  </r>
  <r>
    <n v="305"/>
    <d v="2011-01-14T00:00:00"/>
    <x v="0"/>
    <n v="0"/>
    <x v="0"/>
    <x v="3"/>
    <b v="0"/>
    <x v="6"/>
    <x v="0"/>
    <n v="0.1"/>
    <n v="0.13639999999999999"/>
    <n v="0.54"/>
    <n v="0.1045"/>
    <n v="0"/>
    <n v="1"/>
    <n v="1"/>
    <s v="Weekday"/>
  </r>
  <r>
    <n v="306"/>
    <d v="2011-01-14T00:00:00"/>
    <x v="0"/>
    <n v="0"/>
    <x v="0"/>
    <x v="5"/>
    <b v="0"/>
    <x v="6"/>
    <x v="0"/>
    <n v="0.1"/>
    <n v="0.13639999999999999"/>
    <n v="0.54"/>
    <n v="8.9599999999999999E-2"/>
    <n v="0"/>
    <n v="8"/>
    <n v="8"/>
    <s v="Weekday"/>
  </r>
  <r>
    <n v="307"/>
    <d v="2011-01-14T00:00:00"/>
    <x v="0"/>
    <n v="0"/>
    <x v="0"/>
    <x v="6"/>
    <b v="0"/>
    <x v="6"/>
    <x v="0"/>
    <n v="0.1"/>
    <n v="0.18179999999999999"/>
    <n v="0.54"/>
    <n v="0"/>
    <n v="0"/>
    <n v="17"/>
    <n v="17"/>
    <s v="Weekday"/>
  </r>
  <r>
    <n v="308"/>
    <d v="2011-01-14T00:00:00"/>
    <x v="0"/>
    <n v="0"/>
    <x v="0"/>
    <x v="7"/>
    <b v="0"/>
    <x v="6"/>
    <x v="0"/>
    <n v="0.1"/>
    <n v="0.1212"/>
    <n v="0.74"/>
    <n v="0.16420000000000001"/>
    <n v="0"/>
    <n v="70"/>
    <n v="70"/>
    <s v="Weekday"/>
  </r>
  <r>
    <n v="309"/>
    <d v="2011-01-14T00:00:00"/>
    <x v="0"/>
    <n v="0"/>
    <x v="0"/>
    <x v="8"/>
    <b v="0"/>
    <x v="6"/>
    <x v="0"/>
    <n v="0.12"/>
    <n v="0.16669999999999999"/>
    <n v="0.68"/>
    <n v="0"/>
    <n v="2"/>
    <n v="156"/>
    <n v="158"/>
    <s v="Weekday"/>
  </r>
  <r>
    <n v="310"/>
    <d v="2011-01-14T00:00:00"/>
    <x v="0"/>
    <n v="0"/>
    <x v="0"/>
    <x v="9"/>
    <b v="0"/>
    <x v="6"/>
    <x v="0"/>
    <n v="0.14000000000000001"/>
    <n v="0.1515"/>
    <n v="0.69"/>
    <n v="0.1343"/>
    <n v="0"/>
    <n v="117"/>
    <n v="117"/>
    <s v="Weekday"/>
  </r>
  <r>
    <n v="311"/>
    <d v="2011-01-14T00:00:00"/>
    <x v="0"/>
    <n v="0"/>
    <x v="0"/>
    <x v="10"/>
    <b v="0"/>
    <x v="6"/>
    <x v="0"/>
    <n v="0.18"/>
    <n v="0.18179999999999999"/>
    <n v="0.55000000000000004"/>
    <n v="0.19400000000000001"/>
    <n v="4"/>
    <n v="40"/>
    <n v="44"/>
    <s v="Weekday"/>
  </r>
  <r>
    <n v="312"/>
    <d v="2011-01-14T00:00:00"/>
    <x v="0"/>
    <n v="0"/>
    <x v="0"/>
    <x v="11"/>
    <b v="0"/>
    <x v="6"/>
    <x v="0"/>
    <n v="0.18"/>
    <n v="0.16669999999999999"/>
    <n v="0.51"/>
    <n v="0.28360000000000002"/>
    <n v="6"/>
    <n v="47"/>
    <n v="53"/>
    <s v="Weekday"/>
  </r>
  <r>
    <n v="313"/>
    <d v="2011-01-14T00:00:00"/>
    <x v="0"/>
    <n v="0"/>
    <x v="0"/>
    <x v="12"/>
    <b v="0"/>
    <x v="6"/>
    <x v="0"/>
    <n v="0.2"/>
    <n v="0.19700000000000001"/>
    <n v="0.44"/>
    <n v="0.25369999999999998"/>
    <n v="2"/>
    <n v="59"/>
    <n v="61"/>
    <s v="Weekday"/>
  </r>
  <r>
    <n v="314"/>
    <d v="2011-01-14T00:00:00"/>
    <x v="0"/>
    <n v="0"/>
    <x v="0"/>
    <x v="13"/>
    <b v="0"/>
    <x v="6"/>
    <x v="0"/>
    <n v="0.22"/>
    <n v="0.19700000000000001"/>
    <n v="0.37"/>
    <n v="0.3881"/>
    <n v="4"/>
    <n v="73"/>
    <n v="77"/>
    <s v="Weekday"/>
  </r>
  <r>
    <n v="315"/>
    <d v="2011-01-14T00:00:00"/>
    <x v="0"/>
    <n v="0"/>
    <x v="0"/>
    <x v="14"/>
    <b v="0"/>
    <x v="6"/>
    <x v="0"/>
    <n v="0.22"/>
    <n v="0.21210000000000001"/>
    <n v="0.41"/>
    <n v="0.28360000000000002"/>
    <n v="5"/>
    <n v="59"/>
    <n v="64"/>
    <s v="Weekday"/>
  </r>
  <r>
    <n v="316"/>
    <d v="2011-01-14T00:00:00"/>
    <x v="0"/>
    <n v="0"/>
    <x v="0"/>
    <x v="15"/>
    <b v="0"/>
    <x v="6"/>
    <x v="0"/>
    <n v="0.24"/>
    <n v="0.2424"/>
    <n v="0.38"/>
    <n v="0.16420000000000001"/>
    <n v="9"/>
    <n v="59"/>
    <n v="68"/>
    <s v="Weekday"/>
  </r>
  <r>
    <n v="317"/>
    <d v="2011-01-14T00:00:00"/>
    <x v="0"/>
    <n v="0"/>
    <x v="0"/>
    <x v="16"/>
    <b v="0"/>
    <x v="6"/>
    <x v="0"/>
    <n v="0.22"/>
    <n v="0.2424"/>
    <n v="0.41"/>
    <n v="0.1045"/>
    <n v="3"/>
    <n v="87"/>
    <n v="90"/>
    <s v="Weekday"/>
  </r>
  <r>
    <n v="318"/>
    <d v="2011-01-14T00:00:00"/>
    <x v="0"/>
    <n v="0"/>
    <x v="0"/>
    <x v="17"/>
    <b v="0"/>
    <x v="6"/>
    <x v="0"/>
    <n v="0.22"/>
    <n v="0.2273"/>
    <n v="0.41"/>
    <n v="0.16420000000000001"/>
    <n v="4"/>
    <n v="155"/>
    <n v="159"/>
    <s v="Weekday"/>
  </r>
  <r>
    <n v="319"/>
    <d v="2011-01-14T00:00:00"/>
    <x v="0"/>
    <n v="0"/>
    <x v="0"/>
    <x v="18"/>
    <b v="0"/>
    <x v="6"/>
    <x v="0"/>
    <n v="0.2"/>
    <n v="0.2576"/>
    <n v="0.47"/>
    <n v="0"/>
    <n v="5"/>
    <n v="134"/>
    <n v="139"/>
    <s v="Weekday"/>
  </r>
  <r>
    <n v="320"/>
    <d v="2011-01-14T00:00:00"/>
    <x v="0"/>
    <n v="0"/>
    <x v="0"/>
    <x v="19"/>
    <b v="0"/>
    <x v="6"/>
    <x v="0"/>
    <n v="0.16"/>
    <n v="0.19700000000000001"/>
    <n v="0.59"/>
    <n v="8.9599999999999999E-2"/>
    <n v="3"/>
    <n v="89"/>
    <n v="92"/>
    <s v="Weekday"/>
  </r>
  <r>
    <n v="321"/>
    <d v="2011-01-14T00:00:00"/>
    <x v="0"/>
    <n v="0"/>
    <x v="0"/>
    <x v="20"/>
    <b v="0"/>
    <x v="6"/>
    <x v="0"/>
    <n v="0.18"/>
    <n v="0.2424"/>
    <n v="0.59"/>
    <n v="0"/>
    <n v="0"/>
    <n v="68"/>
    <n v="68"/>
    <s v="Weekday"/>
  </r>
  <r>
    <n v="322"/>
    <d v="2011-01-14T00:00:00"/>
    <x v="0"/>
    <n v="0"/>
    <x v="0"/>
    <x v="21"/>
    <b v="0"/>
    <x v="6"/>
    <x v="0"/>
    <n v="0.16"/>
    <n v="0.2273"/>
    <n v="0.69"/>
    <n v="0"/>
    <n v="4"/>
    <n v="48"/>
    <n v="52"/>
    <s v="Weekday"/>
  </r>
  <r>
    <n v="323"/>
    <d v="2011-01-14T00:00:00"/>
    <x v="0"/>
    <n v="0"/>
    <x v="0"/>
    <x v="22"/>
    <b v="0"/>
    <x v="6"/>
    <x v="1"/>
    <n v="0.16"/>
    <n v="0.2273"/>
    <n v="0.69"/>
    <n v="0"/>
    <n v="2"/>
    <n v="34"/>
    <n v="36"/>
    <s v="Weekday"/>
  </r>
  <r>
    <n v="324"/>
    <d v="2011-01-14T00:00:00"/>
    <x v="0"/>
    <n v="0"/>
    <x v="0"/>
    <x v="23"/>
    <b v="0"/>
    <x v="6"/>
    <x v="1"/>
    <n v="0.18"/>
    <n v="0.2424"/>
    <n v="0.55000000000000004"/>
    <n v="0"/>
    <n v="1"/>
    <n v="26"/>
    <n v="27"/>
    <s v="Weekday"/>
  </r>
  <r>
    <n v="325"/>
    <d v="2011-01-15T00:00:00"/>
    <x v="0"/>
    <n v="0"/>
    <x v="0"/>
    <x v="0"/>
    <b v="0"/>
    <x v="0"/>
    <x v="0"/>
    <n v="0.18"/>
    <n v="0.2424"/>
    <n v="0.55000000000000004"/>
    <n v="0"/>
    <n v="3"/>
    <n v="25"/>
    <n v="28"/>
    <s v="Weekend"/>
  </r>
  <r>
    <n v="326"/>
    <d v="2011-01-15T00:00:00"/>
    <x v="0"/>
    <n v="0"/>
    <x v="0"/>
    <x v="1"/>
    <b v="0"/>
    <x v="0"/>
    <x v="1"/>
    <n v="0.16"/>
    <n v="0.19700000000000001"/>
    <n v="0.59"/>
    <n v="8.9599999999999999E-2"/>
    <n v="2"/>
    <n v="18"/>
    <n v="20"/>
    <s v="Weekend"/>
  </r>
  <r>
    <n v="327"/>
    <d v="2011-01-15T00:00:00"/>
    <x v="0"/>
    <n v="0"/>
    <x v="0"/>
    <x v="2"/>
    <b v="0"/>
    <x v="0"/>
    <x v="1"/>
    <n v="0.16"/>
    <n v="0.19700000000000001"/>
    <n v="0.59"/>
    <n v="8.9599999999999999E-2"/>
    <n v="0"/>
    <n v="12"/>
    <n v="12"/>
    <s v="Weekend"/>
  </r>
  <r>
    <n v="328"/>
    <d v="2011-01-15T00:00:00"/>
    <x v="0"/>
    <n v="0"/>
    <x v="0"/>
    <x v="3"/>
    <b v="0"/>
    <x v="0"/>
    <x v="1"/>
    <n v="0.16"/>
    <n v="0.2273"/>
    <n v="0.59"/>
    <n v="0"/>
    <n v="1"/>
    <n v="7"/>
    <n v="8"/>
    <s v="Weekend"/>
  </r>
  <r>
    <n v="329"/>
    <d v="2011-01-15T00:00:00"/>
    <x v="0"/>
    <n v="0"/>
    <x v="0"/>
    <x v="4"/>
    <b v="0"/>
    <x v="0"/>
    <x v="1"/>
    <n v="0.16"/>
    <n v="0.2273"/>
    <n v="0.59"/>
    <n v="0"/>
    <n v="0"/>
    <n v="5"/>
    <n v="5"/>
    <s v="Weekend"/>
  </r>
  <r>
    <n v="330"/>
    <d v="2011-01-15T00:00:00"/>
    <x v="0"/>
    <n v="0"/>
    <x v="0"/>
    <x v="5"/>
    <b v="0"/>
    <x v="0"/>
    <x v="0"/>
    <n v="0.16"/>
    <n v="0.2273"/>
    <n v="0.59"/>
    <n v="0"/>
    <n v="0"/>
    <n v="1"/>
    <n v="1"/>
    <s v="Weekend"/>
  </r>
  <r>
    <n v="331"/>
    <d v="2011-01-15T00:00:00"/>
    <x v="0"/>
    <n v="0"/>
    <x v="0"/>
    <x v="6"/>
    <b v="0"/>
    <x v="0"/>
    <x v="0"/>
    <n v="0.14000000000000001"/>
    <n v="0.16669999999999999"/>
    <n v="0.63"/>
    <n v="0.1045"/>
    <n v="1"/>
    <n v="2"/>
    <n v="3"/>
    <s v="Weekend"/>
  </r>
  <r>
    <n v="332"/>
    <d v="2011-01-15T00:00:00"/>
    <x v="0"/>
    <n v="0"/>
    <x v="0"/>
    <x v="7"/>
    <b v="0"/>
    <x v="0"/>
    <x v="0"/>
    <n v="0.14000000000000001"/>
    <n v="0.21210000000000001"/>
    <n v="0.63"/>
    <n v="0"/>
    <n v="1"/>
    <n v="9"/>
    <n v="10"/>
    <s v="Weekend"/>
  </r>
  <r>
    <n v="333"/>
    <d v="2011-01-15T00:00:00"/>
    <x v="0"/>
    <n v="0"/>
    <x v="0"/>
    <x v="8"/>
    <b v="0"/>
    <x v="0"/>
    <x v="0"/>
    <n v="0.14000000000000001"/>
    <n v="0.1515"/>
    <n v="0.63"/>
    <n v="0.1343"/>
    <n v="1"/>
    <n v="22"/>
    <n v="23"/>
    <s v="Weekend"/>
  </r>
  <r>
    <n v="334"/>
    <d v="2011-01-15T00:00:00"/>
    <x v="0"/>
    <n v="0"/>
    <x v="0"/>
    <x v="9"/>
    <b v="0"/>
    <x v="0"/>
    <x v="0"/>
    <n v="0.16"/>
    <n v="0.18179999999999999"/>
    <n v="0.64"/>
    <n v="0.1343"/>
    <n v="2"/>
    <n v="31"/>
    <n v="33"/>
    <s v="Weekend"/>
  </r>
  <r>
    <n v="335"/>
    <d v="2011-01-15T00:00:00"/>
    <x v="0"/>
    <n v="0"/>
    <x v="0"/>
    <x v="10"/>
    <b v="0"/>
    <x v="0"/>
    <x v="0"/>
    <n v="0.18"/>
    <n v="0.19700000000000001"/>
    <n v="0.59"/>
    <n v="0.16420000000000001"/>
    <n v="2"/>
    <n v="57"/>
    <n v="59"/>
    <s v="Weekend"/>
  </r>
  <r>
    <n v="336"/>
    <d v="2011-01-15T00:00:00"/>
    <x v="0"/>
    <n v="0"/>
    <x v="0"/>
    <x v="11"/>
    <b v="0"/>
    <x v="0"/>
    <x v="0"/>
    <n v="0.2"/>
    <n v="0.19700000000000001"/>
    <n v="0.55000000000000004"/>
    <n v="0.22389999999999999"/>
    <n v="18"/>
    <n v="54"/>
    <n v="72"/>
    <s v="Weekend"/>
  </r>
  <r>
    <n v="337"/>
    <d v="2011-01-15T00:00:00"/>
    <x v="0"/>
    <n v="0"/>
    <x v="0"/>
    <x v="12"/>
    <b v="0"/>
    <x v="0"/>
    <x v="0"/>
    <n v="0.24"/>
    <n v="0.2273"/>
    <n v="0.48"/>
    <n v="0.22389999999999999"/>
    <n v="15"/>
    <n v="74"/>
    <n v="89"/>
    <s v="Weekend"/>
  </r>
  <r>
    <n v="338"/>
    <d v="2011-01-15T00:00:00"/>
    <x v="0"/>
    <n v="0"/>
    <x v="0"/>
    <x v="13"/>
    <b v="0"/>
    <x v="0"/>
    <x v="0"/>
    <n v="0.28000000000000003"/>
    <n v="0.2576"/>
    <n v="0.38"/>
    <n v="0.29849999999999999"/>
    <n v="21"/>
    <n v="80"/>
    <n v="101"/>
    <s v="Weekend"/>
  </r>
  <r>
    <n v="339"/>
    <d v="2011-01-15T00:00:00"/>
    <x v="0"/>
    <n v="0"/>
    <x v="0"/>
    <x v="14"/>
    <b v="0"/>
    <x v="0"/>
    <x v="0"/>
    <n v="0.3"/>
    <n v="0.28789999999999999"/>
    <n v="0.39"/>
    <n v="0.28360000000000002"/>
    <n v="26"/>
    <n v="92"/>
    <n v="118"/>
    <s v="Weekend"/>
  </r>
  <r>
    <n v="340"/>
    <d v="2011-01-15T00:00:00"/>
    <x v="0"/>
    <n v="0"/>
    <x v="0"/>
    <x v="15"/>
    <b v="0"/>
    <x v="0"/>
    <x v="1"/>
    <n v="0.32"/>
    <n v="0.31819999999999998"/>
    <n v="0.36"/>
    <n v="0.19400000000000001"/>
    <n v="21"/>
    <n v="108"/>
    <n v="129"/>
    <s v="Weekend"/>
  </r>
  <r>
    <n v="341"/>
    <d v="2011-01-15T00:00:00"/>
    <x v="0"/>
    <n v="0"/>
    <x v="0"/>
    <x v="16"/>
    <b v="0"/>
    <x v="0"/>
    <x v="1"/>
    <n v="0.34"/>
    <n v="0.33329999999999999"/>
    <n v="0.34"/>
    <n v="0.19400000000000001"/>
    <n v="33"/>
    <n v="95"/>
    <n v="128"/>
    <s v="Weekend"/>
  </r>
  <r>
    <n v="342"/>
    <d v="2011-01-15T00:00:00"/>
    <x v="0"/>
    <n v="0"/>
    <x v="0"/>
    <x v="17"/>
    <b v="0"/>
    <x v="0"/>
    <x v="1"/>
    <n v="0.32"/>
    <n v="0.30299999999999999"/>
    <n v="0.36"/>
    <n v="0.28360000000000002"/>
    <n v="29"/>
    <n v="54"/>
    <n v="83"/>
    <s v="Weekend"/>
  </r>
  <r>
    <n v="343"/>
    <d v="2011-01-15T00:00:00"/>
    <x v="0"/>
    <n v="0"/>
    <x v="0"/>
    <x v="18"/>
    <b v="0"/>
    <x v="0"/>
    <x v="1"/>
    <n v="0.3"/>
    <n v="0.28789999999999999"/>
    <n v="0.45"/>
    <n v="0.25369999999999998"/>
    <n v="15"/>
    <n v="69"/>
    <n v="84"/>
    <s v="Weekend"/>
  </r>
  <r>
    <n v="344"/>
    <d v="2011-01-15T00:00:00"/>
    <x v="0"/>
    <n v="0"/>
    <x v="0"/>
    <x v="19"/>
    <b v="0"/>
    <x v="0"/>
    <x v="1"/>
    <n v="0.32"/>
    <n v="0.30299999999999999"/>
    <n v="0.39"/>
    <n v="0.25369999999999998"/>
    <n v="14"/>
    <n v="60"/>
    <n v="74"/>
    <s v="Weekend"/>
  </r>
  <r>
    <n v="345"/>
    <d v="2011-01-15T00:00:00"/>
    <x v="0"/>
    <n v="0"/>
    <x v="0"/>
    <x v="20"/>
    <b v="0"/>
    <x v="0"/>
    <x v="1"/>
    <n v="0.32"/>
    <n v="0.30299999999999999"/>
    <n v="0.39"/>
    <n v="0.25369999999999998"/>
    <n v="6"/>
    <n v="35"/>
    <n v="41"/>
    <s v="Weekend"/>
  </r>
  <r>
    <n v="346"/>
    <d v="2011-01-15T00:00:00"/>
    <x v="0"/>
    <n v="0"/>
    <x v="0"/>
    <x v="21"/>
    <b v="0"/>
    <x v="0"/>
    <x v="1"/>
    <n v="0.32"/>
    <n v="0.30299999999999999"/>
    <n v="0.39"/>
    <n v="0.22389999999999999"/>
    <n v="6"/>
    <n v="51"/>
    <n v="57"/>
    <s v="Weekend"/>
  </r>
  <r>
    <n v="347"/>
    <d v="2011-01-15T00:00:00"/>
    <x v="0"/>
    <n v="0"/>
    <x v="0"/>
    <x v="22"/>
    <b v="0"/>
    <x v="0"/>
    <x v="1"/>
    <n v="0.3"/>
    <n v="0.31819999999999998"/>
    <n v="0.42"/>
    <n v="0.1045"/>
    <n v="0"/>
    <n v="26"/>
    <n v="26"/>
    <s v="Weekend"/>
  </r>
  <r>
    <n v="348"/>
    <d v="2011-01-15T00:00:00"/>
    <x v="0"/>
    <n v="0"/>
    <x v="0"/>
    <x v="23"/>
    <b v="0"/>
    <x v="0"/>
    <x v="0"/>
    <n v="0.3"/>
    <n v="0.28789999999999999"/>
    <n v="0.45"/>
    <n v="0.28360000000000002"/>
    <n v="5"/>
    <n v="39"/>
    <n v="44"/>
    <s v="Weekend"/>
  </r>
  <r>
    <n v="349"/>
    <d v="2011-01-16T00:00:00"/>
    <x v="0"/>
    <n v="0"/>
    <x v="0"/>
    <x v="0"/>
    <b v="0"/>
    <x v="1"/>
    <x v="0"/>
    <n v="0.26"/>
    <n v="0.30299999999999999"/>
    <n v="0.56000000000000005"/>
    <n v="0"/>
    <n v="6"/>
    <n v="33"/>
    <n v="39"/>
    <s v="Weekday"/>
  </r>
  <r>
    <n v="350"/>
    <d v="2011-01-16T00:00:00"/>
    <x v="0"/>
    <n v="0"/>
    <x v="0"/>
    <x v="1"/>
    <b v="0"/>
    <x v="1"/>
    <x v="0"/>
    <n v="0.26"/>
    <n v="0.2727"/>
    <n v="0.56000000000000005"/>
    <n v="0.1343"/>
    <n v="4"/>
    <n v="19"/>
    <n v="23"/>
    <s v="Weekday"/>
  </r>
  <r>
    <n v="351"/>
    <d v="2011-01-16T00:00:00"/>
    <x v="0"/>
    <n v="0"/>
    <x v="0"/>
    <x v="2"/>
    <b v="0"/>
    <x v="1"/>
    <x v="0"/>
    <n v="0.26"/>
    <n v="0.28789999999999999"/>
    <n v="0.56000000000000005"/>
    <n v="8.9599999999999999E-2"/>
    <n v="3"/>
    <n v="13"/>
    <n v="16"/>
    <s v="Weekday"/>
  </r>
  <r>
    <n v="352"/>
    <d v="2011-01-16T00:00:00"/>
    <x v="0"/>
    <n v="0"/>
    <x v="0"/>
    <x v="3"/>
    <b v="0"/>
    <x v="1"/>
    <x v="0"/>
    <n v="0.22"/>
    <n v="0.2727"/>
    <n v="0.69"/>
    <n v="0"/>
    <n v="9"/>
    <n v="6"/>
    <n v="15"/>
    <s v="Weekday"/>
  </r>
  <r>
    <n v="353"/>
    <d v="2011-01-16T00:00:00"/>
    <x v="0"/>
    <n v="0"/>
    <x v="0"/>
    <x v="4"/>
    <b v="0"/>
    <x v="1"/>
    <x v="0"/>
    <n v="0.26"/>
    <n v="0.2576"/>
    <n v="0.56000000000000005"/>
    <n v="0.16420000000000001"/>
    <n v="0"/>
    <n v="1"/>
    <n v="1"/>
    <s v="Weekday"/>
  </r>
  <r>
    <n v="354"/>
    <d v="2011-01-16T00:00:00"/>
    <x v="0"/>
    <n v="0"/>
    <x v="0"/>
    <x v="5"/>
    <b v="0"/>
    <x v="1"/>
    <x v="1"/>
    <n v="0.26"/>
    <n v="0.2576"/>
    <n v="0.56000000000000005"/>
    <n v="0.16420000000000001"/>
    <n v="1"/>
    <n v="1"/>
    <n v="2"/>
    <s v="Weekday"/>
  </r>
  <r>
    <n v="355"/>
    <d v="2011-01-16T00:00:00"/>
    <x v="0"/>
    <n v="0"/>
    <x v="0"/>
    <x v="6"/>
    <b v="0"/>
    <x v="1"/>
    <x v="1"/>
    <n v="0.26"/>
    <n v="0.2576"/>
    <n v="0.56000000000000005"/>
    <n v="0.16420000000000001"/>
    <n v="0"/>
    <n v="1"/>
    <n v="1"/>
    <s v="Weekday"/>
  </r>
  <r>
    <n v="356"/>
    <d v="2011-01-16T00:00:00"/>
    <x v="0"/>
    <n v="0"/>
    <x v="0"/>
    <x v="7"/>
    <b v="0"/>
    <x v="1"/>
    <x v="1"/>
    <n v="0.24"/>
    <n v="0.21210000000000001"/>
    <n v="0.56000000000000005"/>
    <n v="0.29849999999999999"/>
    <n v="0"/>
    <n v="3"/>
    <n v="3"/>
    <s v="Weekday"/>
  </r>
  <r>
    <n v="357"/>
    <d v="2011-01-16T00:00:00"/>
    <x v="0"/>
    <n v="0"/>
    <x v="0"/>
    <x v="8"/>
    <b v="0"/>
    <x v="1"/>
    <x v="0"/>
    <n v="0.22"/>
    <n v="0.21210000000000001"/>
    <n v="0.55000000000000004"/>
    <n v="0.28360000000000002"/>
    <n v="0"/>
    <n v="18"/>
    <n v="18"/>
    <s v="Weekday"/>
  </r>
  <r>
    <n v="358"/>
    <d v="2011-01-16T00:00:00"/>
    <x v="0"/>
    <n v="0"/>
    <x v="0"/>
    <x v="9"/>
    <b v="0"/>
    <x v="1"/>
    <x v="0"/>
    <n v="0.22"/>
    <n v="0.21210000000000001"/>
    <n v="0.51"/>
    <n v="0.25369999999999998"/>
    <n v="3"/>
    <n v="29"/>
    <n v="32"/>
    <s v="Weekday"/>
  </r>
  <r>
    <n v="359"/>
    <d v="2011-01-16T00:00:00"/>
    <x v="0"/>
    <n v="0"/>
    <x v="0"/>
    <x v="10"/>
    <b v="0"/>
    <x v="1"/>
    <x v="0"/>
    <n v="0.22"/>
    <n v="0.21210000000000001"/>
    <n v="0.51"/>
    <n v="0.28360000000000002"/>
    <n v="8"/>
    <n v="71"/>
    <n v="79"/>
    <s v="Weekday"/>
  </r>
  <r>
    <n v="360"/>
    <d v="2011-01-16T00:00:00"/>
    <x v="0"/>
    <n v="0"/>
    <x v="0"/>
    <x v="11"/>
    <b v="0"/>
    <x v="1"/>
    <x v="0"/>
    <n v="0.24"/>
    <n v="0.2273"/>
    <n v="0.44"/>
    <n v="0.25369999999999998"/>
    <n v="23"/>
    <n v="70"/>
    <n v="93"/>
    <s v="Weekday"/>
  </r>
  <r>
    <n v="361"/>
    <d v="2011-01-16T00:00:00"/>
    <x v="0"/>
    <n v="0"/>
    <x v="0"/>
    <x v="12"/>
    <b v="0"/>
    <x v="1"/>
    <x v="0"/>
    <n v="0.24"/>
    <n v="0.21210000000000001"/>
    <n v="0.41"/>
    <n v="0.28360000000000002"/>
    <n v="29"/>
    <n v="75"/>
    <n v="104"/>
    <s v="Weekday"/>
  </r>
  <r>
    <n v="362"/>
    <d v="2011-01-16T00:00:00"/>
    <x v="0"/>
    <n v="0"/>
    <x v="0"/>
    <x v="13"/>
    <b v="0"/>
    <x v="1"/>
    <x v="0"/>
    <n v="0.26"/>
    <n v="0.2273"/>
    <n v="0.35"/>
    <n v="0.29849999999999999"/>
    <n v="23"/>
    <n v="95"/>
    <n v="118"/>
    <s v="Weekday"/>
  </r>
  <r>
    <n v="363"/>
    <d v="2011-01-16T00:00:00"/>
    <x v="0"/>
    <n v="0"/>
    <x v="0"/>
    <x v="14"/>
    <b v="0"/>
    <x v="1"/>
    <x v="0"/>
    <n v="0.28000000000000003"/>
    <n v="0.2727"/>
    <n v="0.36"/>
    <n v="0.25369999999999998"/>
    <n v="22"/>
    <n v="69"/>
    <n v="91"/>
    <s v="Weekday"/>
  </r>
  <r>
    <n v="364"/>
    <d v="2011-01-16T00:00:00"/>
    <x v="0"/>
    <n v="0"/>
    <x v="0"/>
    <x v="15"/>
    <b v="0"/>
    <x v="1"/>
    <x v="0"/>
    <n v="0.26"/>
    <n v="0.2424"/>
    <n v="0.38"/>
    <n v="0.25369999999999998"/>
    <n v="35"/>
    <n v="78"/>
    <n v="113"/>
    <s v="Weekday"/>
  </r>
  <r>
    <n v="365"/>
    <d v="2011-01-16T00:00:00"/>
    <x v="0"/>
    <n v="0"/>
    <x v="0"/>
    <x v="16"/>
    <b v="0"/>
    <x v="1"/>
    <x v="0"/>
    <n v="0.24"/>
    <n v="0.2273"/>
    <n v="0.38"/>
    <n v="0.22389999999999999"/>
    <n v="22"/>
    <n v="77"/>
    <n v="99"/>
    <s v="Weekday"/>
  </r>
  <r>
    <n v="366"/>
    <d v="2011-01-16T00:00:00"/>
    <x v="0"/>
    <n v="0"/>
    <x v="0"/>
    <x v="17"/>
    <b v="0"/>
    <x v="1"/>
    <x v="0"/>
    <n v="0.22"/>
    <n v="0.21210000000000001"/>
    <n v="0.37"/>
    <n v="0.25369999999999998"/>
    <n v="23"/>
    <n v="82"/>
    <n v="105"/>
    <s v="Weekday"/>
  </r>
  <r>
    <n v="367"/>
    <d v="2011-01-16T00:00:00"/>
    <x v="0"/>
    <n v="0"/>
    <x v="0"/>
    <x v="18"/>
    <b v="0"/>
    <x v="1"/>
    <x v="0"/>
    <n v="0.2"/>
    <n v="0.21210000000000001"/>
    <n v="0.4"/>
    <n v="0.16420000000000001"/>
    <n v="11"/>
    <n v="56"/>
    <n v="67"/>
    <s v="Weekday"/>
  </r>
  <r>
    <n v="368"/>
    <d v="2011-01-16T00:00:00"/>
    <x v="0"/>
    <n v="0"/>
    <x v="0"/>
    <x v="19"/>
    <b v="0"/>
    <x v="1"/>
    <x v="0"/>
    <n v="0.18"/>
    <n v="0.19700000000000001"/>
    <n v="0.47"/>
    <n v="0.1343"/>
    <n v="14"/>
    <n v="47"/>
    <n v="61"/>
    <s v="Weekday"/>
  </r>
  <r>
    <n v="369"/>
    <d v="2011-01-16T00:00:00"/>
    <x v="0"/>
    <n v="0"/>
    <x v="0"/>
    <x v="20"/>
    <b v="0"/>
    <x v="1"/>
    <x v="0"/>
    <n v="0.18"/>
    <n v="0.19700000000000001"/>
    <n v="0.47"/>
    <n v="0.16420000000000001"/>
    <n v="7"/>
    <n v="50"/>
    <n v="57"/>
    <s v="Weekday"/>
  </r>
  <r>
    <n v="370"/>
    <d v="2011-01-16T00:00:00"/>
    <x v="0"/>
    <n v="0"/>
    <x v="0"/>
    <x v="21"/>
    <b v="0"/>
    <x v="1"/>
    <x v="0"/>
    <n v="0.18"/>
    <n v="0.19700000000000001"/>
    <n v="0.51"/>
    <n v="0.16420000000000001"/>
    <n v="6"/>
    <n v="22"/>
    <n v="28"/>
    <s v="Weekday"/>
  </r>
  <r>
    <n v="371"/>
    <d v="2011-01-16T00:00:00"/>
    <x v="0"/>
    <n v="0"/>
    <x v="0"/>
    <x v="22"/>
    <b v="0"/>
    <x v="1"/>
    <x v="1"/>
    <n v="0.2"/>
    <n v="0.21210000000000001"/>
    <n v="0.49"/>
    <n v="0.1343"/>
    <n v="2"/>
    <n v="19"/>
    <n v="21"/>
    <s v="Weekday"/>
  </r>
  <r>
    <n v="372"/>
    <d v="2011-01-16T00:00:00"/>
    <x v="0"/>
    <n v="0"/>
    <x v="0"/>
    <x v="23"/>
    <b v="0"/>
    <x v="1"/>
    <x v="1"/>
    <n v="0.2"/>
    <n v="0.2273"/>
    <n v="0.4"/>
    <n v="0.1045"/>
    <n v="0"/>
    <n v="18"/>
    <n v="18"/>
    <s v="Weekday"/>
  </r>
  <r>
    <n v="373"/>
    <d v="2011-01-17T00:00:00"/>
    <x v="0"/>
    <n v="0"/>
    <x v="0"/>
    <x v="0"/>
    <b v="1"/>
    <x v="2"/>
    <x v="1"/>
    <n v="0.2"/>
    <n v="0.19700000000000001"/>
    <n v="0.47"/>
    <n v="0.22389999999999999"/>
    <n v="1"/>
    <n v="16"/>
    <n v="17"/>
    <s v="Weekday"/>
  </r>
  <r>
    <n v="374"/>
    <d v="2011-01-17T00:00:00"/>
    <x v="0"/>
    <n v="0"/>
    <x v="0"/>
    <x v="1"/>
    <b v="1"/>
    <x v="2"/>
    <x v="1"/>
    <n v="0.2"/>
    <n v="0.19700000000000001"/>
    <n v="0.44"/>
    <n v="0.19400000000000001"/>
    <n v="1"/>
    <n v="15"/>
    <n v="16"/>
    <s v="Weekday"/>
  </r>
  <r>
    <n v="375"/>
    <d v="2011-01-17T00:00:00"/>
    <x v="0"/>
    <n v="0"/>
    <x v="0"/>
    <x v="2"/>
    <b v="1"/>
    <x v="2"/>
    <x v="1"/>
    <n v="0.18"/>
    <n v="0.16669999999999999"/>
    <n v="0.43"/>
    <n v="0.25369999999999998"/>
    <n v="0"/>
    <n v="8"/>
    <n v="8"/>
    <s v="Weekday"/>
  </r>
  <r>
    <n v="376"/>
    <d v="2011-01-17T00:00:00"/>
    <x v="0"/>
    <n v="0"/>
    <x v="0"/>
    <x v="3"/>
    <b v="1"/>
    <x v="2"/>
    <x v="1"/>
    <n v="0.18"/>
    <n v="0.18179999999999999"/>
    <n v="0.43"/>
    <n v="0.19400000000000001"/>
    <n v="0"/>
    <n v="2"/>
    <n v="2"/>
    <s v="Weekday"/>
  </r>
  <r>
    <n v="377"/>
    <d v="2011-01-17T00:00:00"/>
    <x v="0"/>
    <n v="0"/>
    <x v="0"/>
    <x v="4"/>
    <b v="1"/>
    <x v="2"/>
    <x v="1"/>
    <n v="0.18"/>
    <n v="0.19700000000000001"/>
    <n v="0.43"/>
    <n v="0.1343"/>
    <n v="1"/>
    <n v="2"/>
    <n v="3"/>
    <s v="Weekday"/>
  </r>
  <r>
    <n v="378"/>
    <d v="2011-01-17T00:00:00"/>
    <x v="0"/>
    <n v="0"/>
    <x v="0"/>
    <x v="5"/>
    <b v="1"/>
    <x v="2"/>
    <x v="1"/>
    <n v="0.18"/>
    <n v="0.19700000000000001"/>
    <n v="0.43"/>
    <n v="0.16420000000000001"/>
    <n v="0"/>
    <n v="1"/>
    <n v="1"/>
    <s v="Weekday"/>
  </r>
  <r>
    <n v="379"/>
    <d v="2011-01-17T00:00:00"/>
    <x v="0"/>
    <n v="0"/>
    <x v="0"/>
    <x v="6"/>
    <b v="1"/>
    <x v="2"/>
    <x v="1"/>
    <n v="0.18"/>
    <n v="0.18179999999999999"/>
    <n v="0.43"/>
    <n v="0.19400000000000001"/>
    <n v="0"/>
    <n v="5"/>
    <n v="5"/>
    <s v="Weekday"/>
  </r>
  <r>
    <n v="380"/>
    <d v="2011-01-17T00:00:00"/>
    <x v="0"/>
    <n v="0"/>
    <x v="0"/>
    <x v="7"/>
    <b v="1"/>
    <x v="2"/>
    <x v="1"/>
    <n v="0.16"/>
    <n v="0.18179999999999999"/>
    <n v="0.5"/>
    <n v="0.1343"/>
    <n v="4"/>
    <n v="9"/>
    <n v="13"/>
    <s v="Weekday"/>
  </r>
  <r>
    <n v="381"/>
    <d v="2011-01-17T00:00:00"/>
    <x v="0"/>
    <n v="0"/>
    <x v="0"/>
    <x v="8"/>
    <b v="1"/>
    <x v="2"/>
    <x v="1"/>
    <n v="0.16"/>
    <n v="0.1515"/>
    <n v="0.47"/>
    <n v="0.22389999999999999"/>
    <n v="3"/>
    <n v="30"/>
    <n v="33"/>
    <s v="Weekday"/>
  </r>
  <r>
    <n v="382"/>
    <d v="2011-01-17T00:00:00"/>
    <x v="0"/>
    <n v="0"/>
    <x v="0"/>
    <x v="9"/>
    <b v="1"/>
    <x v="2"/>
    <x v="1"/>
    <n v="0.16"/>
    <n v="0.1515"/>
    <n v="0.47"/>
    <n v="0.22389999999999999"/>
    <n v="8"/>
    <n v="39"/>
    <n v="47"/>
    <s v="Weekday"/>
  </r>
  <r>
    <n v="383"/>
    <d v="2011-01-17T00:00:00"/>
    <x v="0"/>
    <n v="0"/>
    <x v="0"/>
    <x v="10"/>
    <b v="1"/>
    <x v="2"/>
    <x v="1"/>
    <n v="0.16"/>
    <n v="0.1515"/>
    <n v="0.5"/>
    <n v="0.25369999999999998"/>
    <n v="7"/>
    <n v="50"/>
    <n v="57"/>
    <s v="Weekday"/>
  </r>
  <r>
    <n v="384"/>
    <d v="2011-01-17T00:00:00"/>
    <x v="0"/>
    <n v="0"/>
    <x v="0"/>
    <x v="11"/>
    <b v="1"/>
    <x v="2"/>
    <x v="1"/>
    <n v="0.16"/>
    <n v="0.1515"/>
    <n v="0.55000000000000004"/>
    <n v="0.19400000000000001"/>
    <n v="9"/>
    <n v="55"/>
    <n v="64"/>
    <s v="Weekday"/>
  </r>
  <r>
    <n v="385"/>
    <d v="2011-01-17T00:00:00"/>
    <x v="0"/>
    <n v="0"/>
    <x v="0"/>
    <x v="12"/>
    <b v="1"/>
    <x v="2"/>
    <x v="1"/>
    <n v="0.18"/>
    <n v="0.19700000000000001"/>
    <n v="0.47"/>
    <n v="0.1343"/>
    <n v="10"/>
    <n v="70"/>
    <n v="80"/>
    <s v="Weekday"/>
  </r>
  <r>
    <n v="386"/>
    <d v="2011-01-17T00:00:00"/>
    <x v="0"/>
    <n v="0"/>
    <x v="0"/>
    <x v="13"/>
    <b v="1"/>
    <x v="2"/>
    <x v="1"/>
    <n v="0.18"/>
    <n v="0.19700000000000001"/>
    <n v="0.47"/>
    <n v="0.1343"/>
    <n v="13"/>
    <n v="80"/>
    <n v="93"/>
    <s v="Weekday"/>
  </r>
  <r>
    <n v="387"/>
    <d v="2011-01-17T00:00:00"/>
    <x v="0"/>
    <n v="0"/>
    <x v="0"/>
    <x v="14"/>
    <b v="1"/>
    <x v="2"/>
    <x v="1"/>
    <n v="0.18"/>
    <n v="0.21210000000000001"/>
    <n v="0.43"/>
    <n v="0.1045"/>
    <n v="12"/>
    <n v="74"/>
    <n v="86"/>
    <s v="Weekday"/>
  </r>
  <r>
    <n v="388"/>
    <d v="2011-01-17T00:00:00"/>
    <x v="0"/>
    <n v="0"/>
    <x v="0"/>
    <x v="15"/>
    <b v="1"/>
    <x v="2"/>
    <x v="1"/>
    <n v="0.2"/>
    <n v="0.21210000000000001"/>
    <n v="0.47"/>
    <n v="0.16420000000000001"/>
    <n v="21"/>
    <n v="72"/>
    <n v="93"/>
    <s v="Weekday"/>
  </r>
  <r>
    <n v="389"/>
    <d v="2011-01-17T00:00:00"/>
    <x v="0"/>
    <n v="0"/>
    <x v="0"/>
    <x v="16"/>
    <b v="1"/>
    <x v="2"/>
    <x v="1"/>
    <n v="0.2"/>
    <n v="0.21210000000000001"/>
    <n v="0.47"/>
    <n v="0.16420000000000001"/>
    <n v="6"/>
    <n v="76"/>
    <n v="82"/>
    <s v="Weekday"/>
  </r>
  <r>
    <n v="390"/>
    <d v="2011-01-17T00:00:00"/>
    <x v="0"/>
    <n v="0"/>
    <x v="0"/>
    <x v="17"/>
    <b v="1"/>
    <x v="2"/>
    <x v="0"/>
    <n v="0.2"/>
    <n v="0.19700000000000001"/>
    <n v="0.51"/>
    <n v="0.19400000000000001"/>
    <n v="4"/>
    <n v="67"/>
    <n v="71"/>
    <s v="Weekday"/>
  </r>
  <r>
    <n v="391"/>
    <d v="2011-01-17T00:00:00"/>
    <x v="0"/>
    <n v="0"/>
    <x v="0"/>
    <x v="18"/>
    <b v="1"/>
    <x v="2"/>
    <x v="1"/>
    <n v="0.18"/>
    <n v="0.16669999999999999"/>
    <n v="0.55000000000000004"/>
    <n v="0.25369999999999998"/>
    <n v="7"/>
    <n v="85"/>
    <n v="92"/>
    <s v="Weekday"/>
  </r>
  <r>
    <n v="392"/>
    <d v="2011-01-17T00:00:00"/>
    <x v="0"/>
    <n v="0"/>
    <x v="0"/>
    <x v="19"/>
    <b v="1"/>
    <x v="2"/>
    <x v="2"/>
    <n v="0.18"/>
    <n v="0.18179999999999999"/>
    <n v="0.59"/>
    <n v="0.19400000000000001"/>
    <n v="2"/>
    <n v="58"/>
    <n v="60"/>
    <s v="Weekday"/>
  </r>
  <r>
    <n v="393"/>
    <d v="2011-01-17T00:00:00"/>
    <x v="0"/>
    <n v="0"/>
    <x v="0"/>
    <x v="20"/>
    <b v="1"/>
    <x v="2"/>
    <x v="2"/>
    <n v="0.16"/>
    <n v="0.1515"/>
    <n v="0.8"/>
    <n v="0.19400000000000001"/>
    <n v="4"/>
    <n v="29"/>
    <n v="33"/>
    <s v="Weekday"/>
  </r>
  <r>
    <n v="394"/>
    <d v="2011-01-17T00:00:00"/>
    <x v="0"/>
    <n v="0"/>
    <x v="0"/>
    <x v="21"/>
    <b v="1"/>
    <x v="2"/>
    <x v="2"/>
    <n v="0.16"/>
    <n v="0.1515"/>
    <n v="0.8"/>
    <n v="0.19400000000000001"/>
    <n v="3"/>
    <n v="24"/>
    <n v="27"/>
    <s v="Weekday"/>
  </r>
  <r>
    <n v="395"/>
    <d v="2011-01-17T00:00:00"/>
    <x v="0"/>
    <n v="0"/>
    <x v="0"/>
    <x v="22"/>
    <b v="1"/>
    <x v="2"/>
    <x v="2"/>
    <n v="0.14000000000000001"/>
    <n v="0.1212"/>
    <n v="0.93"/>
    <n v="0.25369999999999998"/>
    <n v="0"/>
    <n v="13"/>
    <n v="13"/>
    <s v="Weekday"/>
  </r>
  <r>
    <n v="396"/>
    <d v="2011-01-17T00:00:00"/>
    <x v="0"/>
    <n v="0"/>
    <x v="0"/>
    <x v="23"/>
    <b v="1"/>
    <x v="2"/>
    <x v="2"/>
    <n v="0.16"/>
    <n v="0.13639999999999999"/>
    <n v="0.86"/>
    <n v="0.28360000000000002"/>
    <n v="1"/>
    <n v="3"/>
    <n v="4"/>
    <s v="Weekday"/>
  </r>
  <r>
    <n v="397"/>
    <d v="2011-01-18T00:00:00"/>
    <x v="0"/>
    <n v="0"/>
    <x v="0"/>
    <x v="12"/>
    <b v="0"/>
    <x v="3"/>
    <x v="1"/>
    <n v="0.2"/>
    <n v="0.18179999999999999"/>
    <n v="0.86"/>
    <n v="0.32840000000000003"/>
    <n v="0"/>
    <n v="3"/>
    <n v="3"/>
    <s v="Weekday"/>
  </r>
  <r>
    <n v="398"/>
    <d v="2011-01-18T00:00:00"/>
    <x v="0"/>
    <n v="0"/>
    <x v="0"/>
    <x v="13"/>
    <b v="0"/>
    <x v="3"/>
    <x v="1"/>
    <n v="0.2"/>
    <n v="0.19700000000000001"/>
    <n v="0.86"/>
    <n v="0.22389999999999999"/>
    <n v="0"/>
    <n v="22"/>
    <n v="22"/>
    <s v="Weekday"/>
  </r>
  <r>
    <n v="399"/>
    <d v="2011-01-18T00:00:00"/>
    <x v="0"/>
    <n v="0"/>
    <x v="0"/>
    <x v="14"/>
    <b v="0"/>
    <x v="3"/>
    <x v="1"/>
    <n v="0.22"/>
    <n v="0.2273"/>
    <n v="0.8"/>
    <n v="0.16420000000000001"/>
    <n v="2"/>
    <n v="26"/>
    <n v="28"/>
    <s v="Weekday"/>
  </r>
  <r>
    <n v="400"/>
    <d v="2011-01-18T00:00:00"/>
    <x v="0"/>
    <n v="0"/>
    <x v="0"/>
    <x v="15"/>
    <b v="0"/>
    <x v="3"/>
    <x v="1"/>
    <n v="0.22"/>
    <n v="0.2273"/>
    <n v="0.87"/>
    <n v="0.16420000000000001"/>
    <n v="3"/>
    <n v="32"/>
    <n v="35"/>
    <s v="Weekday"/>
  </r>
  <r>
    <n v="401"/>
    <d v="2011-01-18T00:00:00"/>
    <x v="0"/>
    <n v="0"/>
    <x v="0"/>
    <x v="16"/>
    <b v="0"/>
    <x v="3"/>
    <x v="1"/>
    <n v="0.22"/>
    <n v="0.2273"/>
    <n v="0.87"/>
    <n v="0.19400000000000001"/>
    <n v="0"/>
    <n v="61"/>
    <n v="61"/>
    <s v="Weekday"/>
  </r>
  <r>
    <n v="402"/>
    <d v="2011-01-18T00:00:00"/>
    <x v="0"/>
    <n v="0"/>
    <x v="0"/>
    <x v="17"/>
    <b v="0"/>
    <x v="3"/>
    <x v="1"/>
    <n v="0.22"/>
    <n v="0.2273"/>
    <n v="0.82"/>
    <n v="0.19400000000000001"/>
    <n v="1"/>
    <n v="124"/>
    <n v="125"/>
    <s v="Weekday"/>
  </r>
  <r>
    <n v="403"/>
    <d v="2011-01-18T00:00:00"/>
    <x v="0"/>
    <n v="0"/>
    <x v="0"/>
    <x v="18"/>
    <b v="0"/>
    <x v="3"/>
    <x v="1"/>
    <n v="0.22"/>
    <n v="0.2273"/>
    <n v="0.8"/>
    <n v="0.16420000000000001"/>
    <n v="1"/>
    <n v="132"/>
    <n v="133"/>
    <s v="Weekday"/>
  </r>
  <r>
    <n v="404"/>
    <d v="2011-01-18T00:00:00"/>
    <x v="0"/>
    <n v="0"/>
    <x v="0"/>
    <x v="19"/>
    <b v="0"/>
    <x v="3"/>
    <x v="1"/>
    <n v="0.22"/>
    <n v="0.2273"/>
    <n v="0.8"/>
    <n v="0.1343"/>
    <n v="1"/>
    <n v="98"/>
    <n v="99"/>
    <s v="Weekday"/>
  </r>
  <r>
    <n v="405"/>
    <d v="2011-01-18T00:00:00"/>
    <x v="0"/>
    <n v="0"/>
    <x v="0"/>
    <x v="20"/>
    <b v="0"/>
    <x v="3"/>
    <x v="1"/>
    <n v="0.22"/>
    <n v="0.2727"/>
    <n v="0.87"/>
    <n v="0"/>
    <n v="0"/>
    <n v="83"/>
    <n v="83"/>
    <s v="Weekday"/>
  </r>
  <r>
    <n v="406"/>
    <d v="2011-01-18T00:00:00"/>
    <x v="0"/>
    <n v="0"/>
    <x v="0"/>
    <x v="21"/>
    <b v="0"/>
    <x v="3"/>
    <x v="1"/>
    <n v="0.22"/>
    <n v="0.2424"/>
    <n v="0.93"/>
    <n v="0.1045"/>
    <n v="0"/>
    <n v="41"/>
    <n v="41"/>
    <s v="Weekday"/>
  </r>
  <r>
    <n v="407"/>
    <d v="2011-01-18T00:00:00"/>
    <x v="0"/>
    <n v="0"/>
    <x v="0"/>
    <x v="22"/>
    <b v="0"/>
    <x v="3"/>
    <x v="1"/>
    <n v="0.22"/>
    <n v="0.2576"/>
    <n v="0.93"/>
    <n v="8.9599999999999999E-2"/>
    <n v="0"/>
    <n v="33"/>
    <n v="33"/>
    <s v="Weekday"/>
  </r>
  <r>
    <n v="408"/>
    <d v="2011-01-18T00:00:00"/>
    <x v="0"/>
    <n v="0"/>
    <x v="0"/>
    <x v="23"/>
    <b v="0"/>
    <x v="3"/>
    <x v="1"/>
    <n v="0.22"/>
    <n v="0.2727"/>
    <n v="0.93"/>
    <n v="0"/>
    <n v="1"/>
    <n v="19"/>
    <n v="20"/>
    <s v="Weekday"/>
  </r>
  <r>
    <n v="409"/>
    <d v="2011-01-19T00:00:00"/>
    <x v="0"/>
    <n v="0"/>
    <x v="0"/>
    <x v="0"/>
    <b v="0"/>
    <x v="4"/>
    <x v="1"/>
    <n v="0.22"/>
    <n v="0.2727"/>
    <n v="0.93"/>
    <n v="0"/>
    <n v="0"/>
    <n v="3"/>
    <n v="3"/>
    <s v="Weekday"/>
  </r>
  <r>
    <n v="410"/>
    <d v="2011-01-19T00:00:00"/>
    <x v="0"/>
    <n v="0"/>
    <x v="0"/>
    <x v="1"/>
    <b v="0"/>
    <x v="4"/>
    <x v="2"/>
    <n v="0.22"/>
    <n v="0.2273"/>
    <n v="0.93"/>
    <n v="0.1343"/>
    <n v="1"/>
    <n v="6"/>
    <n v="7"/>
    <s v="Weekday"/>
  </r>
  <r>
    <n v="411"/>
    <d v="2011-01-19T00:00:00"/>
    <x v="0"/>
    <n v="0"/>
    <x v="0"/>
    <x v="2"/>
    <b v="0"/>
    <x v="4"/>
    <x v="2"/>
    <n v="0.22"/>
    <n v="0.2273"/>
    <n v="0.93"/>
    <n v="0.1343"/>
    <n v="0"/>
    <n v="3"/>
    <n v="3"/>
    <s v="Weekday"/>
  </r>
  <r>
    <n v="412"/>
    <d v="2011-01-19T00:00:00"/>
    <x v="0"/>
    <n v="0"/>
    <x v="0"/>
    <x v="4"/>
    <b v="0"/>
    <x v="4"/>
    <x v="2"/>
    <n v="0.22"/>
    <n v="0.2273"/>
    <n v="0.93"/>
    <n v="0.1343"/>
    <n v="1"/>
    <n v="1"/>
    <n v="2"/>
    <s v="Weekday"/>
  </r>
  <r>
    <n v="413"/>
    <d v="2011-01-19T00:00:00"/>
    <x v="0"/>
    <n v="0"/>
    <x v="0"/>
    <x v="5"/>
    <b v="0"/>
    <x v="4"/>
    <x v="1"/>
    <n v="0.22"/>
    <n v="0.2576"/>
    <n v="0.93"/>
    <n v="8.9599999999999999E-2"/>
    <n v="0"/>
    <n v="7"/>
    <n v="7"/>
    <s v="Weekday"/>
  </r>
  <r>
    <n v="414"/>
    <d v="2011-01-19T00:00:00"/>
    <x v="0"/>
    <n v="0"/>
    <x v="0"/>
    <x v="6"/>
    <b v="0"/>
    <x v="4"/>
    <x v="1"/>
    <n v="0.22"/>
    <n v="0.2576"/>
    <n v="0.93"/>
    <n v="8.9599999999999999E-2"/>
    <n v="0"/>
    <n v="32"/>
    <n v="32"/>
    <s v="Weekday"/>
  </r>
  <r>
    <n v="415"/>
    <d v="2011-01-19T00:00:00"/>
    <x v="0"/>
    <n v="0"/>
    <x v="0"/>
    <x v="7"/>
    <b v="0"/>
    <x v="4"/>
    <x v="1"/>
    <n v="0.24"/>
    <n v="0.2576"/>
    <n v="0.92"/>
    <n v="0.1045"/>
    <n v="1"/>
    <n v="89"/>
    <n v="90"/>
    <s v="Weekday"/>
  </r>
  <r>
    <n v="416"/>
    <d v="2011-01-19T00:00:00"/>
    <x v="0"/>
    <n v="0"/>
    <x v="0"/>
    <x v="8"/>
    <b v="0"/>
    <x v="4"/>
    <x v="1"/>
    <n v="0.24"/>
    <n v="0.2576"/>
    <n v="0.93"/>
    <n v="0.1045"/>
    <n v="1"/>
    <n v="196"/>
    <n v="197"/>
    <s v="Weekday"/>
  </r>
  <r>
    <n v="417"/>
    <d v="2011-01-19T00:00:00"/>
    <x v="0"/>
    <n v="0"/>
    <x v="0"/>
    <x v="9"/>
    <b v="0"/>
    <x v="4"/>
    <x v="1"/>
    <n v="0.24"/>
    <n v="0.2576"/>
    <n v="0.93"/>
    <n v="0.1045"/>
    <n v="2"/>
    <n v="107"/>
    <n v="109"/>
    <s v="Weekday"/>
  </r>
  <r>
    <n v="418"/>
    <d v="2011-01-19T00:00:00"/>
    <x v="0"/>
    <n v="0"/>
    <x v="0"/>
    <x v="10"/>
    <b v="0"/>
    <x v="4"/>
    <x v="1"/>
    <n v="0.26"/>
    <n v="0.2727"/>
    <n v="0.93"/>
    <n v="0.1343"/>
    <n v="1"/>
    <n v="46"/>
    <n v="47"/>
    <s v="Weekday"/>
  </r>
  <r>
    <n v="419"/>
    <d v="2011-01-19T00:00:00"/>
    <x v="0"/>
    <n v="0"/>
    <x v="0"/>
    <x v="11"/>
    <b v="0"/>
    <x v="4"/>
    <x v="1"/>
    <n v="0.28000000000000003"/>
    <n v="0.30299999999999999"/>
    <n v="0.87"/>
    <n v="8.9599999999999999E-2"/>
    <n v="5"/>
    <n v="47"/>
    <n v="52"/>
    <s v="Weekday"/>
  </r>
  <r>
    <n v="420"/>
    <d v="2011-01-19T00:00:00"/>
    <x v="0"/>
    <n v="0"/>
    <x v="0"/>
    <x v="12"/>
    <b v="0"/>
    <x v="4"/>
    <x v="1"/>
    <n v="0.3"/>
    <n v="0.31819999999999998"/>
    <n v="0.81"/>
    <n v="8.9599999999999999E-2"/>
    <n v="5"/>
    <n v="65"/>
    <n v="70"/>
    <s v="Weekday"/>
  </r>
  <r>
    <n v="421"/>
    <d v="2011-01-19T00:00:00"/>
    <x v="0"/>
    <n v="0"/>
    <x v="0"/>
    <x v="13"/>
    <b v="0"/>
    <x v="4"/>
    <x v="0"/>
    <n v="0.4"/>
    <n v="0.40910000000000002"/>
    <n v="0.62"/>
    <n v="0.28360000000000002"/>
    <n v="11"/>
    <n v="67"/>
    <n v="78"/>
    <s v="Weekday"/>
  </r>
  <r>
    <n v="422"/>
    <d v="2011-01-19T00:00:00"/>
    <x v="0"/>
    <n v="0"/>
    <x v="0"/>
    <x v="14"/>
    <b v="0"/>
    <x v="4"/>
    <x v="0"/>
    <n v="0.4"/>
    <n v="0.40910000000000002"/>
    <n v="0.57999999999999996"/>
    <n v="0.25369999999999998"/>
    <n v="7"/>
    <n v="68"/>
    <n v="75"/>
    <s v="Weekday"/>
  </r>
  <r>
    <n v="423"/>
    <d v="2011-01-19T00:00:00"/>
    <x v="0"/>
    <n v="0"/>
    <x v="0"/>
    <x v="15"/>
    <b v="0"/>
    <x v="4"/>
    <x v="0"/>
    <n v="0.4"/>
    <n v="0.40910000000000002"/>
    <n v="0.54"/>
    <n v="0.28360000000000002"/>
    <n v="4"/>
    <n v="78"/>
    <n v="82"/>
    <s v="Weekday"/>
  </r>
  <r>
    <n v="424"/>
    <d v="2011-01-19T00:00:00"/>
    <x v="0"/>
    <n v="0"/>
    <x v="0"/>
    <x v="16"/>
    <b v="0"/>
    <x v="4"/>
    <x v="0"/>
    <n v="0.38"/>
    <n v="0.39389999999999997"/>
    <n v="0.57999999999999996"/>
    <n v="0.3881"/>
    <n v="10"/>
    <n v="94"/>
    <n v="104"/>
    <s v="Weekday"/>
  </r>
  <r>
    <n v="425"/>
    <d v="2011-01-19T00:00:00"/>
    <x v="0"/>
    <n v="0"/>
    <x v="0"/>
    <x v="17"/>
    <b v="0"/>
    <x v="4"/>
    <x v="0"/>
    <n v="0.36"/>
    <n v="0.33329999999999999"/>
    <n v="0.56999999999999995"/>
    <n v="0.32840000000000003"/>
    <n v="7"/>
    <n v="190"/>
    <n v="197"/>
    <s v="Weekday"/>
  </r>
  <r>
    <n v="426"/>
    <d v="2011-01-19T00:00:00"/>
    <x v="0"/>
    <n v="0"/>
    <x v="0"/>
    <x v="18"/>
    <b v="0"/>
    <x v="4"/>
    <x v="0"/>
    <n v="0.34"/>
    <n v="0.31819999999999998"/>
    <n v="0.61"/>
    <n v="0.28360000000000002"/>
    <n v="5"/>
    <n v="156"/>
    <n v="161"/>
    <s v="Weekday"/>
  </r>
  <r>
    <n v="427"/>
    <d v="2011-01-19T00:00:00"/>
    <x v="0"/>
    <n v="0"/>
    <x v="0"/>
    <x v="19"/>
    <b v="0"/>
    <x v="4"/>
    <x v="0"/>
    <n v="0.32"/>
    <n v="0.28789999999999999"/>
    <n v="0.56999999999999995"/>
    <n v="0.41789999999999999"/>
    <n v="4"/>
    <n v="108"/>
    <n v="112"/>
    <s v="Weekday"/>
  </r>
  <r>
    <n v="428"/>
    <d v="2011-01-19T00:00:00"/>
    <x v="0"/>
    <n v="0"/>
    <x v="0"/>
    <x v="20"/>
    <b v="0"/>
    <x v="4"/>
    <x v="0"/>
    <n v="0.32"/>
    <n v="0.30299999999999999"/>
    <n v="0.49"/>
    <n v="0.29849999999999999"/>
    <n v="2"/>
    <n v="74"/>
    <n v="76"/>
    <s v="Weekday"/>
  </r>
  <r>
    <n v="429"/>
    <d v="2011-01-19T00:00:00"/>
    <x v="0"/>
    <n v="0"/>
    <x v="0"/>
    <x v="21"/>
    <b v="0"/>
    <x v="4"/>
    <x v="0"/>
    <n v="0.32"/>
    <n v="0.28789999999999999"/>
    <n v="0.49"/>
    <n v="0.41789999999999999"/>
    <n v="4"/>
    <n v="55"/>
    <n v="59"/>
    <s v="Weekday"/>
  </r>
  <r>
    <n v="430"/>
    <d v="2011-01-19T00:00:00"/>
    <x v="0"/>
    <n v="0"/>
    <x v="0"/>
    <x v="22"/>
    <b v="0"/>
    <x v="4"/>
    <x v="0"/>
    <n v="0.3"/>
    <n v="0.30299999999999999"/>
    <n v="0.52"/>
    <n v="0.16420000000000001"/>
    <n v="6"/>
    <n v="53"/>
    <n v="59"/>
    <s v="Weekday"/>
  </r>
  <r>
    <n v="431"/>
    <d v="2011-01-19T00:00:00"/>
    <x v="0"/>
    <n v="0"/>
    <x v="0"/>
    <x v="23"/>
    <b v="0"/>
    <x v="4"/>
    <x v="0"/>
    <n v="0.3"/>
    <n v="0.2727"/>
    <n v="0.52"/>
    <n v="0.4627"/>
    <n v="1"/>
    <n v="27"/>
    <n v="28"/>
    <s v="Weekday"/>
  </r>
  <r>
    <n v="432"/>
    <d v="2011-01-20T00:00:00"/>
    <x v="0"/>
    <n v="0"/>
    <x v="0"/>
    <x v="0"/>
    <b v="0"/>
    <x v="5"/>
    <x v="0"/>
    <n v="0.26"/>
    <n v="0.2273"/>
    <n v="0.56000000000000005"/>
    <n v="0.3881"/>
    <n v="5"/>
    <n v="8"/>
    <n v="13"/>
    <s v="Weekday"/>
  </r>
  <r>
    <n v="433"/>
    <d v="2011-01-20T00:00:00"/>
    <x v="0"/>
    <n v="0"/>
    <x v="0"/>
    <x v="1"/>
    <b v="0"/>
    <x v="5"/>
    <x v="0"/>
    <n v="0.26"/>
    <n v="0.2727"/>
    <n v="0.56000000000000005"/>
    <n v="0"/>
    <n v="2"/>
    <n v="3"/>
    <n v="5"/>
    <s v="Weekday"/>
  </r>
  <r>
    <n v="434"/>
    <d v="2011-01-20T00:00:00"/>
    <x v="0"/>
    <n v="0"/>
    <x v="0"/>
    <x v="2"/>
    <b v="0"/>
    <x v="5"/>
    <x v="0"/>
    <n v="0.26"/>
    <n v="0.2727"/>
    <n v="0.56000000000000005"/>
    <n v="0"/>
    <n v="0"/>
    <n v="2"/>
    <n v="2"/>
    <s v="Weekday"/>
  </r>
  <r>
    <n v="435"/>
    <d v="2011-01-20T00:00:00"/>
    <x v="0"/>
    <n v="0"/>
    <x v="0"/>
    <x v="3"/>
    <b v="0"/>
    <x v="5"/>
    <x v="0"/>
    <n v="0.26"/>
    <n v="0.2576"/>
    <n v="0.56000000000000005"/>
    <n v="0.16420000000000001"/>
    <n v="0"/>
    <n v="1"/>
    <n v="1"/>
    <s v="Weekday"/>
  </r>
  <r>
    <n v="436"/>
    <d v="2011-01-20T00:00:00"/>
    <x v="0"/>
    <n v="0"/>
    <x v="0"/>
    <x v="4"/>
    <b v="0"/>
    <x v="5"/>
    <x v="0"/>
    <n v="0.26"/>
    <n v="0.2576"/>
    <n v="0.56000000000000005"/>
    <n v="0.16420000000000001"/>
    <n v="0"/>
    <n v="1"/>
    <n v="1"/>
    <s v="Weekday"/>
  </r>
  <r>
    <n v="437"/>
    <d v="2011-01-20T00:00:00"/>
    <x v="0"/>
    <n v="0"/>
    <x v="0"/>
    <x v="5"/>
    <b v="0"/>
    <x v="5"/>
    <x v="0"/>
    <n v="0.24"/>
    <n v="0.2273"/>
    <n v="0.6"/>
    <n v="0.22389999999999999"/>
    <n v="0"/>
    <n v="6"/>
    <n v="6"/>
    <s v="Weekday"/>
  </r>
  <r>
    <n v="438"/>
    <d v="2011-01-20T00:00:00"/>
    <x v="0"/>
    <n v="0"/>
    <x v="0"/>
    <x v="6"/>
    <b v="0"/>
    <x v="5"/>
    <x v="0"/>
    <n v="0.22"/>
    <n v="0.21210000000000001"/>
    <n v="0.6"/>
    <n v="0.22389999999999999"/>
    <n v="0"/>
    <n v="35"/>
    <n v="35"/>
    <s v="Weekday"/>
  </r>
  <r>
    <n v="439"/>
    <d v="2011-01-20T00:00:00"/>
    <x v="0"/>
    <n v="0"/>
    <x v="0"/>
    <x v="7"/>
    <b v="0"/>
    <x v="5"/>
    <x v="0"/>
    <n v="0.22"/>
    <n v="0.21210000000000001"/>
    <n v="0.55000000000000004"/>
    <n v="0.22389999999999999"/>
    <n v="1"/>
    <n v="100"/>
    <n v="101"/>
    <s v="Weekday"/>
  </r>
  <r>
    <n v="440"/>
    <d v="2011-01-20T00:00:00"/>
    <x v="0"/>
    <n v="0"/>
    <x v="0"/>
    <x v="8"/>
    <b v="0"/>
    <x v="5"/>
    <x v="0"/>
    <n v="0.22"/>
    <n v="0.21210000000000001"/>
    <n v="0.55000000000000004"/>
    <n v="0.28360000000000002"/>
    <n v="2"/>
    <n v="247"/>
    <n v="249"/>
    <s v="Weekday"/>
  </r>
  <r>
    <n v="441"/>
    <d v="2011-01-20T00:00:00"/>
    <x v="0"/>
    <n v="0"/>
    <x v="0"/>
    <x v="9"/>
    <b v="0"/>
    <x v="5"/>
    <x v="1"/>
    <n v="0.24"/>
    <n v="0.2273"/>
    <n v="0.52"/>
    <n v="0.22389999999999999"/>
    <n v="3"/>
    <n v="140"/>
    <n v="143"/>
    <s v="Weekday"/>
  </r>
  <r>
    <n v="442"/>
    <d v="2011-01-20T00:00:00"/>
    <x v="0"/>
    <n v="0"/>
    <x v="0"/>
    <x v="10"/>
    <b v="0"/>
    <x v="5"/>
    <x v="0"/>
    <n v="0.26"/>
    <n v="0.2273"/>
    <n v="0.48"/>
    <n v="0.29849999999999999"/>
    <n v="1"/>
    <n v="56"/>
    <n v="57"/>
    <s v="Weekday"/>
  </r>
  <r>
    <n v="443"/>
    <d v="2011-01-20T00:00:00"/>
    <x v="0"/>
    <n v="0"/>
    <x v="0"/>
    <x v="11"/>
    <b v="0"/>
    <x v="5"/>
    <x v="1"/>
    <n v="0.28000000000000003"/>
    <n v="0.2727"/>
    <n v="0.45"/>
    <n v="0.16420000000000001"/>
    <n v="5"/>
    <n v="63"/>
    <n v="68"/>
    <s v="Weekday"/>
  </r>
  <r>
    <n v="444"/>
    <d v="2011-01-20T00:00:00"/>
    <x v="0"/>
    <n v="0"/>
    <x v="0"/>
    <x v="12"/>
    <b v="0"/>
    <x v="5"/>
    <x v="1"/>
    <n v="0.3"/>
    <n v="0.33329999999999999"/>
    <n v="0.42"/>
    <n v="0"/>
    <n v="7"/>
    <n v="77"/>
    <n v="84"/>
    <s v="Weekday"/>
  </r>
  <r>
    <n v="445"/>
    <d v="2011-01-20T00:00:00"/>
    <x v="0"/>
    <n v="0"/>
    <x v="0"/>
    <x v="13"/>
    <b v="0"/>
    <x v="5"/>
    <x v="1"/>
    <n v="0.28000000000000003"/>
    <n v="0.28789999999999999"/>
    <n v="0.45"/>
    <n v="0.1045"/>
    <n v="12"/>
    <n v="86"/>
    <n v="98"/>
    <s v="Weekday"/>
  </r>
  <r>
    <n v="446"/>
    <d v="2011-01-20T00:00:00"/>
    <x v="0"/>
    <n v="0"/>
    <x v="0"/>
    <x v="14"/>
    <b v="0"/>
    <x v="5"/>
    <x v="1"/>
    <n v="0.3"/>
    <n v="0.30299999999999999"/>
    <n v="0.45"/>
    <n v="0.1343"/>
    <n v="6"/>
    <n v="75"/>
    <n v="81"/>
    <s v="Weekday"/>
  </r>
  <r>
    <n v="447"/>
    <d v="2011-01-20T00:00:00"/>
    <x v="0"/>
    <n v="0"/>
    <x v="0"/>
    <x v="15"/>
    <b v="0"/>
    <x v="5"/>
    <x v="1"/>
    <n v="0.32"/>
    <n v="0.31819999999999998"/>
    <n v="0.45"/>
    <n v="0.19400000000000001"/>
    <n v="8"/>
    <n v="62"/>
    <n v="70"/>
    <s v="Weekday"/>
  </r>
  <r>
    <n v="448"/>
    <d v="2011-01-20T00:00:00"/>
    <x v="0"/>
    <n v="0"/>
    <x v="0"/>
    <x v="16"/>
    <b v="0"/>
    <x v="5"/>
    <x v="1"/>
    <n v="0.3"/>
    <n v="0.30299999999999999"/>
    <n v="0.49"/>
    <n v="0.1343"/>
    <n v="8"/>
    <n v="83"/>
    <n v="91"/>
    <s v="Weekday"/>
  </r>
  <r>
    <n v="449"/>
    <d v="2011-01-20T00:00:00"/>
    <x v="0"/>
    <n v="0"/>
    <x v="0"/>
    <x v="17"/>
    <b v="0"/>
    <x v="5"/>
    <x v="1"/>
    <n v="0.3"/>
    <n v="0.31819999999999998"/>
    <n v="0.49"/>
    <n v="0.1045"/>
    <n v="8"/>
    <n v="207"/>
    <n v="215"/>
    <s v="Weekday"/>
  </r>
  <r>
    <n v="450"/>
    <d v="2011-01-20T00:00:00"/>
    <x v="0"/>
    <n v="0"/>
    <x v="0"/>
    <x v="18"/>
    <b v="0"/>
    <x v="5"/>
    <x v="1"/>
    <n v="0.26"/>
    <n v="0.2576"/>
    <n v="0.56000000000000005"/>
    <n v="0.19400000000000001"/>
    <n v="1"/>
    <n v="184"/>
    <n v="185"/>
    <s v="Weekday"/>
  </r>
  <r>
    <n v="451"/>
    <d v="2011-01-20T00:00:00"/>
    <x v="0"/>
    <n v="0"/>
    <x v="0"/>
    <x v="19"/>
    <b v="0"/>
    <x v="5"/>
    <x v="0"/>
    <n v="0.26"/>
    <n v="0.2273"/>
    <n v="0.56000000000000005"/>
    <n v="0.32840000000000003"/>
    <n v="6"/>
    <n v="146"/>
    <n v="152"/>
    <s v="Weekday"/>
  </r>
  <r>
    <n v="452"/>
    <d v="2011-01-20T00:00:00"/>
    <x v="0"/>
    <n v="0"/>
    <x v="0"/>
    <x v="20"/>
    <b v="0"/>
    <x v="5"/>
    <x v="1"/>
    <n v="0.26"/>
    <n v="0.2424"/>
    <n v="0.6"/>
    <n v="0.28360000000000002"/>
    <n v="2"/>
    <n v="124"/>
    <n v="126"/>
    <s v="Weekday"/>
  </r>
  <r>
    <n v="453"/>
    <d v="2011-01-20T00:00:00"/>
    <x v="0"/>
    <n v="0"/>
    <x v="0"/>
    <x v="21"/>
    <b v="0"/>
    <x v="5"/>
    <x v="1"/>
    <n v="0.24"/>
    <n v="0.2273"/>
    <n v="0.6"/>
    <n v="0.25369999999999998"/>
    <n v="3"/>
    <n v="54"/>
    <n v="57"/>
    <s v="Weekday"/>
  </r>
  <r>
    <n v="454"/>
    <d v="2011-01-20T00:00:00"/>
    <x v="0"/>
    <n v="0"/>
    <x v="0"/>
    <x v="22"/>
    <b v="0"/>
    <x v="5"/>
    <x v="1"/>
    <n v="0.24"/>
    <n v="0.21210000000000001"/>
    <n v="0.65"/>
    <n v="0.28360000000000002"/>
    <n v="0"/>
    <n v="56"/>
    <n v="56"/>
    <s v="Weekday"/>
  </r>
  <r>
    <n v="455"/>
    <d v="2011-01-20T00:00:00"/>
    <x v="0"/>
    <n v="0"/>
    <x v="0"/>
    <x v="23"/>
    <b v="0"/>
    <x v="5"/>
    <x v="1"/>
    <n v="0.24"/>
    <n v="0.21210000000000001"/>
    <n v="0.65"/>
    <n v="0.32840000000000003"/>
    <n v="3"/>
    <n v="28"/>
    <n v="31"/>
    <s v="Weekday"/>
  </r>
  <r>
    <n v="456"/>
    <d v="2011-01-21T00:00:00"/>
    <x v="0"/>
    <n v="0"/>
    <x v="0"/>
    <x v="0"/>
    <b v="0"/>
    <x v="6"/>
    <x v="1"/>
    <n v="0.24"/>
    <n v="0.2273"/>
    <n v="0.7"/>
    <n v="0.25369999999999998"/>
    <n v="1"/>
    <n v="20"/>
    <n v="21"/>
    <s v="Weekday"/>
  </r>
  <r>
    <n v="457"/>
    <d v="2011-01-21T00:00:00"/>
    <x v="0"/>
    <n v="0"/>
    <x v="0"/>
    <x v="1"/>
    <b v="0"/>
    <x v="6"/>
    <x v="1"/>
    <n v="0.24"/>
    <n v="0.2273"/>
    <n v="0.7"/>
    <n v="0.25369999999999998"/>
    <n v="0"/>
    <n v="6"/>
    <n v="6"/>
    <s v="Weekday"/>
  </r>
  <r>
    <n v="458"/>
    <d v="2011-01-21T00:00:00"/>
    <x v="0"/>
    <n v="0"/>
    <x v="0"/>
    <x v="2"/>
    <b v="0"/>
    <x v="6"/>
    <x v="2"/>
    <n v="0.24"/>
    <n v="0.2424"/>
    <n v="0.75"/>
    <n v="0.16420000000000001"/>
    <n v="0"/>
    <n v="2"/>
    <n v="2"/>
    <s v="Weekday"/>
  </r>
  <r>
    <n v="459"/>
    <d v="2011-01-21T00:00:00"/>
    <x v="0"/>
    <n v="0"/>
    <x v="0"/>
    <x v="3"/>
    <b v="0"/>
    <x v="6"/>
    <x v="2"/>
    <n v="0.22"/>
    <n v="0.21210000000000001"/>
    <n v="0.8"/>
    <n v="0.29849999999999999"/>
    <n v="0"/>
    <n v="1"/>
    <n v="1"/>
    <s v="Weekday"/>
  </r>
  <r>
    <n v="460"/>
    <d v="2011-01-21T00:00:00"/>
    <x v="0"/>
    <n v="0"/>
    <x v="0"/>
    <x v="4"/>
    <b v="0"/>
    <x v="6"/>
    <x v="1"/>
    <n v="0.22"/>
    <n v="0.2576"/>
    <n v="0.87"/>
    <n v="8.9599999999999999E-2"/>
    <n v="0"/>
    <n v="1"/>
    <n v="1"/>
    <s v="Weekday"/>
  </r>
  <r>
    <n v="461"/>
    <d v="2011-01-21T00:00:00"/>
    <x v="0"/>
    <n v="0"/>
    <x v="0"/>
    <x v="5"/>
    <b v="0"/>
    <x v="6"/>
    <x v="0"/>
    <n v="0.24"/>
    <n v="0.19700000000000001"/>
    <n v="0.6"/>
    <n v="0.41789999999999999"/>
    <n v="1"/>
    <n v="4"/>
    <n v="5"/>
    <s v="Weekday"/>
  </r>
  <r>
    <n v="462"/>
    <d v="2011-01-21T00:00:00"/>
    <x v="0"/>
    <n v="0"/>
    <x v="0"/>
    <x v="6"/>
    <b v="0"/>
    <x v="6"/>
    <x v="0"/>
    <n v="0.22"/>
    <n v="0.21210000000000001"/>
    <n v="0.55000000000000004"/>
    <n v="0.25369999999999998"/>
    <n v="0"/>
    <n v="27"/>
    <n v="27"/>
    <s v="Weekday"/>
  </r>
  <r>
    <n v="463"/>
    <d v="2011-01-21T00:00:00"/>
    <x v="0"/>
    <n v="0"/>
    <x v="0"/>
    <x v="7"/>
    <b v="0"/>
    <x v="6"/>
    <x v="0"/>
    <n v="0.2"/>
    <n v="0.18179999999999999"/>
    <n v="0.51"/>
    <n v="0.28360000000000002"/>
    <n v="2"/>
    <n v="66"/>
    <n v="68"/>
    <s v="Weekday"/>
  </r>
  <r>
    <n v="464"/>
    <d v="2011-01-21T00:00:00"/>
    <x v="0"/>
    <n v="0"/>
    <x v="0"/>
    <x v="8"/>
    <b v="0"/>
    <x v="6"/>
    <x v="0"/>
    <n v="0.2"/>
    <n v="0.18179999999999999"/>
    <n v="0.47"/>
    <n v="0.32840000000000003"/>
    <n v="7"/>
    <n v="210"/>
    <n v="217"/>
    <s v="Weekday"/>
  </r>
  <r>
    <n v="465"/>
    <d v="2011-01-21T00:00:00"/>
    <x v="0"/>
    <n v="0"/>
    <x v="0"/>
    <x v="9"/>
    <b v="0"/>
    <x v="6"/>
    <x v="0"/>
    <n v="0.2"/>
    <n v="0.18179999999999999"/>
    <n v="0.51"/>
    <n v="0.35820000000000002"/>
    <n v="7"/>
    <n v="159"/>
    <n v="166"/>
    <s v="Weekday"/>
  </r>
  <r>
    <n v="466"/>
    <d v="2011-01-21T00:00:00"/>
    <x v="0"/>
    <n v="0"/>
    <x v="0"/>
    <x v="10"/>
    <b v="0"/>
    <x v="6"/>
    <x v="0"/>
    <n v="0.2"/>
    <n v="0.16669999999999999"/>
    <n v="0.47"/>
    <n v="0.4627"/>
    <n v="6"/>
    <n v="57"/>
    <n v="63"/>
    <s v="Weekday"/>
  </r>
  <r>
    <n v="467"/>
    <d v="2011-01-21T00:00:00"/>
    <x v="0"/>
    <n v="0"/>
    <x v="0"/>
    <x v="11"/>
    <b v="0"/>
    <x v="6"/>
    <x v="0"/>
    <n v="0.22"/>
    <n v="0.18179999999999999"/>
    <n v="0.41"/>
    <n v="0.4627"/>
    <n v="6"/>
    <n v="53"/>
    <n v="59"/>
    <s v="Weekday"/>
  </r>
  <r>
    <n v="468"/>
    <d v="2011-01-21T00:00:00"/>
    <x v="0"/>
    <n v="0"/>
    <x v="0"/>
    <x v="12"/>
    <b v="0"/>
    <x v="6"/>
    <x v="0"/>
    <n v="0.22"/>
    <n v="0.18179999999999999"/>
    <n v="0.27"/>
    <n v="0.58209999999999995"/>
    <n v="11"/>
    <n v="67"/>
    <n v="78"/>
    <s v="Weekday"/>
  </r>
  <r>
    <n v="469"/>
    <d v="2011-01-21T00:00:00"/>
    <x v="0"/>
    <n v="0"/>
    <x v="0"/>
    <x v="13"/>
    <b v="0"/>
    <x v="6"/>
    <x v="0"/>
    <n v="0.2"/>
    <n v="0.1515"/>
    <n v="0.21"/>
    <n v="0.58209999999999995"/>
    <n v="8"/>
    <n v="65"/>
    <n v="73"/>
    <s v="Weekday"/>
  </r>
  <r>
    <n v="470"/>
    <d v="2011-01-21T00:00:00"/>
    <x v="0"/>
    <n v="0"/>
    <x v="0"/>
    <x v="14"/>
    <b v="0"/>
    <x v="6"/>
    <x v="0"/>
    <n v="0.2"/>
    <n v="0.1515"/>
    <n v="0.25"/>
    <n v="0.52239999999999998"/>
    <n v="6"/>
    <n v="56"/>
    <n v="62"/>
    <s v="Weekday"/>
  </r>
  <r>
    <n v="471"/>
    <d v="2011-01-21T00:00:00"/>
    <x v="0"/>
    <n v="0"/>
    <x v="0"/>
    <x v="15"/>
    <b v="0"/>
    <x v="6"/>
    <x v="0"/>
    <n v="0.16"/>
    <n v="0.1212"/>
    <n v="0.26"/>
    <n v="0.44779999999999998"/>
    <n v="4"/>
    <n v="61"/>
    <n v="65"/>
    <s v="Weekday"/>
  </r>
  <r>
    <n v="472"/>
    <d v="2011-01-21T00:00:00"/>
    <x v="0"/>
    <n v="0"/>
    <x v="0"/>
    <x v="16"/>
    <b v="0"/>
    <x v="6"/>
    <x v="0"/>
    <n v="0.16"/>
    <n v="0.13639999999999999"/>
    <n v="0.26"/>
    <n v="0.35820000000000002"/>
    <n v="0"/>
    <n v="97"/>
    <n v="97"/>
    <s v="Weekday"/>
  </r>
  <r>
    <n v="473"/>
    <d v="2011-01-21T00:00:00"/>
    <x v="0"/>
    <n v="0"/>
    <x v="0"/>
    <x v="17"/>
    <b v="0"/>
    <x v="6"/>
    <x v="0"/>
    <n v="0.14000000000000001"/>
    <n v="0.1212"/>
    <n v="0.28000000000000003"/>
    <n v="0.35820000000000002"/>
    <n v="10"/>
    <n v="151"/>
    <n v="161"/>
    <s v="Weekday"/>
  </r>
  <r>
    <n v="474"/>
    <d v="2011-01-21T00:00:00"/>
    <x v="0"/>
    <n v="0"/>
    <x v="0"/>
    <x v="18"/>
    <b v="0"/>
    <x v="6"/>
    <x v="0"/>
    <n v="0.12"/>
    <n v="0.1212"/>
    <n v="0.3"/>
    <n v="0.25369999999999998"/>
    <n v="1"/>
    <n v="119"/>
    <n v="120"/>
    <s v="Weekday"/>
  </r>
  <r>
    <n v="475"/>
    <d v="2011-01-21T00:00:00"/>
    <x v="0"/>
    <n v="0"/>
    <x v="0"/>
    <x v="19"/>
    <b v="0"/>
    <x v="6"/>
    <x v="0"/>
    <n v="0.12"/>
    <n v="0.1061"/>
    <n v="0.3"/>
    <n v="0.32840000000000003"/>
    <n v="3"/>
    <n v="93"/>
    <n v="96"/>
    <s v="Weekday"/>
  </r>
  <r>
    <n v="476"/>
    <d v="2011-01-21T00:00:00"/>
    <x v="0"/>
    <n v="0"/>
    <x v="0"/>
    <x v="20"/>
    <b v="0"/>
    <x v="6"/>
    <x v="0"/>
    <n v="0.1"/>
    <n v="7.5800000000000006E-2"/>
    <n v="0.33"/>
    <n v="0.41789999999999999"/>
    <n v="1"/>
    <n v="52"/>
    <n v="53"/>
    <s v="Weekday"/>
  </r>
  <r>
    <n v="477"/>
    <d v="2011-01-21T00:00:00"/>
    <x v="0"/>
    <n v="0"/>
    <x v="0"/>
    <x v="21"/>
    <b v="0"/>
    <x v="6"/>
    <x v="0"/>
    <n v="0.08"/>
    <n v="7.5800000000000006E-2"/>
    <n v="0.38"/>
    <n v="0.28360000000000002"/>
    <n v="0"/>
    <n v="41"/>
    <n v="41"/>
    <s v="Weekday"/>
  </r>
  <r>
    <n v="478"/>
    <d v="2011-01-21T00:00:00"/>
    <x v="0"/>
    <n v="0"/>
    <x v="0"/>
    <x v="22"/>
    <b v="0"/>
    <x v="6"/>
    <x v="0"/>
    <n v="0.06"/>
    <n v="3.0300000000000001E-2"/>
    <n v="0.41"/>
    <n v="0.3881"/>
    <n v="1"/>
    <n v="33"/>
    <n v="34"/>
    <s v="Weekday"/>
  </r>
  <r>
    <n v="479"/>
    <d v="2011-01-21T00:00:00"/>
    <x v="0"/>
    <n v="0"/>
    <x v="0"/>
    <x v="23"/>
    <b v="0"/>
    <x v="6"/>
    <x v="0"/>
    <n v="0.06"/>
    <n v="4.5499999999999999E-2"/>
    <n v="0.38"/>
    <n v="0.32840000000000003"/>
    <n v="0"/>
    <n v="27"/>
    <n v="27"/>
    <s v="Weekday"/>
  </r>
  <r>
    <n v="480"/>
    <d v="2011-01-22T00:00:00"/>
    <x v="0"/>
    <n v="0"/>
    <x v="0"/>
    <x v="0"/>
    <b v="0"/>
    <x v="0"/>
    <x v="0"/>
    <n v="0.04"/>
    <n v="3.0300000000000001E-2"/>
    <n v="0.45"/>
    <n v="0.25369999999999998"/>
    <n v="0"/>
    <n v="13"/>
    <n v="13"/>
    <s v="Weekend"/>
  </r>
  <r>
    <n v="481"/>
    <d v="2011-01-22T00:00:00"/>
    <x v="0"/>
    <n v="0"/>
    <x v="0"/>
    <x v="1"/>
    <b v="0"/>
    <x v="0"/>
    <x v="1"/>
    <n v="0.04"/>
    <n v="0"/>
    <n v="0.41"/>
    <n v="0.3881"/>
    <n v="3"/>
    <n v="9"/>
    <n v="12"/>
    <s v="Weekend"/>
  </r>
  <r>
    <n v="482"/>
    <d v="2011-01-22T00:00:00"/>
    <x v="0"/>
    <n v="0"/>
    <x v="0"/>
    <x v="2"/>
    <b v="0"/>
    <x v="0"/>
    <x v="1"/>
    <n v="0.04"/>
    <n v="3.0300000000000001E-2"/>
    <n v="0.41"/>
    <n v="0.25369999999999998"/>
    <n v="0"/>
    <n v="11"/>
    <n v="11"/>
    <s v="Weekend"/>
  </r>
  <r>
    <n v="483"/>
    <d v="2011-01-22T00:00:00"/>
    <x v="0"/>
    <n v="0"/>
    <x v="0"/>
    <x v="3"/>
    <b v="0"/>
    <x v="0"/>
    <x v="1"/>
    <n v="0.04"/>
    <n v="3.0300000000000001E-2"/>
    <n v="0.41"/>
    <n v="0.28360000000000002"/>
    <n v="1"/>
    <n v="6"/>
    <n v="7"/>
    <s v="Weekend"/>
  </r>
  <r>
    <n v="484"/>
    <d v="2011-01-22T00:00:00"/>
    <x v="0"/>
    <n v="0"/>
    <x v="0"/>
    <x v="4"/>
    <b v="0"/>
    <x v="0"/>
    <x v="1"/>
    <n v="0.02"/>
    <n v="1.52E-2"/>
    <n v="0.48"/>
    <n v="0.29849999999999999"/>
    <n v="0"/>
    <n v="3"/>
    <n v="3"/>
    <s v="Weekend"/>
  </r>
  <r>
    <n v="485"/>
    <d v="2011-01-22T00:00:00"/>
    <x v="0"/>
    <n v="0"/>
    <x v="0"/>
    <x v="6"/>
    <b v="0"/>
    <x v="0"/>
    <x v="1"/>
    <n v="0.02"/>
    <n v="3.0300000000000001E-2"/>
    <n v="0.44"/>
    <n v="0.22389999999999999"/>
    <n v="0"/>
    <n v="2"/>
    <n v="2"/>
    <s v="Weekend"/>
  </r>
  <r>
    <n v="486"/>
    <d v="2011-01-22T00:00:00"/>
    <x v="0"/>
    <n v="0"/>
    <x v="0"/>
    <x v="7"/>
    <b v="0"/>
    <x v="0"/>
    <x v="0"/>
    <n v="0.02"/>
    <n v="1.52E-2"/>
    <n v="0.44"/>
    <n v="0.28360000000000002"/>
    <n v="0"/>
    <n v="8"/>
    <n v="8"/>
    <s v="Weekend"/>
  </r>
  <r>
    <n v="487"/>
    <d v="2011-01-22T00:00:00"/>
    <x v="0"/>
    <n v="0"/>
    <x v="0"/>
    <x v="8"/>
    <b v="0"/>
    <x v="0"/>
    <x v="0"/>
    <n v="0.02"/>
    <n v="0"/>
    <n v="0.44"/>
    <n v="0.32840000000000003"/>
    <n v="1"/>
    <n v="26"/>
    <n v="27"/>
    <s v="Weekend"/>
  </r>
  <r>
    <n v="488"/>
    <d v="2011-01-22T00:00:00"/>
    <x v="0"/>
    <n v="0"/>
    <x v="0"/>
    <x v="9"/>
    <b v="0"/>
    <x v="0"/>
    <x v="0"/>
    <n v="0.04"/>
    <n v="3.0300000000000001E-2"/>
    <n v="0.41"/>
    <n v="0.25369999999999998"/>
    <n v="3"/>
    <n v="37"/>
    <n v="40"/>
    <s v="Weekend"/>
  </r>
  <r>
    <n v="489"/>
    <d v="2011-01-22T00:00:00"/>
    <x v="0"/>
    <n v="0"/>
    <x v="0"/>
    <x v="10"/>
    <b v="0"/>
    <x v="0"/>
    <x v="1"/>
    <n v="0.04"/>
    <n v="6.0600000000000001E-2"/>
    <n v="0.41"/>
    <n v="0.16420000000000001"/>
    <n v="3"/>
    <n v="50"/>
    <n v="53"/>
    <s v="Weekend"/>
  </r>
  <r>
    <n v="490"/>
    <d v="2011-01-22T00:00:00"/>
    <x v="0"/>
    <n v="0"/>
    <x v="0"/>
    <x v="11"/>
    <b v="0"/>
    <x v="0"/>
    <x v="1"/>
    <n v="0.06"/>
    <n v="7.5800000000000006E-2"/>
    <n v="0.38"/>
    <n v="0.1343"/>
    <n v="4"/>
    <n v="59"/>
    <n v="63"/>
    <s v="Weekend"/>
  </r>
  <r>
    <n v="491"/>
    <d v="2011-01-22T00:00:00"/>
    <x v="0"/>
    <n v="0"/>
    <x v="0"/>
    <x v="12"/>
    <b v="0"/>
    <x v="0"/>
    <x v="1"/>
    <n v="0.06"/>
    <n v="0.1061"/>
    <n v="0.38"/>
    <n v="0.1045"/>
    <n v="10"/>
    <n v="60"/>
    <n v="70"/>
    <s v="Weekend"/>
  </r>
  <r>
    <n v="492"/>
    <d v="2011-01-22T00:00:00"/>
    <x v="0"/>
    <n v="0"/>
    <x v="0"/>
    <x v="13"/>
    <b v="0"/>
    <x v="0"/>
    <x v="0"/>
    <n v="0.08"/>
    <n v="0.16669999999999999"/>
    <n v="0.35"/>
    <n v="0"/>
    <n v="12"/>
    <n v="72"/>
    <n v="84"/>
    <s v="Weekend"/>
  </r>
  <r>
    <n v="493"/>
    <d v="2011-01-22T00:00:00"/>
    <x v="0"/>
    <n v="0"/>
    <x v="0"/>
    <x v="14"/>
    <b v="0"/>
    <x v="0"/>
    <x v="0"/>
    <n v="0.1"/>
    <n v="0.13639999999999999"/>
    <n v="0.33"/>
    <n v="0.1045"/>
    <n v="11"/>
    <n v="64"/>
    <n v="75"/>
    <s v="Weekend"/>
  </r>
  <r>
    <n v="494"/>
    <d v="2011-01-22T00:00:00"/>
    <x v="0"/>
    <n v="0"/>
    <x v="0"/>
    <x v="15"/>
    <b v="0"/>
    <x v="0"/>
    <x v="0"/>
    <n v="0.12"/>
    <n v="0.1515"/>
    <n v="0.28000000000000003"/>
    <n v="0"/>
    <n v="10"/>
    <n v="93"/>
    <n v="103"/>
    <s v="Weekend"/>
  </r>
  <r>
    <n v="495"/>
    <d v="2011-01-22T00:00:00"/>
    <x v="0"/>
    <n v="0"/>
    <x v="0"/>
    <x v="16"/>
    <b v="0"/>
    <x v="0"/>
    <x v="0"/>
    <n v="0.12"/>
    <n v="0.13639999999999999"/>
    <n v="0.28000000000000003"/>
    <n v="0.19400000000000001"/>
    <n v="11"/>
    <n v="72"/>
    <n v="83"/>
    <s v="Weekend"/>
  </r>
  <r>
    <n v="496"/>
    <d v="2011-01-22T00:00:00"/>
    <x v="0"/>
    <n v="0"/>
    <x v="0"/>
    <x v="17"/>
    <b v="0"/>
    <x v="0"/>
    <x v="0"/>
    <n v="0.12"/>
    <n v="0.19700000000000001"/>
    <n v="0.28000000000000003"/>
    <n v="0"/>
    <n v="8"/>
    <n v="59"/>
    <n v="67"/>
    <s v="Weekend"/>
  </r>
  <r>
    <n v="497"/>
    <d v="2011-01-22T00:00:00"/>
    <x v="0"/>
    <n v="0"/>
    <x v="0"/>
    <x v="18"/>
    <b v="0"/>
    <x v="0"/>
    <x v="0"/>
    <n v="0.08"/>
    <n v="9.0899999999999995E-2"/>
    <n v="0.35"/>
    <n v="0.19400000000000001"/>
    <n v="0"/>
    <n v="54"/>
    <n v="54"/>
    <s v="Weekend"/>
  </r>
  <r>
    <n v="498"/>
    <d v="2011-01-22T00:00:00"/>
    <x v="0"/>
    <n v="0"/>
    <x v="0"/>
    <x v="19"/>
    <b v="0"/>
    <x v="0"/>
    <x v="0"/>
    <n v="0.08"/>
    <n v="0.1061"/>
    <n v="0.35"/>
    <n v="0.1343"/>
    <n v="6"/>
    <n v="53"/>
    <n v="59"/>
    <s v="Weekend"/>
  </r>
  <r>
    <n v="499"/>
    <d v="2011-01-22T00:00:00"/>
    <x v="0"/>
    <n v="0"/>
    <x v="0"/>
    <x v="20"/>
    <b v="0"/>
    <x v="0"/>
    <x v="0"/>
    <n v="0.06"/>
    <n v="7.5800000000000006E-2"/>
    <n v="0.45"/>
    <n v="0.16420000000000001"/>
    <n v="1"/>
    <n v="44"/>
    <n v="45"/>
    <s v="Weekend"/>
  </r>
  <r>
    <n v="500"/>
    <d v="2011-01-22T00:00:00"/>
    <x v="0"/>
    <n v="0"/>
    <x v="0"/>
    <x v="21"/>
    <b v="0"/>
    <x v="0"/>
    <x v="0"/>
    <n v="0.06"/>
    <n v="0.1061"/>
    <n v="0.41"/>
    <n v="8.9599999999999999E-2"/>
    <n v="0"/>
    <n v="39"/>
    <n v="39"/>
    <s v="Weekend"/>
  </r>
  <r>
    <n v="501"/>
    <d v="2011-01-22T00:00:00"/>
    <x v="0"/>
    <n v="0"/>
    <x v="0"/>
    <x v="22"/>
    <b v="0"/>
    <x v="0"/>
    <x v="0"/>
    <n v="0.06"/>
    <n v="0.1515"/>
    <n v="0.49"/>
    <n v="0"/>
    <n v="7"/>
    <n v="23"/>
    <n v="30"/>
    <s v="Weekend"/>
  </r>
  <r>
    <n v="502"/>
    <d v="2011-01-22T00:00:00"/>
    <x v="0"/>
    <n v="0"/>
    <x v="0"/>
    <x v="23"/>
    <b v="0"/>
    <x v="0"/>
    <x v="0"/>
    <n v="0.04"/>
    <n v="7.5800000000000006E-2"/>
    <n v="0.56999999999999995"/>
    <n v="0.1045"/>
    <n v="2"/>
    <n v="31"/>
    <n v="33"/>
    <s v="Weekend"/>
  </r>
  <r>
    <n v="503"/>
    <d v="2011-01-23T00:00:00"/>
    <x v="0"/>
    <n v="0"/>
    <x v="0"/>
    <x v="0"/>
    <b v="0"/>
    <x v="1"/>
    <x v="0"/>
    <n v="0.04"/>
    <n v="7.5800000000000006E-2"/>
    <n v="0.56999999999999995"/>
    <n v="0.1045"/>
    <n v="2"/>
    <n v="20"/>
    <n v="22"/>
    <s v="Weekday"/>
  </r>
  <r>
    <n v="504"/>
    <d v="2011-01-23T00:00:00"/>
    <x v="0"/>
    <n v="0"/>
    <x v="0"/>
    <x v="1"/>
    <b v="0"/>
    <x v="1"/>
    <x v="0"/>
    <n v="0.04"/>
    <n v="7.5800000000000006E-2"/>
    <n v="0.56999999999999995"/>
    <n v="0.1045"/>
    <n v="1"/>
    <n v="12"/>
    <n v="13"/>
    <s v="Weekday"/>
  </r>
  <r>
    <n v="505"/>
    <d v="2011-01-23T00:00:00"/>
    <x v="0"/>
    <n v="0"/>
    <x v="0"/>
    <x v="2"/>
    <b v="0"/>
    <x v="1"/>
    <x v="0"/>
    <n v="0.02"/>
    <n v="6.0600000000000001E-2"/>
    <n v="0.62"/>
    <n v="0.1343"/>
    <n v="3"/>
    <n v="15"/>
    <n v="18"/>
    <s v="Weekday"/>
  </r>
  <r>
    <n v="506"/>
    <d v="2011-01-23T00:00:00"/>
    <x v="0"/>
    <n v="0"/>
    <x v="0"/>
    <x v="3"/>
    <b v="0"/>
    <x v="1"/>
    <x v="0"/>
    <n v="0.02"/>
    <n v="6.0600000000000001E-2"/>
    <n v="0.62"/>
    <n v="0.1343"/>
    <n v="1"/>
    <n v="4"/>
    <n v="5"/>
    <s v="Weekday"/>
  </r>
  <r>
    <n v="507"/>
    <d v="2011-01-23T00:00:00"/>
    <x v="0"/>
    <n v="0"/>
    <x v="0"/>
    <x v="5"/>
    <b v="0"/>
    <x v="1"/>
    <x v="1"/>
    <n v="0.04"/>
    <n v="7.5800000000000006E-2"/>
    <n v="0.56999999999999995"/>
    <n v="0.1045"/>
    <n v="0"/>
    <n v="3"/>
    <n v="3"/>
    <s v="Weekday"/>
  </r>
  <r>
    <n v="508"/>
    <d v="2011-01-23T00:00:00"/>
    <x v="0"/>
    <n v="0"/>
    <x v="0"/>
    <x v="6"/>
    <b v="0"/>
    <x v="1"/>
    <x v="1"/>
    <n v="0.04"/>
    <n v="7.5800000000000006E-2"/>
    <n v="0.56999999999999995"/>
    <n v="0.1045"/>
    <n v="0"/>
    <n v="1"/>
    <n v="1"/>
    <s v="Weekday"/>
  </r>
  <r>
    <n v="509"/>
    <d v="2011-01-23T00:00:00"/>
    <x v="0"/>
    <n v="0"/>
    <x v="0"/>
    <x v="7"/>
    <b v="0"/>
    <x v="1"/>
    <x v="0"/>
    <n v="0.08"/>
    <n v="0.1061"/>
    <n v="0.57999999999999996"/>
    <n v="0.16420000000000001"/>
    <n v="1"/>
    <n v="1"/>
    <n v="2"/>
    <s v="Weekday"/>
  </r>
  <r>
    <n v="510"/>
    <d v="2011-01-23T00:00:00"/>
    <x v="0"/>
    <n v="0"/>
    <x v="0"/>
    <x v="8"/>
    <b v="0"/>
    <x v="1"/>
    <x v="0"/>
    <n v="0.06"/>
    <n v="7.5800000000000006E-2"/>
    <n v="0.62"/>
    <n v="0.16420000000000001"/>
    <n v="2"/>
    <n v="17"/>
    <n v="19"/>
    <s v="Weekday"/>
  </r>
  <r>
    <n v="511"/>
    <d v="2011-01-23T00:00:00"/>
    <x v="0"/>
    <n v="0"/>
    <x v="0"/>
    <x v="9"/>
    <b v="0"/>
    <x v="1"/>
    <x v="0"/>
    <n v="0.1"/>
    <n v="7.5800000000000006E-2"/>
    <n v="0.54"/>
    <n v="0.35820000000000002"/>
    <n v="3"/>
    <n v="25"/>
    <n v="28"/>
    <s v="Weekday"/>
  </r>
  <r>
    <n v="512"/>
    <d v="2011-01-23T00:00:00"/>
    <x v="0"/>
    <n v="0"/>
    <x v="0"/>
    <x v="10"/>
    <b v="0"/>
    <x v="1"/>
    <x v="0"/>
    <n v="0.14000000000000001"/>
    <n v="0.1061"/>
    <n v="0.46"/>
    <n v="0.3881"/>
    <n v="7"/>
    <n v="51"/>
    <n v="58"/>
    <s v="Weekday"/>
  </r>
  <r>
    <n v="513"/>
    <d v="2011-01-23T00:00:00"/>
    <x v="0"/>
    <n v="0"/>
    <x v="0"/>
    <x v="11"/>
    <b v="0"/>
    <x v="1"/>
    <x v="0"/>
    <n v="0.14000000000000001"/>
    <n v="0.13639999999999999"/>
    <n v="0.43"/>
    <n v="0.22389999999999999"/>
    <n v="22"/>
    <n v="77"/>
    <n v="99"/>
    <s v="Weekday"/>
  </r>
  <r>
    <n v="514"/>
    <d v="2011-01-23T00:00:00"/>
    <x v="0"/>
    <n v="0"/>
    <x v="0"/>
    <x v="12"/>
    <b v="0"/>
    <x v="1"/>
    <x v="0"/>
    <n v="0.16"/>
    <n v="0.1212"/>
    <n v="0.37"/>
    <n v="0.4627"/>
    <n v="24"/>
    <n v="92"/>
    <n v="116"/>
    <s v="Weekday"/>
  </r>
  <r>
    <n v="515"/>
    <d v="2011-01-23T00:00:00"/>
    <x v="0"/>
    <n v="0"/>
    <x v="0"/>
    <x v="13"/>
    <b v="0"/>
    <x v="1"/>
    <x v="0"/>
    <n v="0.14000000000000001"/>
    <n v="0.1061"/>
    <n v="0.33"/>
    <n v="0.3881"/>
    <n v="12"/>
    <n v="75"/>
    <n v="87"/>
    <s v="Weekday"/>
  </r>
  <r>
    <n v="516"/>
    <d v="2011-01-23T00:00:00"/>
    <x v="0"/>
    <n v="0"/>
    <x v="0"/>
    <x v="14"/>
    <b v="0"/>
    <x v="1"/>
    <x v="0"/>
    <n v="0.16"/>
    <n v="0.13639999999999999"/>
    <n v="0.28000000000000003"/>
    <n v="0.35820000000000002"/>
    <n v="17"/>
    <n v="93"/>
    <n v="110"/>
    <s v="Weekday"/>
  </r>
  <r>
    <n v="517"/>
    <d v="2011-01-23T00:00:00"/>
    <x v="0"/>
    <n v="0"/>
    <x v="0"/>
    <x v="15"/>
    <b v="0"/>
    <x v="1"/>
    <x v="0"/>
    <n v="0.16"/>
    <n v="0.13639999999999999"/>
    <n v="0.28000000000000003"/>
    <n v="0.35820000000000002"/>
    <n v="13"/>
    <n v="64"/>
    <n v="77"/>
    <s v="Weekday"/>
  </r>
  <r>
    <n v="518"/>
    <d v="2011-01-23T00:00:00"/>
    <x v="0"/>
    <n v="0"/>
    <x v="0"/>
    <x v="16"/>
    <b v="0"/>
    <x v="1"/>
    <x v="0"/>
    <n v="0.16"/>
    <n v="0.13639999999999999"/>
    <n v="0.26"/>
    <n v="0.32840000000000003"/>
    <n v="9"/>
    <n v="56"/>
    <n v="65"/>
    <s v="Weekday"/>
  </r>
  <r>
    <n v="519"/>
    <d v="2011-01-23T00:00:00"/>
    <x v="0"/>
    <n v="0"/>
    <x v="0"/>
    <x v="17"/>
    <b v="0"/>
    <x v="1"/>
    <x v="0"/>
    <n v="0.14000000000000001"/>
    <n v="0.1061"/>
    <n v="0.26"/>
    <n v="0.3881"/>
    <n v="5"/>
    <n v="50"/>
    <n v="55"/>
    <s v="Weekday"/>
  </r>
  <r>
    <n v="520"/>
    <d v="2011-01-23T00:00:00"/>
    <x v="0"/>
    <n v="0"/>
    <x v="0"/>
    <x v="18"/>
    <b v="0"/>
    <x v="1"/>
    <x v="0"/>
    <n v="0.12"/>
    <n v="0.1212"/>
    <n v="0.3"/>
    <n v="0.25369999999999998"/>
    <n v="5"/>
    <n v="44"/>
    <n v="49"/>
    <s v="Weekday"/>
  </r>
  <r>
    <n v="521"/>
    <d v="2011-01-23T00:00:00"/>
    <x v="0"/>
    <n v="0"/>
    <x v="0"/>
    <x v="19"/>
    <b v="0"/>
    <x v="1"/>
    <x v="0"/>
    <n v="0.12"/>
    <n v="0.1212"/>
    <n v="0.3"/>
    <n v="0.28360000000000002"/>
    <n v="5"/>
    <n v="45"/>
    <n v="50"/>
    <s v="Weekday"/>
  </r>
  <r>
    <n v="522"/>
    <d v="2011-01-23T00:00:00"/>
    <x v="0"/>
    <n v="0"/>
    <x v="0"/>
    <x v="20"/>
    <b v="0"/>
    <x v="1"/>
    <x v="0"/>
    <n v="0.1"/>
    <n v="0.1061"/>
    <n v="0.36"/>
    <n v="0.25369999999999998"/>
    <n v="4"/>
    <n v="31"/>
    <n v="35"/>
    <s v="Weekday"/>
  </r>
  <r>
    <n v="523"/>
    <d v="2011-01-23T00:00:00"/>
    <x v="0"/>
    <n v="0"/>
    <x v="0"/>
    <x v="21"/>
    <b v="0"/>
    <x v="1"/>
    <x v="0"/>
    <n v="0.1"/>
    <n v="0.1061"/>
    <n v="0.36"/>
    <n v="0.19400000000000001"/>
    <n v="5"/>
    <n v="20"/>
    <n v="25"/>
    <s v="Weekday"/>
  </r>
  <r>
    <n v="524"/>
    <d v="2011-01-23T00:00:00"/>
    <x v="0"/>
    <n v="0"/>
    <x v="0"/>
    <x v="22"/>
    <b v="0"/>
    <x v="1"/>
    <x v="0"/>
    <n v="0.08"/>
    <n v="9.0899999999999995E-2"/>
    <n v="0.38"/>
    <n v="0.19400000000000001"/>
    <n v="5"/>
    <n v="23"/>
    <n v="28"/>
    <s v="Weekday"/>
  </r>
  <r>
    <n v="525"/>
    <d v="2011-01-23T00:00:00"/>
    <x v="0"/>
    <n v="0"/>
    <x v="0"/>
    <x v="23"/>
    <b v="0"/>
    <x v="1"/>
    <x v="0"/>
    <n v="0.06"/>
    <n v="6.0600000000000001E-2"/>
    <n v="0.41"/>
    <n v="0.22389999999999999"/>
    <n v="4"/>
    <n v="17"/>
    <n v="21"/>
    <s v="Weekday"/>
  </r>
  <r>
    <n v="526"/>
    <d v="2011-01-24T00:00:00"/>
    <x v="0"/>
    <n v="0"/>
    <x v="0"/>
    <x v="0"/>
    <b v="0"/>
    <x v="2"/>
    <x v="0"/>
    <n v="0.06"/>
    <n v="6.0600000000000001E-2"/>
    <n v="0.41"/>
    <n v="0.19400000000000001"/>
    <n v="0"/>
    <n v="7"/>
    <n v="7"/>
    <s v="Weekday"/>
  </r>
  <r>
    <n v="527"/>
    <d v="2011-01-24T00:00:00"/>
    <x v="0"/>
    <n v="0"/>
    <x v="0"/>
    <x v="1"/>
    <b v="0"/>
    <x v="2"/>
    <x v="0"/>
    <n v="0.04"/>
    <n v="4.5499999999999999E-2"/>
    <n v="0.45"/>
    <n v="0.19400000000000001"/>
    <n v="0"/>
    <n v="1"/>
    <n v="1"/>
    <s v="Weekday"/>
  </r>
  <r>
    <n v="528"/>
    <d v="2011-01-24T00:00:00"/>
    <x v="0"/>
    <n v="0"/>
    <x v="0"/>
    <x v="3"/>
    <b v="0"/>
    <x v="2"/>
    <x v="0"/>
    <n v="0.04"/>
    <n v="3.0300000000000001E-2"/>
    <n v="0.45"/>
    <n v="0.25369999999999998"/>
    <n v="0"/>
    <n v="1"/>
    <n v="1"/>
    <s v="Weekday"/>
  </r>
  <r>
    <n v="529"/>
    <d v="2011-01-24T00:00:00"/>
    <x v="0"/>
    <n v="0"/>
    <x v="0"/>
    <x v="4"/>
    <b v="0"/>
    <x v="2"/>
    <x v="0"/>
    <n v="0.02"/>
    <n v="6.0600000000000001E-2"/>
    <n v="0.48"/>
    <n v="0.1343"/>
    <n v="0"/>
    <n v="1"/>
    <n v="1"/>
    <s v="Weekday"/>
  </r>
  <r>
    <n v="530"/>
    <d v="2011-01-24T00:00:00"/>
    <x v="0"/>
    <n v="0"/>
    <x v="0"/>
    <x v="5"/>
    <b v="0"/>
    <x v="2"/>
    <x v="0"/>
    <n v="0.02"/>
    <n v="6.0600000000000001E-2"/>
    <n v="0.48"/>
    <n v="0.1343"/>
    <n v="0"/>
    <n v="5"/>
    <n v="5"/>
    <s v="Weekday"/>
  </r>
  <r>
    <n v="531"/>
    <d v="2011-01-24T00:00:00"/>
    <x v="0"/>
    <n v="0"/>
    <x v="0"/>
    <x v="6"/>
    <b v="0"/>
    <x v="2"/>
    <x v="0"/>
    <n v="0.02"/>
    <n v="7.5800000000000006E-2"/>
    <n v="0.48"/>
    <n v="8.9599999999999999E-2"/>
    <n v="0"/>
    <n v="15"/>
    <n v="15"/>
    <s v="Weekday"/>
  </r>
  <r>
    <n v="532"/>
    <d v="2011-01-24T00:00:00"/>
    <x v="0"/>
    <n v="0"/>
    <x v="0"/>
    <x v="7"/>
    <b v="0"/>
    <x v="2"/>
    <x v="0"/>
    <n v="0.02"/>
    <n v="0.1212"/>
    <n v="0.48"/>
    <n v="0"/>
    <n v="5"/>
    <n v="79"/>
    <n v="84"/>
    <s v="Weekday"/>
  </r>
  <r>
    <n v="533"/>
    <d v="2011-01-24T00:00:00"/>
    <x v="0"/>
    <n v="0"/>
    <x v="0"/>
    <x v="8"/>
    <b v="0"/>
    <x v="2"/>
    <x v="0"/>
    <n v="0.04"/>
    <n v="0.13639999999999999"/>
    <n v="0.49"/>
    <n v="0"/>
    <n v="6"/>
    <n v="171"/>
    <n v="177"/>
    <s v="Weekday"/>
  </r>
  <r>
    <n v="534"/>
    <d v="2011-01-24T00:00:00"/>
    <x v="0"/>
    <n v="0"/>
    <x v="0"/>
    <x v="9"/>
    <b v="0"/>
    <x v="2"/>
    <x v="0"/>
    <n v="0.06"/>
    <n v="0.1515"/>
    <n v="0.41"/>
    <n v="0"/>
    <n v="4"/>
    <n v="98"/>
    <n v="102"/>
    <s v="Weekday"/>
  </r>
  <r>
    <n v="535"/>
    <d v="2011-01-24T00:00:00"/>
    <x v="0"/>
    <n v="0"/>
    <x v="0"/>
    <x v="10"/>
    <b v="0"/>
    <x v="2"/>
    <x v="0"/>
    <n v="0.1"/>
    <n v="0.13639999999999999"/>
    <n v="0.42"/>
    <n v="0"/>
    <n v="6"/>
    <n v="34"/>
    <n v="40"/>
    <s v="Weekday"/>
  </r>
  <r>
    <n v="536"/>
    <d v="2011-01-24T00:00:00"/>
    <x v="0"/>
    <n v="0"/>
    <x v="0"/>
    <x v="11"/>
    <b v="0"/>
    <x v="2"/>
    <x v="0"/>
    <n v="0.1"/>
    <n v="0.1212"/>
    <n v="0.46"/>
    <n v="0.1343"/>
    <n v="3"/>
    <n v="43"/>
    <n v="46"/>
    <s v="Weekday"/>
  </r>
  <r>
    <n v="537"/>
    <d v="2011-01-24T00:00:00"/>
    <x v="0"/>
    <n v="0"/>
    <x v="0"/>
    <x v="12"/>
    <b v="0"/>
    <x v="2"/>
    <x v="1"/>
    <n v="0.12"/>
    <n v="0.13639999999999999"/>
    <n v="0.42"/>
    <n v="0.19400000000000001"/>
    <n v="11"/>
    <n v="52"/>
    <n v="63"/>
    <s v="Weekday"/>
  </r>
  <r>
    <n v="538"/>
    <d v="2011-01-24T00:00:00"/>
    <x v="0"/>
    <n v="0"/>
    <x v="0"/>
    <x v="13"/>
    <b v="0"/>
    <x v="2"/>
    <x v="1"/>
    <n v="0.14000000000000001"/>
    <n v="0.13639999999999999"/>
    <n v="0.43"/>
    <n v="0.22389999999999999"/>
    <n v="6"/>
    <n v="54"/>
    <n v="60"/>
    <s v="Weekday"/>
  </r>
  <r>
    <n v="539"/>
    <d v="2011-01-24T00:00:00"/>
    <x v="0"/>
    <n v="0"/>
    <x v="0"/>
    <x v="14"/>
    <b v="0"/>
    <x v="2"/>
    <x v="1"/>
    <n v="0.14000000000000001"/>
    <n v="0.13639999999999999"/>
    <n v="0.46"/>
    <n v="0.22389999999999999"/>
    <n v="2"/>
    <n v="43"/>
    <n v="45"/>
    <s v="Weekday"/>
  </r>
  <r>
    <n v="540"/>
    <d v="2011-01-24T00:00:00"/>
    <x v="0"/>
    <n v="0"/>
    <x v="0"/>
    <x v="15"/>
    <b v="0"/>
    <x v="2"/>
    <x v="0"/>
    <n v="0.16"/>
    <n v="0.16669999999999999"/>
    <n v="0.4"/>
    <n v="0.16420000000000001"/>
    <n v="7"/>
    <n v="50"/>
    <n v="57"/>
    <s v="Weekday"/>
  </r>
  <r>
    <n v="541"/>
    <d v="2011-01-24T00:00:00"/>
    <x v="0"/>
    <n v="0"/>
    <x v="0"/>
    <x v="16"/>
    <b v="0"/>
    <x v="2"/>
    <x v="0"/>
    <n v="0.16"/>
    <n v="0.1515"/>
    <n v="0.47"/>
    <n v="0.25369999999999998"/>
    <n v="4"/>
    <n v="66"/>
    <n v="70"/>
    <s v="Weekday"/>
  </r>
  <r>
    <n v="542"/>
    <d v="2011-01-24T00:00:00"/>
    <x v="0"/>
    <n v="0"/>
    <x v="0"/>
    <x v="17"/>
    <b v="0"/>
    <x v="2"/>
    <x v="0"/>
    <n v="0.14000000000000001"/>
    <n v="0.1212"/>
    <n v="0.5"/>
    <n v="0.25369999999999998"/>
    <n v="6"/>
    <n v="178"/>
    <n v="184"/>
    <s v="Weekday"/>
  </r>
  <r>
    <n v="543"/>
    <d v="2011-01-24T00:00:00"/>
    <x v="0"/>
    <n v="0"/>
    <x v="0"/>
    <x v="18"/>
    <b v="0"/>
    <x v="2"/>
    <x v="0"/>
    <n v="0.14000000000000001"/>
    <n v="0.13639999999999999"/>
    <n v="0.59"/>
    <n v="0.19400000000000001"/>
    <n v="8"/>
    <n v="145"/>
    <n v="153"/>
    <s v="Weekday"/>
  </r>
  <r>
    <n v="544"/>
    <d v="2011-01-24T00:00:00"/>
    <x v="0"/>
    <n v="0"/>
    <x v="0"/>
    <x v="19"/>
    <b v="0"/>
    <x v="2"/>
    <x v="0"/>
    <n v="0.14000000000000001"/>
    <n v="0.1515"/>
    <n v="0.54"/>
    <n v="0.16420000000000001"/>
    <n v="5"/>
    <n v="101"/>
    <n v="106"/>
    <s v="Weekday"/>
  </r>
  <r>
    <n v="545"/>
    <d v="2011-01-24T00:00:00"/>
    <x v="0"/>
    <n v="0"/>
    <x v="0"/>
    <x v="20"/>
    <b v="0"/>
    <x v="2"/>
    <x v="0"/>
    <n v="0.14000000000000001"/>
    <n v="0.13639999999999999"/>
    <n v="0.59"/>
    <n v="0.19400000000000001"/>
    <n v="1"/>
    <n v="80"/>
    <n v="81"/>
    <s v="Weekday"/>
  </r>
  <r>
    <n v="546"/>
    <d v="2011-01-24T00:00:00"/>
    <x v="0"/>
    <n v="0"/>
    <x v="0"/>
    <x v="21"/>
    <b v="0"/>
    <x v="2"/>
    <x v="0"/>
    <n v="0.14000000000000001"/>
    <n v="0.1515"/>
    <n v="0.63"/>
    <n v="0.16420000000000001"/>
    <n v="6"/>
    <n v="53"/>
    <n v="59"/>
    <s v="Weekday"/>
  </r>
  <r>
    <n v="547"/>
    <d v="2011-01-24T00:00:00"/>
    <x v="0"/>
    <n v="0"/>
    <x v="0"/>
    <x v="22"/>
    <b v="0"/>
    <x v="2"/>
    <x v="1"/>
    <n v="0.14000000000000001"/>
    <n v="0.13639999999999999"/>
    <n v="0.63"/>
    <n v="0.22389999999999999"/>
    <n v="3"/>
    <n v="32"/>
    <n v="35"/>
    <s v="Weekday"/>
  </r>
  <r>
    <n v="548"/>
    <d v="2011-01-24T00:00:00"/>
    <x v="0"/>
    <n v="0"/>
    <x v="0"/>
    <x v="23"/>
    <b v="0"/>
    <x v="2"/>
    <x v="1"/>
    <n v="0.16"/>
    <n v="0.1515"/>
    <n v="0.64"/>
    <n v="0.25369999999999998"/>
    <n v="3"/>
    <n v="21"/>
    <n v="24"/>
    <s v="Weekday"/>
  </r>
  <r>
    <n v="549"/>
    <d v="2011-01-25T00:00:00"/>
    <x v="0"/>
    <n v="0"/>
    <x v="0"/>
    <x v="0"/>
    <b v="0"/>
    <x v="3"/>
    <x v="1"/>
    <n v="0.16"/>
    <n v="0.13639999999999999"/>
    <n v="0.69"/>
    <n v="0.28360000000000002"/>
    <n v="3"/>
    <n v="6"/>
    <n v="9"/>
    <s v="Weekday"/>
  </r>
  <r>
    <n v="550"/>
    <d v="2011-01-25T00:00:00"/>
    <x v="0"/>
    <n v="0"/>
    <x v="0"/>
    <x v="1"/>
    <b v="0"/>
    <x v="3"/>
    <x v="1"/>
    <n v="0.16"/>
    <n v="0.16669999999999999"/>
    <n v="0.69"/>
    <n v="0.16420000000000001"/>
    <n v="0"/>
    <n v="5"/>
    <n v="5"/>
    <s v="Weekday"/>
  </r>
  <r>
    <n v="551"/>
    <d v="2011-01-25T00:00:00"/>
    <x v="0"/>
    <n v="0"/>
    <x v="0"/>
    <x v="2"/>
    <b v="0"/>
    <x v="3"/>
    <x v="0"/>
    <n v="0.16"/>
    <n v="0.1515"/>
    <n v="0.69"/>
    <n v="0.22389999999999999"/>
    <n v="0"/>
    <n v="2"/>
    <n v="2"/>
    <s v="Weekday"/>
  </r>
  <r>
    <n v="552"/>
    <d v="2011-01-25T00:00:00"/>
    <x v="0"/>
    <n v="0"/>
    <x v="0"/>
    <x v="4"/>
    <b v="0"/>
    <x v="3"/>
    <x v="0"/>
    <n v="0.14000000000000001"/>
    <n v="0.16669999999999999"/>
    <n v="0.74"/>
    <n v="0.1045"/>
    <n v="0"/>
    <n v="1"/>
    <n v="1"/>
    <s v="Weekday"/>
  </r>
  <r>
    <n v="553"/>
    <d v="2011-01-25T00:00:00"/>
    <x v="0"/>
    <n v="0"/>
    <x v="0"/>
    <x v="5"/>
    <b v="0"/>
    <x v="3"/>
    <x v="0"/>
    <n v="0.14000000000000001"/>
    <n v="0.13639999999999999"/>
    <n v="0.74"/>
    <n v="0.22389999999999999"/>
    <n v="0"/>
    <n v="9"/>
    <n v="9"/>
    <s v="Weekday"/>
  </r>
  <r>
    <n v="554"/>
    <d v="2011-01-25T00:00:00"/>
    <x v="0"/>
    <n v="0"/>
    <x v="0"/>
    <x v="6"/>
    <b v="0"/>
    <x v="3"/>
    <x v="0"/>
    <n v="0.16"/>
    <n v="0.18179999999999999"/>
    <n v="0.74"/>
    <n v="0.1045"/>
    <n v="1"/>
    <n v="35"/>
    <n v="36"/>
    <s v="Weekday"/>
  </r>
  <r>
    <n v="555"/>
    <d v="2011-01-25T00:00:00"/>
    <x v="0"/>
    <n v="0"/>
    <x v="0"/>
    <x v="7"/>
    <b v="0"/>
    <x v="3"/>
    <x v="0"/>
    <n v="0.16"/>
    <n v="0.1515"/>
    <n v="0.74"/>
    <n v="0.22389999999999999"/>
    <n v="5"/>
    <n v="103"/>
    <n v="108"/>
    <s v="Weekday"/>
  </r>
  <r>
    <n v="556"/>
    <d v="2011-01-25T00:00:00"/>
    <x v="0"/>
    <n v="0"/>
    <x v="0"/>
    <x v="8"/>
    <b v="0"/>
    <x v="3"/>
    <x v="1"/>
    <n v="0.16"/>
    <n v="0.18179999999999999"/>
    <n v="0.74"/>
    <n v="0.1343"/>
    <n v="5"/>
    <n v="233"/>
    <n v="238"/>
    <s v="Weekday"/>
  </r>
  <r>
    <n v="557"/>
    <d v="2011-01-25T00:00:00"/>
    <x v="0"/>
    <n v="0"/>
    <x v="0"/>
    <x v="9"/>
    <b v="0"/>
    <x v="3"/>
    <x v="1"/>
    <n v="0.2"/>
    <n v="0.2273"/>
    <n v="0.64"/>
    <n v="8.9599999999999999E-2"/>
    <n v="10"/>
    <n v="134"/>
    <n v="144"/>
    <s v="Weekday"/>
  </r>
  <r>
    <n v="558"/>
    <d v="2011-01-25T00:00:00"/>
    <x v="0"/>
    <n v="0"/>
    <x v="0"/>
    <x v="10"/>
    <b v="0"/>
    <x v="3"/>
    <x v="1"/>
    <n v="0.22"/>
    <n v="0.2424"/>
    <n v="0.6"/>
    <n v="0.1045"/>
    <n v="6"/>
    <n v="49"/>
    <n v="55"/>
    <s v="Weekday"/>
  </r>
  <r>
    <n v="559"/>
    <d v="2011-01-25T00:00:00"/>
    <x v="0"/>
    <n v="0"/>
    <x v="0"/>
    <x v="11"/>
    <b v="0"/>
    <x v="3"/>
    <x v="1"/>
    <n v="0.24"/>
    <n v="0.2424"/>
    <n v="0.6"/>
    <n v="0.1343"/>
    <n v="6"/>
    <n v="55"/>
    <n v="61"/>
    <s v="Weekday"/>
  </r>
  <r>
    <n v="560"/>
    <d v="2011-01-25T00:00:00"/>
    <x v="0"/>
    <n v="0"/>
    <x v="0"/>
    <x v="12"/>
    <b v="0"/>
    <x v="3"/>
    <x v="1"/>
    <n v="0.26"/>
    <n v="0.28789999999999999"/>
    <n v="0.56000000000000005"/>
    <n v="8.9599999999999999E-2"/>
    <n v="21"/>
    <n v="85"/>
    <n v="106"/>
    <s v="Weekday"/>
  </r>
  <r>
    <n v="561"/>
    <d v="2011-01-25T00:00:00"/>
    <x v="0"/>
    <n v="0"/>
    <x v="0"/>
    <x v="13"/>
    <b v="0"/>
    <x v="3"/>
    <x v="1"/>
    <n v="0.26"/>
    <n v="0.2727"/>
    <n v="0.56000000000000005"/>
    <n v="0.1343"/>
    <n v="21"/>
    <n v="72"/>
    <n v="93"/>
    <s v="Weekday"/>
  </r>
  <r>
    <n v="562"/>
    <d v="2011-01-25T00:00:00"/>
    <x v="0"/>
    <n v="0"/>
    <x v="0"/>
    <x v="14"/>
    <b v="0"/>
    <x v="3"/>
    <x v="1"/>
    <n v="0.3"/>
    <n v="0.33329999999999999"/>
    <n v="0.45"/>
    <n v="0"/>
    <n v="11"/>
    <n v="57"/>
    <n v="68"/>
    <s v="Weekday"/>
  </r>
  <r>
    <n v="563"/>
    <d v="2011-01-25T00:00:00"/>
    <x v="0"/>
    <n v="0"/>
    <x v="0"/>
    <x v="15"/>
    <b v="0"/>
    <x v="3"/>
    <x v="1"/>
    <n v="0.32"/>
    <n v="0.34849999999999998"/>
    <n v="0.42"/>
    <n v="0"/>
    <n v="21"/>
    <n v="63"/>
    <n v="84"/>
    <s v="Weekday"/>
  </r>
  <r>
    <n v="564"/>
    <d v="2011-01-25T00:00:00"/>
    <x v="0"/>
    <n v="0"/>
    <x v="0"/>
    <x v="16"/>
    <b v="0"/>
    <x v="3"/>
    <x v="1"/>
    <n v="0.32"/>
    <n v="0.34849999999999998"/>
    <n v="0.42"/>
    <n v="0"/>
    <n v="14"/>
    <n v="102"/>
    <n v="116"/>
    <s v="Weekday"/>
  </r>
  <r>
    <n v="565"/>
    <d v="2011-01-25T00:00:00"/>
    <x v="0"/>
    <n v="0"/>
    <x v="0"/>
    <x v="17"/>
    <b v="0"/>
    <x v="3"/>
    <x v="0"/>
    <n v="0.3"/>
    <n v="0.33329999999999999"/>
    <n v="0.45"/>
    <n v="0"/>
    <n v="14"/>
    <n v="208"/>
    <n v="222"/>
    <s v="Weekday"/>
  </r>
  <r>
    <n v="566"/>
    <d v="2011-01-25T00:00:00"/>
    <x v="0"/>
    <n v="0"/>
    <x v="0"/>
    <x v="18"/>
    <b v="0"/>
    <x v="3"/>
    <x v="1"/>
    <n v="0.3"/>
    <n v="0.31819999999999998"/>
    <n v="0.49"/>
    <n v="8.9599999999999999E-2"/>
    <n v="7"/>
    <n v="218"/>
    <n v="225"/>
    <s v="Weekday"/>
  </r>
  <r>
    <n v="567"/>
    <d v="2011-01-25T00:00:00"/>
    <x v="0"/>
    <n v="0"/>
    <x v="0"/>
    <x v="19"/>
    <b v="0"/>
    <x v="3"/>
    <x v="1"/>
    <n v="0.26"/>
    <n v="0.2576"/>
    <n v="0.65"/>
    <n v="0.16420000000000001"/>
    <n v="13"/>
    <n v="133"/>
    <n v="146"/>
    <s v="Weekday"/>
  </r>
  <r>
    <n v="568"/>
    <d v="2011-01-25T00:00:00"/>
    <x v="0"/>
    <n v="0"/>
    <x v="0"/>
    <x v="20"/>
    <b v="0"/>
    <x v="3"/>
    <x v="0"/>
    <n v="0.24"/>
    <n v="0.2273"/>
    <n v="0.65"/>
    <n v="0.19400000000000001"/>
    <n v="16"/>
    <n v="103"/>
    <n v="119"/>
    <s v="Weekday"/>
  </r>
  <r>
    <n v="569"/>
    <d v="2011-01-25T00:00:00"/>
    <x v="0"/>
    <n v="0"/>
    <x v="0"/>
    <x v="21"/>
    <b v="0"/>
    <x v="3"/>
    <x v="0"/>
    <n v="0.24"/>
    <n v="0.2273"/>
    <n v="0.65"/>
    <n v="0.19400000000000001"/>
    <n v="5"/>
    <n v="40"/>
    <n v="45"/>
    <s v="Weekday"/>
  </r>
  <r>
    <n v="570"/>
    <d v="2011-01-25T00:00:00"/>
    <x v="0"/>
    <n v="0"/>
    <x v="0"/>
    <x v="22"/>
    <b v="0"/>
    <x v="3"/>
    <x v="0"/>
    <n v="0.22"/>
    <n v="0.2273"/>
    <n v="0.64"/>
    <n v="0.16420000000000001"/>
    <n v="4"/>
    <n v="49"/>
    <n v="53"/>
    <s v="Weekday"/>
  </r>
  <r>
    <n v="571"/>
    <d v="2011-01-25T00:00:00"/>
    <x v="0"/>
    <n v="0"/>
    <x v="0"/>
    <x v="23"/>
    <b v="0"/>
    <x v="3"/>
    <x v="1"/>
    <n v="0.22"/>
    <n v="0.2273"/>
    <n v="0.64"/>
    <n v="0.16420000000000001"/>
    <n v="3"/>
    <n v="37"/>
    <n v="40"/>
    <s v="Weekday"/>
  </r>
  <r>
    <n v="572"/>
    <d v="2011-01-26T00:00:00"/>
    <x v="0"/>
    <n v="0"/>
    <x v="0"/>
    <x v="0"/>
    <b v="0"/>
    <x v="4"/>
    <x v="1"/>
    <n v="0.22"/>
    <n v="0.2273"/>
    <n v="0.69"/>
    <n v="0.1343"/>
    <n v="3"/>
    <n v="14"/>
    <n v="17"/>
    <s v="Weekday"/>
  </r>
  <r>
    <n v="573"/>
    <d v="2011-01-26T00:00:00"/>
    <x v="0"/>
    <n v="0"/>
    <x v="0"/>
    <x v="1"/>
    <b v="0"/>
    <x v="4"/>
    <x v="1"/>
    <n v="0.24"/>
    <n v="0.2424"/>
    <n v="0.65"/>
    <n v="0.1343"/>
    <n v="0"/>
    <n v="5"/>
    <n v="5"/>
    <s v="Weekday"/>
  </r>
  <r>
    <n v="574"/>
    <d v="2011-01-26T00:00:00"/>
    <x v="0"/>
    <n v="0"/>
    <x v="0"/>
    <x v="2"/>
    <b v="0"/>
    <x v="4"/>
    <x v="2"/>
    <n v="0.22"/>
    <n v="0.2273"/>
    <n v="0.69"/>
    <n v="0.19400000000000001"/>
    <n v="3"/>
    <n v="7"/>
    <n v="10"/>
    <s v="Weekday"/>
  </r>
  <r>
    <n v="575"/>
    <d v="2011-01-26T00:00:00"/>
    <x v="0"/>
    <n v="0"/>
    <x v="0"/>
    <x v="5"/>
    <b v="0"/>
    <x v="4"/>
    <x v="2"/>
    <n v="0.2"/>
    <n v="0.18179999999999999"/>
    <n v="0.86"/>
    <n v="0.28360000000000002"/>
    <n v="0"/>
    <n v="1"/>
    <n v="1"/>
    <s v="Weekday"/>
  </r>
  <r>
    <n v="576"/>
    <d v="2011-01-26T00:00:00"/>
    <x v="0"/>
    <n v="0"/>
    <x v="0"/>
    <x v="6"/>
    <b v="0"/>
    <x v="4"/>
    <x v="2"/>
    <n v="0.2"/>
    <n v="0.18179999999999999"/>
    <n v="0.86"/>
    <n v="0.28360000000000002"/>
    <n v="0"/>
    <n v="8"/>
    <n v="8"/>
    <s v="Weekday"/>
  </r>
  <r>
    <n v="577"/>
    <d v="2011-01-26T00:00:00"/>
    <x v="0"/>
    <n v="0"/>
    <x v="0"/>
    <x v="7"/>
    <b v="0"/>
    <x v="4"/>
    <x v="2"/>
    <n v="0.22"/>
    <n v="0.21210000000000001"/>
    <n v="0.87"/>
    <n v="0.29849999999999999"/>
    <n v="1"/>
    <n v="29"/>
    <n v="30"/>
    <s v="Weekday"/>
  </r>
  <r>
    <n v="578"/>
    <d v="2011-01-26T00:00:00"/>
    <x v="0"/>
    <n v="0"/>
    <x v="0"/>
    <x v="8"/>
    <b v="0"/>
    <x v="4"/>
    <x v="2"/>
    <n v="0.22"/>
    <n v="0.21210000000000001"/>
    <n v="0.87"/>
    <n v="0.29849999999999999"/>
    <n v="3"/>
    <n v="69"/>
    <n v="72"/>
    <s v="Weekday"/>
  </r>
  <r>
    <n v="579"/>
    <d v="2011-01-26T00:00:00"/>
    <x v="0"/>
    <n v="0"/>
    <x v="0"/>
    <x v="9"/>
    <b v="0"/>
    <x v="4"/>
    <x v="2"/>
    <n v="0.22"/>
    <n v="0.21210000000000001"/>
    <n v="0.87"/>
    <n v="0.29849999999999999"/>
    <n v="3"/>
    <n v="55"/>
    <n v="58"/>
    <s v="Weekday"/>
  </r>
  <r>
    <n v="580"/>
    <d v="2011-01-26T00:00:00"/>
    <x v="0"/>
    <n v="0"/>
    <x v="0"/>
    <x v="10"/>
    <b v="0"/>
    <x v="4"/>
    <x v="2"/>
    <n v="0.22"/>
    <n v="0.21210000000000001"/>
    <n v="0.93"/>
    <n v="0.28360000000000002"/>
    <n v="2"/>
    <n v="26"/>
    <n v="28"/>
    <s v="Weekday"/>
  </r>
  <r>
    <n v="581"/>
    <d v="2011-01-26T00:00:00"/>
    <x v="0"/>
    <n v="0"/>
    <x v="0"/>
    <x v="11"/>
    <b v="0"/>
    <x v="4"/>
    <x v="2"/>
    <n v="0.22"/>
    <n v="0.19700000000000001"/>
    <n v="0.93"/>
    <n v="0.32840000000000003"/>
    <n v="6"/>
    <n v="35"/>
    <n v="41"/>
    <s v="Weekday"/>
  </r>
  <r>
    <n v="582"/>
    <d v="2011-01-26T00:00:00"/>
    <x v="0"/>
    <n v="0"/>
    <x v="0"/>
    <x v="12"/>
    <b v="0"/>
    <x v="4"/>
    <x v="2"/>
    <n v="0.22"/>
    <n v="0.19700000000000001"/>
    <n v="0.93"/>
    <n v="0.32840000000000003"/>
    <n v="7"/>
    <n v="41"/>
    <n v="48"/>
    <s v="Weekday"/>
  </r>
  <r>
    <n v="583"/>
    <d v="2011-01-26T00:00:00"/>
    <x v="0"/>
    <n v="0"/>
    <x v="0"/>
    <x v="13"/>
    <b v="0"/>
    <x v="4"/>
    <x v="2"/>
    <n v="0.22"/>
    <n v="0.19700000000000001"/>
    <n v="0.93"/>
    <n v="0.32840000000000003"/>
    <n v="4"/>
    <n v="43"/>
    <n v="47"/>
    <s v="Weekday"/>
  </r>
  <r>
    <n v="584"/>
    <d v="2011-01-26T00:00:00"/>
    <x v="0"/>
    <n v="0"/>
    <x v="0"/>
    <x v="14"/>
    <b v="0"/>
    <x v="4"/>
    <x v="2"/>
    <n v="0.22"/>
    <n v="0.19700000000000001"/>
    <n v="0.93"/>
    <n v="0.35820000000000002"/>
    <n v="0"/>
    <n v="36"/>
    <n v="36"/>
    <s v="Weekday"/>
  </r>
  <r>
    <n v="585"/>
    <d v="2011-01-26T00:00:00"/>
    <x v="0"/>
    <n v="0"/>
    <x v="0"/>
    <x v="15"/>
    <b v="0"/>
    <x v="4"/>
    <x v="2"/>
    <n v="0.22"/>
    <n v="0.18179999999999999"/>
    <n v="0.93"/>
    <n v="0.4627"/>
    <n v="1"/>
    <n v="42"/>
    <n v="43"/>
    <s v="Weekday"/>
  </r>
  <r>
    <n v="586"/>
    <d v="2011-01-26T00:00:00"/>
    <x v="0"/>
    <n v="0"/>
    <x v="0"/>
    <x v="16"/>
    <b v="0"/>
    <x v="4"/>
    <x v="3"/>
    <n v="0.22"/>
    <n v="0.19700000000000001"/>
    <n v="0.93"/>
    <n v="0.32840000000000003"/>
    <n v="1"/>
    <n v="35"/>
    <n v="36"/>
    <s v="Weekday"/>
  </r>
  <r>
    <n v="587"/>
    <d v="2011-01-26T00:00:00"/>
    <x v="0"/>
    <n v="0"/>
    <x v="0"/>
    <x v="17"/>
    <b v="0"/>
    <x v="4"/>
    <x v="2"/>
    <n v="0.2"/>
    <n v="0.18179999999999999"/>
    <n v="0.93"/>
    <n v="0.35820000000000002"/>
    <n v="0"/>
    <n v="26"/>
    <n v="26"/>
    <s v="Weekday"/>
  </r>
  <r>
    <n v="588"/>
    <d v="2011-01-27T00:00:00"/>
    <x v="0"/>
    <n v="0"/>
    <x v="0"/>
    <x v="16"/>
    <b v="0"/>
    <x v="5"/>
    <x v="0"/>
    <n v="0.22"/>
    <n v="0.2273"/>
    <n v="0.55000000000000004"/>
    <n v="0.19400000000000001"/>
    <n v="1"/>
    <n v="23"/>
    <n v="24"/>
    <s v="Weekday"/>
  </r>
  <r>
    <n v="589"/>
    <d v="2011-01-27T00:00:00"/>
    <x v="0"/>
    <n v="0"/>
    <x v="0"/>
    <x v="17"/>
    <b v="0"/>
    <x v="5"/>
    <x v="0"/>
    <n v="0.22"/>
    <n v="0.2424"/>
    <n v="0.55000000000000004"/>
    <n v="0.1045"/>
    <n v="2"/>
    <n v="82"/>
    <n v="84"/>
    <s v="Weekday"/>
  </r>
  <r>
    <n v="590"/>
    <d v="2011-01-27T00:00:00"/>
    <x v="0"/>
    <n v="0"/>
    <x v="0"/>
    <x v="18"/>
    <b v="0"/>
    <x v="5"/>
    <x v="0"/>
    <n v="0.2"/>
    <n v="0.2273"/>
    <n v="0.69"/>
    <n v="8.9599999999999999E-2"/>
    <n v="3"/>
    <n v="101"/>
    <n v="104"/>
    <s v="Weekday"/>
  </r>
  <r>
    <n v="591"/>
    <d v="2011-01-27T00:00:00"/>
    <x v="0"/>
    <n v="0"/>
    <x v="0"/>
    <x v="19"/>
    <b v="0"/>
    <x v="5"/>
    <x v="0"/>
    <n v="0.2"/>
    <n v="0.2273"/>
    <n v="0.69"/>
    <n v="8.9599999999999999E-2"/>
    <n v="3"/>
    <n v="76"/>
    <n v="79"/>
    <s v="Weekday"/>
  </r>
  <r>
    <n v="592"/>
    <d v="2011-01-27T00:00:00"/>
    <x v="0"/>
    <n v="0"/>
    <x v="0"/>
    <x v="20"/>
    <b v="0"/>
    <x v="5"/>
    <x v="0"/>
    <n v="0.18"/>
    <n v="0.21210000000000001"/>
    <n v="0.74"/>
    <n v="8.9599999999999999E-2"/>
    <n v="4"/>
    <n v="55"/>
    <n v="59"/>
    <s v="Weekday"/>
  </r>
  <r>
    <n v="593"/>
    <d v="2011-01-27T00:00:00"/>
    <x v="0"/>
    <n v="0"/>
    <x v="0"/>
    <x v="21"/>
    <b v="0"/>
    <x v="5"/>
    <x v="0"/>
    <n v="0.18"/>
    <n v="0.21210000000000001"/>
    <n v="0.74"/>
    <n v="8.9599999999999999E-2"/>
    <n v="2"/>
    <n v="36"/>
    <n v="38"/>
    <s v="Weekday"/>
  </r>
  <r>
    <n v="594"/>
    <d v="2011-01-27T00:00:00"/>
    <x v="0"/>
    <n v="0"/>
    <x v="0"/>
    <x v="22"/>
    <b v="0"/>
    <x v="5"/>
    <x v="0"/>
    <n v="0.18"/>
    <n v="0.21210000000000001"/>
    <n v="0.74"/>
    <n v="8.9599999999999999E-2"/>
    <n v="0"/>
    <n v="27"/>
    <n v="27"/>
    <s v="Weekday"/>
  </r>
  <r>
    <n v="595"/>
    <d v="2011-01-27T00:00:00"/>
    <x v="0"/>
    <n v="0"/>
    <x v="0"/>
    <x v="23"/>
    <b v="0"/>
    <x v="5"/>
    <x v="0"/>
    <n v="0.18"/>
    <n v="0.19700000000000001"/>
    <n v="0.8"/>
    <n v="0.16420000000000001"/>
    <n v="0"/>
    <n v="16"/>
    <n v="16"/>
    <s v="Weekday"/>
  </r>
  <r>
    <n v="596"/>
    <d v="2011-01-28T00:00:00"/>
    <x v="0"/>
    <n v="0"/>
    <x v="0"/>
    <x v="0"/>
    <b v="0"/>
    <x v="6"/>
    <x v="1"/>
    <n v="0.2"/>
    <n v="0.21210000000000001"/>
    <n v="0.75"/>
    <n v="0.1343"/>
    <n v="0"/>
    <n v="9"/>
    <n v="9"/>
    <s v="Weekday"/>
  </r>
  <r>
    <n v="597"/>
    <d v="2011-01-28T00:00:00"/>
    <x v="0"/>
    <n v="0"/>
    <x v="0"/>
    <x v="1"/>
    <b v="0"/>
    <x v="6"/>
    <x v="1"/>
    <n v="0.2"/>
    <n v="0.21210000000000001"/>
    <n v="0.75"/>
    <n v="0.1343"/>
    <n v="1"/>
    <n v="2"/>
    <n v="3"/>
    <s v="Weekday"/>
  </r>
  <r>
    <n v="598"/>
    <d v="2011-01-28T00:00:00"/>
    <x v="0"/>
    <n v="0"/>
    <x v="0"/>
    <x v="2"/>
    <b v="0"/>
    <x v="6"/>
    <x v="1"/>
    <n v="0.2"/>
    <n v="0.21210000000000001"/>
    <n v="0.75"/>
    <n v="0.16420000000000001"/>
    <n v="0"/>
    <n v="2"/>
    <n v="2"/>
    <s v="Weekday"/>
  </r>
  <r>
    <n v="599"/>
    <d v="2011-01-28T00:00:00"/>
    <x v="0"/>
    <n v="0"/>
    <x v="0"/>
    <x v="3"/>
    <b v="0"/>
    <x v="6"/>
    <x v="1"/>
    <n v="0.2"/>
    <n v="0.2273"/>
    <n v="0.75"/>
    <n v="0.1045"/>
    <n v="1"/>
    <n v="0"/>
    <n v="1"/>
    <s v="Weekday"/>
  </r>
  <r>
    <n v="600"/>
    <d v="2011-01-28T00:00:00"/>
    <x v="0"/>
    <n v="0"/>
    <x v="0"/>
    <x v="5"/>
    <b v="0"/>
    <x v="6"/>
    <x v="1"/>
    <n v="0.18"/>
    <n v="0.21210000000000001"/>
    <n v="0.8"/>
    <n v="0.1045"/>
    <n v="0"/>
    <n v="4"/>
    <n v="4"/>
    <s v="Weekday"/>
  </r>
  <r>
    <n v="601"/>
    <d v="2011-01-28T00:00:00"/>
    <x v="0"/>
    <n v="0"/>
    <x v="0"/>
    <x v="6"/>
    <b v="0"/>
    <x v="6"/>
    <x v="1"/>
    <n v="0.18"/>
    <n v="0.19700000000000001"/>
    <n v="0.8"/>
    <n v="0.1343"/>
    <n v="0"/>
    <n v="16"/>
    <n v="16"/>
    <s v="Weekday"/>
  </r>
  <r>
    <n v="602"/>
    <d v="2011-01-28T00:00:00"/>
    <x v="0"/>
    <n v="0"/>
    <x v="0"/>
    <x v="7"/>
    <b v="0"/>
    <x v="6"/>
    <x v="1"/>
    <n v="0.16"/>
    <n v="0.19700000000000001"/>
    <n v="0.86"/>
    <n v="8.9599999999999999E-2"/>
    <n v="2"/>
    <n v="58"/>
    <n v="60"/>
    <s v="Weekday"/>
  </r>
  <r>
    <n v="603"/>
    <d v="2011-01-28T00:00:00"/>
    <x v="0"/>
    <n v="0"/>
    <x v="0"/>
    <x v="8"/>
    <b v="0"/>
    <x v="6"/>
    <x v="1"/>
    <n v="0.16"/>
    <n v="0.19700000000000001"/>
    <n v="0.86"/>
    <n v="8.9599999999999999E-2"/>
    <n v="2"/>
    <n v="155"/>
    <n v="157"/>
    <s v="Weekday"/>
  </r>
  <r>
    <n v="604"/>
    <d v="2011-01-28T00:00:00"/>
    <x v="0"/>
    <n v="0"/>
    <x v="0"/>
    <x v="9"/>
    <b v="0"/>
    <x v="6"/>
    <x v="2"/>
    <n v="0.18"/>
    <n v="0.21210000000000001"/>
    <n v="0.86"/>
    <n v="8.9599999999999999E-2"/>
    <n v="6"/>
    <n v="95"/>
    <n v="101"/>
    <s v="Weekday"/>
  </r>
  <r>
    <n v="605"/>
    <d v="2011-01-28T00:00:00"/>
    <x v="0"/>
    <n v="0"/>
    <x v="0"/>
    <x v="10"/>
    <b v="0"/>
    <x v="6"/>
    <x v="2"/>
    <n v="0.18"/>
    <n v="0.21210000000000001"/>
    <n v="0.86"/>
    <n v="0.1045"/>
    <n v="0"/>
    <n v="49"/>
    <n v="49"/>
    <s v="Weekday"/>
  </r>
  <r>
    <n v="606"/>
    <d v="2011-01-28T00:00:00"/>
    <x v="0"/>
    <n v="0"/>
    <x v="0"/>
    <x v="11"/>
    <b v="0"/>
    <x v="6"/>
    <x v="2"/>
    <n v="0.18"/>
    <n v="0.21210000000000001"/>
    <n v="0.93"/>
    <n v="0.1045"/>
    <n v="0"/>
    <n v="30"/>
    <n v="30"/>
    <s v="Weekday"/>
  </r>
  <r>
    <n v="607"/>
    <d v="2011-01-28T00:00:00"/>
    <x v="0"/>
    <n v="0"/>
    <x v="0"/>
    <x v="12"/>
    <b v="0"/>
    <x v="6"/>
    <x v="2"/>
    <n v="0.18"/>
    <n v="0.21210000000000001"/>
    <n v="0.93"/>
    <n v="0.1045"/>
    <n v="1"/>
    <n v="28"/>
    <n v="29"/>
    <s v="Weekday"/>
  </r>
  <r>
    <n v="608"/>
    <d v="2011-01-28T00:00:00"/>
    <x v="0"/>
    <n v="0"/>
    <x v="0"/>
    <x v="13"/>
    <b v="0"/>
    <x v="6"/>
    <x v="2"/>
    <n v="0.18"/>
    <n v="0.21210000000000001"/>
    <n v="0.93"/>
    <n v="0.1045"/>
    <n v="0"/>
    <n v="31"/>
    <n v="31"/>
    <s v="Weekday"/>
  </r>
  <r>
    <n v="609"/>
    <d v="2011-01-28T00:00:00"/>
    <x v="0"/>
    <n v="0"/>
    <x v="0"/>
    <x v="14"/>
    <b v="0"/>
    <x v="6"/>
    <x v="2"/>
    <n v="0.22"/>
    <n v="0.2727"/>
    <n v="0.8"/>
    <n v="0"/>
    <n v="2"/>
    <n v="36"/>
    <n v="38"/>
    <s v="Weekday"/>
  </r>
  <r>
    <n v="610"/>
    <d v="2011-01-28T00:00:00"/>
    <x v="0"/>
    <n v="0"/>
    <x v="0"/>
    <x v="15"/>
    <b v="0"/>
    <x v="6"/>
    <x v="1"/>
    <n v="0.2"/>
    <n v="0.2576"/>
    <n v="0.86"/>
    <n v="0"/>
    <n v="1"/>
    <n v="40"/>
    <n v="41"/>
    <s v="Weekday"/>
  </r>
  <r>
    <n v="611"/>
    <d v="2011-01-28T00:00:00"/>
    <x v="0"/>
    <n v="0"/>
    <x v="0"/>
    <x v="16"/>
    <b v="0"/>
    <x v="6"/>
    <x v="0"/>
    <n v="0.22"/>
    <n v="0.2727"/>
    <n v="0.8"/>
    <n v="0"/>
    <n v="10"/>
    <n v="70"/>
    <n v="80"/>
    <s v="Weekday"/>
  </r>
  <r>
    <n v="612"/>
    <d v="2011-01-28T00:00:00"/>
    <x v="0"/>
    <n v="0"/>
    <x v="0"/>
    <x v="17"/>
    <b v="0"/>
    <x v="6"/>
    <x v="0"/>
    <n v="0.24"/>
    <n v="0.2424"/>
    <n v="0.75"/>
    <n v="0.1343"/>
    <n v="2"/>
    <n v="147"/>
    <n v="149"/>
    <s v="Weekday"/>
  </r>
  <r>
    <n v="613"/>
    <d v="2011-01-28T00:00:00"/>
    <x v="0"/>
    <n v="0"/>
    <x v="0"/>
    <x v="18"/>
    <b v="0"/>
    <x v="6"/>
    <x v="0"/>
    <n v="0.24"/>
    <n v="0.2273"/>
    <n v="0.75"/>
    <n v="0.19400000000000001"/>
    <n v="2"/>
    <n v="107"/>
    <n v="109"/>
    <s v="Weekday"/>
  </r>
  <r>
    <n v="614"/>
    <d v="2011-01-28T00:00:00"/>
    <x v="0"/>
    <n v="0"/>
    <x v="0"/>
    <x v="19"/>
    <b v="0"/>
    <x v="6"/>
    <x v="1"/>
    <n v="0.24"/>
    <n v="0.2424"/>
    <n v="0.75"/>
    <n v="0.1343"/>
    <n v="5"/>
    <n v="84"/>
    <n v="89"/>
    <s v="Weekday"/>
  </r>
  <r>
    <n v="615"/>
    <d v="2011-01-28T00:00:00"/>
    <x v="0"/>
    <n v="0"/>
    <x v="0"/>
    <x v="20"/>
    <b v="0"/>
    <x v="6"/>
    <x v="1"/>
    <n v="0.24"/>
    <n v="0.2273"/>
    <n v="0.7"/>
    <n v="0.19400000000000001"/>
    <n v="1"/>
    <n v="61"/>
    <n v="62"/>
    <s v="Weekday"/>
  </r>
  <r>
    <n v="616"/>
    <d v="2011-01-28T00:00:00"/>
    <x v="0"/>
    <n v="0"/>
    <x v="0"/>
    <x v="21"/>
    <b v="0"/>
    <x v="6"/>
    <x v="1"/>
    <n v="0.22"/>
    <n v="0.2273"/>
    <n v="0.75"/>
    <n v="0.1343"/>
    <n v="1"/>
    <n v="57"/>
    <n v="58"/>
    <s v="Weekday"/>
  </r>
  <r>
    <n v="617"/>
    <d v="2011-01-28T00:00:00"/>
    <x v="0"/>
    <n v="0"/>
    <x v="0"/>
    <x v="22"/>
    <b v="0"/>
    <x v="6"/>
    <x v="0"/>
    <n v="0.24"/>
    <n v="0.21210000000000001"/>
    <n v="0.65"/>
    <n v="0.35820000000000002"/>
    <n v="0"/>
    <n v="26"/>
    <n v="26"/>
    <s v="Weekday"/>
  </r>
  <r>
    <n v="618"/>
    <d v="2011-01-28T00:00:00"/>
    <x v="0"/>
    <n v="0"/>
    <x v="0"/>
    <x v="23"/>
    <b v="0"/>
    <x v="6"/>
    <x v="0"/>
    <n v="0.24"/>
    <n v="0.2273"/>
    <n v="0.6"/>
    <n v="0.22389999999999999"/>
    <n v="1"/>
    <n v="22"/>
    <n v="23"/>
    <s v="Weekday"/>
  </r>
  <r>
    <n v="619"/>
    <d v="2011-01-29T00:00:00"/>
    <x v="0"/>
    <n v="0"/>
    <x v="0"/>
    <x v="0"/>
    <b v="0"/>
    <x v="0"/>
    <x v="0"/>
    <n v="0.22"/>
    <n v="0.19700000000000001"/>
    <n v="0.64"/>
    <n v="0.35820000000000002"/>
    <n v="2"/>
    <n v="26"/>
    <n v="28"/>
    <s v="Weekend"/>
  </r>
  <r>
    <n v="620"/>
    <d v="2011-01-29T00:00:00"/>
    <x v="0"/>
    <n v="0"/>
    <x v="0"/>
    <x v="1"/>
    <b v="0"/>
    <x v="0"/>
    <x v="0"/>
    <n v="0.22"/>
    <n v="0.2273"/>
    <n v="0.64"/>
    <n v="0.19400000000000001"/>
    <n v="0"/>
    <n v="20"/>
    <n v="20"/>
    <s v="Weekend"/>
  </r>
  <r>
    <n v="621"/>
    <d v="2011-01-29T00:00:00"/>
    <x v="0"/>
    <n v="0"/>
    <x v="0"/>
    <x v="2"/>
    <b v="0"/>
    <x v="0"/>
    <x v="0"/>
    <n v="0.22"/>
    <n v="0.2273"/>
    <n v="0.64"/>
    <n v="0.16420000000000001"/>
    <n v="0"/>
    <n v="15"/>
    <n v="15"/>
    <s v="Weekend"/>
  </r>
  <r>
    <n v="622"/>
    <d v="2011-01-29T00:00:00"/>
    <x v="0"/>
    <n v="0"/>
    <x v="0"/>
    <x v="3"/>
    <b v="0"/>
    <x v="0"/>
    <x v="0"/>
    <n v="0.2"/>
    <n v="0.21210000000000001"/>
    <n v="0.64"/>
    <n v="0.1343"/>
    <n v="3"/>
    <n v="5"/>
    <n v="8"/>
    <s v="Weekend"/>
  </r>
  <r>
    <n v="623"/>
    <d v="2011-01-29T00:00:00"/>
    <x v="0"/>
    <n v="0"/>
    <x v="0"/>
    <x v="4"/>
    <b v="0"/>
    <x v="0"/>
    <x v="0"/>
    <n v="0.16"/>
    <n v="0.18179999999999999"/>
    <n v="0.69"/>
    <n v="0.1045"/>
    <n v="1"/>
    <n v="2"/>
    <n v="3"/>
    <s v="Weekend"/>
  </r>
  <r>
    <n v="624"/>
    <d v="2011-01-29T00:00:00"/>
    <x v="0"/>
    <n v="0"/>
    <x v="0"/>
    <x v="6"/>
    <b v="0"/>
    <x v="0"/>
    <x v="0"/>
    <n v="0.16"/>
    <n v="0.18179999999999999"/>
    <n v="0.64"/>
    <n v="0.1343"/>
    <n v="0"/>
    <n v="2"/>
    <n v="2"/>
    <s v="Weekend"/>
  </r>
  <r>
    <n v="625"/>
    <d v="2011-01-29T00:00:00"/>
    <x v="0"/>
    <n v="0"/>
    <x v="0"/>
    <x v="7"/>
    <b v="0"/>
    <x v="0"/>
    <x v="0"/>
    <n v="0.16"/>
    <n v="0.18179999999999999"/>
    <n v="0.59"/>
    <n v="0.1045"/>
    <n v="1"/>
    <n v="4"/>
    <n v="5"/>
    <s v="Weekend"/>
  </r>
  <r>
    <n v="626"/>
    <d v="2011-01-29T00:00:00"/>
    <x v="0"/>
    <n v="0"/>
    <x v="0"/>
    <x v="8"/>
    <b v="0"/>
    <x v="0"/>
    <x v="0"/>
    <n v="0.18"/>
    <n v="0.19700000000000001"/>
    <n v="0.55000000000000004"/>
    <n v="0.16420000000000001"/>
    <n v="3"/>
    <n v="31"/>
    <n v="34"/>
    <s v="Weekend"/>
  </r>
  <r>
    <n v="627"/>
    <d v="2011-01-29T00:00:00"/>
    <x v="0"/>
    <n v="0"/>
    <x v="0"/>
    <x v="9"/>
    <b v="0"/>
    <x v="0"/>
    <x v="0"/>
    <n v="0.18"/>
    <n v="0.21210000000000001"/>
    <n v="0.59"/>
    <n v="8.9599999999999999E-2"/>
    <n v="0"/>
    <n v="34"/>
    <n v="34"/>
    <s v="Weekend"/>
  </r>
  <r>
    <n v="628"/>
    <d v="2011-01-29T00:00:00"/>
    <x v="0"/>
    <n v="0"/>
    <x v="0"/>
    <x v="10"/>
    <b v="0"/>
    <x v="0"/>
    <x v="1"/>
    <n v="0.18"/>
    <n v="0.21210000000000001"/>
    <n v="0.64"/>
    <n v="0.1045"/>
    <n v="4"/>
    <n v="51"/>
    <n v="55"/>
    <s v="Weekend"/>
  </r>
  <r>
    <n v="629"/>
    <d v="2011-01-29T00:00:00"/>
    <x v="0"/>
    <n v="0"/>
    <x v="0"/>
    <x v="11"/>
    <b v="0"/>
    <x v="0"/>
    <x v="1"/>
    <n v="0.18"/>
    <n v="0.19700000000000001"/>
    <n v="0.64"/>
    <n v="0.1343"/>
    <n v="4"/>
    <n v="60"/>
    <n v="64"/>
    <s v="Weekend"/>
  </r>
  <r>
    <n v="630"/>
    <d v="2011-01-29T00:00:00"/>
    <x v="0"/>
    <n v="0"/>
    <x v="0"/>
    <x v="12"/>
    <b v="0"/>
    <x v="0"/>
    <x v="1"/>
    <n v="0.2"/>
    <n v="0.19700000000000001"/>
    <n v="0.59"/>
    <n v="0.19400000000000001"/>
    <n v="12"/>
    <n v="66"/>
    <n v="78"/>
    <s v="Weekend"/>
  </r>
  <r>
    <n v="631"/>
    <d v="2011-01-29T00:00:00"/>
    <x v="0"/>
    <n v="0"/>
    <x v="0"/>
    <x v="13"/>
    <b v="0"/>
    <x v="0"/>
    <x v="1"/>
    <n v="0.22"/>
    <n v="0.2273"/>
    <n v="0.55000000000000004"/>
    <n v="0.16420000000000001"/>
    <n v="9"/>
    <n v="56"/>
    <n v="65"/>
    <s v="Weekend"/>
  </r>
  <r>
    <n v="632"/>
    <d v="2011-01-29T00:00:00"/>
    <x v="0"/>
    <n v="0"/>
    <x v="0"/>
    <x v="14"/>
    <b v="0"/>
    <x v="0"/>
    <x v="1"/>
    <n v="0.22"/>
    <n v="0.2273"/>
    <n v="0.6"/>
    <n v="0.1343"/>
    <n v="10"/>
    <n v="89"/>
    <n v="99"/>
    <s v="Weekend"/>
  </r>
  <r>
    <n v="633"/>
    <d v="2011-01-29T00:00:00"/>
    <x v="0"/>
    <n v="0"/>
    <x v="0"/>
    <x v="15"/>
    <b v="0"/>
    <x v="0"/>
    <x v="0"/>
    <n v="0.22"/>
    <n v="0.21210000000000001"/>
    <n v="0.69"/>
    <n v="0.25369999999999998"/>
    <n v="22"/>
    <n v="98"/>
    <n v="120"/>
    <s v="Weekend"/>
  </r>
  <r>
    <n v="634"/>
    <d v="2011-01-29T00:00:00"/>
    <x v="0"/>
    <n v="0"/>
    <x v="0"/>
    <x v="16"/>
    <b v="0"/>
    <x v="0"/>
    <x v="0"/>
    <n v="0.24"/>
    <n v="0.2424"/>
    <n v="0.6"/>
    <n v="0.16420000000000001"/>
    <n v="19"/>
    <n v="88"/>
    <n v="107"/>
    <s v="Weekend"/>
  </r>
  <r>
    <n v="635"/>
    <d v="2011-01-29T00:00:00"/>
    <x v="0"/>
    <n v="0"/>
    <x v="0"/>
    <x v="17"/>
    <b v="0"/>
    <x v="0"/>
    <x v="0"/>
    <n v="0.24"/>
    <n v="0.28789999999999999"/>
    <n v="0.6"/>
    <n v="0"/>
    <n v="9"/>
    <n v="82"/>
    <n v="91"/>
    <s v="Weekend"/>
  </r>
  <r>
    <n v="636"/>
    <d v="2011-01-29T00:00:00"/>
    <x v="0"/>
    <n v="0"/>
    <x v="0"/>
    <x v="18"/>
    <b v="0"/>
    <x v="0"/>
    <x v="0"/>
    <n v="0.22"/>
    <n v="0.2273"/>
    <n v="0.69"/>
    <n v="0.1343"/>
    <n v="9"/>
    <n v="59"/>
    <n v="68"/>
    <s v="Weekend"/>
  </r>
  <r>
    <n v="637"/>
    <d v="2011-01-29T00:00:00"/>
    <x v="0"/>
    <n v="0"/>
    <x v="0"/>
    <x v="19"/>
    <b v="0"/>
    <x v="0"/>
    <x v="1"/>
    <n v="0.22"/>
    <n v="0.21210000000000001"/>
    <n v="0.69"/>
    <n v="0.25369999999999998"/>
    <n v="6"/>
    <n v="52"/>
    <n v="58"/>
    <s v="Weekend"/>
  </r>
  <r>
    <n v="638"/>
    <d v="2011-01-29T00:00:00"/>
    <x v="0"/>
    <n v="0"/>
    <x v="0"/>
    <x v="20"/>
    <b v="0"/>
    <x v="0"/>
    <x v="0"/>
    <n v="0.18"/>
    <n v="0.21210000000000001"/>
    <n v="0.74"/>
    <n v="8.9599999999999999E-2"/>
    <n v="1"/>
    <n v="42"/>
    <n v="43"/>
    <s v="Weekend"/>
  </r>
  <r>
    <n v="639"/>
    <d v="2011-01-29T00:00:00"/>
    <x v="0"/>
    <n v="0"/>
    <x v="0"/>
    <x v="21"/>
    <b v="0"/>
    <x v="0"/>
    <x v="0"/>
    <n v="0.18"/>
    <n v="0.21210000000000001"/>
    <n v="0.74"/>
    <n v="8.9599999999999999E-2"/>
    <n v="1"/>
    <n v="35"/>
    <n v="36"/>
    <s v="Weekend"/>
  </r>
  <r>
    <n v="640"/>
    <d v="2011-01-29T00:00:00"/>
    <x v="0"/>
    <n v="0"/>
    <x v="0"/>
    <x v="22"/>
    <b v="0"/>
    <x v="0"/>
    <x v="0"/>
    <n v="0.16"/>
    <n v="0.19700000000000001"/>
    <n v="0.8"/>
    <n v="8.9599999999999999E-2"/>
    <n v="4"/>
    <n v="28"/>
    <n v="32"/>
    <s v="Weekend"/>
  </r>
  <r>
    <n v="641"/>
    <d v="2011-01-29T00:00:00"/>
    <x v="0"/>
    <n v="0"/>
    <x v="0"/>
    <x v="23"/>
    <b v="0"/>
    <x v="0"/>
    <x v="0"/>
    <n v="0.16"/>
    <n v="0.19700000000000001"/>
    <n v="0.8"/>
    <n v="8.9599999999999999E-2"/>
    <n v="3"/>
    <n v="30"/>
    <n v="33"/>
    <s v="Weekend"/>
  </r>
  <r>
    <n v="642"/>
    <d v="2011-01-30T00:00:00"/>
    <x v="0"/>
    <n v="0"/>
    <x v="0"/>
    <x v="0"/>
    <b v="0"/>
    <x v="1"/>
    <x v="0"/>
    <n v="0.16"/>
    <n v="0.18179999999999999"/>
    <n v="0.8"/>
    <n v="0.1045"/>
    <n v="0"/>
    <n v="33"/>
    <n v="33"/>
    <s v="Weekday"/>
  </r>
  <r>
    <n v="643"/>
    <d v="2011-01-30T00:00:00"/>
    <x v="0"/>
    <n v="0"/>
    <x v="0"/>
    <x v="1"/>
    <b v="0"/>
    <x v="1"/>
    <x v="0"/>
    <n v="0.14000000000000001"/>
    <n v="0.21210000000000001"/>
    <n v="0.8"/>
    <n v="0"/>
    <n v="7"/>
    <n v="22"/>
    <n v="29"/>
    <s v="Weekday"/>
  </r>
  <r>
    <n v="644"/>
    <d v="2011-01-30T00:00:00"/>
    <x v="0"/>
    <n v="0"/>
    <x v="0"/>
    <x v="2"/>
    <b v="0"/>
    <x v="1"/>
    <x v="0"/>
    <n v="0.16"/>
    <n v="0.2273"/>
    <n v="0.8"/>
    <n v="0"/>
    <n v="1"/>
    <n v="10"/>
    <n v="11"/>
    <s v="Weekday"/>
  </r>
  <r>
    <n v="645"/>
    <d v="2011-01-30T00:00:00"/>
    <x v="0"/>
    <n v="0"/>
    <x v="0"/>
    <x v="3"/>
    <b v="0"/>
    <x v="1"/>
    <x v="0"/>
    <n v="0.14000000000000001"/>
    <n v="0.21210000000000001"/>
    <n v="0.93"/>
    <n v="0"/>
    <n v="1"/>
    <n v="7"/>
    <n v="8"/>
    <s v="Weekday"/>
  </r>
  <r>
    <n v="646"/>
    <d v="2011-01-30T00:00:00"/>
    <x v="0"/>
    <n v="0"/>
    <x v="0"/>
    <x v="4"/>
    <b v="0"/>
    <x v="1"/>
    <x v="0"/>
    <n v="0.14000000000000001"/>
    <n v="0.21210000000000001"/>
    <n v="0.93"/>
    <n v="0"/>
    <n v="0"/>
    <n v="1"/>
    <n v="1"/>
    <s v="Weekday"/>
  </r>
  <r>
    <n v="647"/>
    <d v="2011-01-30T00:00:00"/>
    <x v="0"/>
    <n v="0"/>
    <x v="0"/>
    <x v="5"/>
    <b v="0"/>
    <x v="1"/>
    <x v="0"/>
    <n v="0.14000000000000001"/>
    <n v="0.21210000000000001"/>
    <n v="0.86"/>
    <n v="0"/>
    <n v="0"/>
    <n v="3"/>
    <n v="3"/>
    <s v="Weekday"/>
  </r>
  <r>
    <n v="648"/>
    <d v="2011-01-30T00:00:00"/>
    <x v="0"/>
    <n v="0"/>
    <x v="0"/>
    <x v="7"/>
    <b v="0"/>
    <x v="1"/>
    <x v="0"/>
    <n v="0.14000000000000001"/>
    <n v="0.21210000000000001"/>
    <n v="0.86"/>
    <n v="0"/>
    <n v="0"/>
    <n v="3"/>
    <n v="3"/>
    <s v="Weekday"/>
  </r>
  <r>
    <n v="649"/>
    <d v="2011-01-30T00:00:00"/>
    <x v="0"/>
    <n v="0"/>
    <x v="0"/>
    <x v="8"/>
    <b v="0"/>
    <x v="1"/>
    <x v="1"/>
    <n v="0.14000000000000001"/>
    <n v="0.21210000000000001"/>
    <n v="0.86"/>
    <n v="0"/>
    <n v="1"/>
    <n v="11"/>
    <n v="12"/>
    <s v="Weekday"/>
  </r>
  <r>
    <n v="650"/>
    <d v="2011-01-30T00:00:00"/>
    <x v="0"/>
    <n v="0"/>
    <x v="0"/>
    <x v="9"/>
    <b v="0"/>
    <x v="1"/>
    <x v="1"/>
    <n v="0.16"/>
    <n v="0.2273"/>
    <n v="0.8"/>
    <n v="0"/>
    <n v="4"/>
    <n v="34"/>
    <n v="38"/>
    <s v="Weekday"/>
  </r>
  <r>
    <n v="651"/>
    <d v="2011-01-30T00:00:00"/>
    <x v="0"/>
    <n v="0"/>
    <x v="0"/>
    <x v="10"/>
    <b v="0"/>
    <x v="1"/>
    <x v="1"/>
    <n v="0.18"/>
    <n v="0.2424"/>
    <n v="0.8"/>
    <n v="0"/>
    <n v="7"/>
    <n v="57"/>
    <n v="64"/>
    <s v="Weekday"/>
  </r>
  <r>
    <n v="652"/>
    <d v="2011-01-30T00:00:00"/>
    <x v="0"/>
    <n v="0"/>
    <x v="0"/>
    <x v="11"/>
    <b v="0"/>
    <x v="1"/>
    <x v="0"/>
    <n v="0.22"/>
    <n v="0.2727"/>
    <n v="0.75"/>
    <n v="0"/>
    <n v="9"/>
    <n v="50"/>
    <n v="59"/>
    <s v="Weekday"/>
  </r>
  <r>
    <n v="653"/>
    <d v="2011-01-30T00:00:00"/>
    <x v="0"/>
    <n v="0"/>
    <x v="0"/>
    <x v="12"/>
    <b v="0"/>
    <x v="1"/>
    <x v="0"/>
    <n v="0.3"/>
    <n v="0.31819999999999998"/>
    <n v="0.52"/>
    <n v="0.1045"/>
    <n v="10"/>
    <n v="87"/>
    <n v="97"/>
    <s v="Weekday"/>
  </r>
  <r>
    <n v="654"/>
    <d v="2011-01-30T00:00:00"/>
    <x v="0"/>
    <n v="0"/>
    <x v="0"/>
    <x v="13"/>
    <b v="0"/>
    <x v="1"/>
    <x v="0"/>
    <n v="0.28000000000000003"/>
    <n v="0.28789999999999999"/>
    <n v="0.61"/>
    <n v="0.1045"/>
    <n v="13"/>
    <n v="71"/>
    <n v="84"/>
    <s v="Weekday"/>
  </r>
  <r>
    <n v="655"/>
    <d v="2011-01-30T00:00:00"/>
    <x v="0"/>
    <n v="0"/>
    <x v="0"/>
    <x v="14"/>
    <b v="0"/>
    <x v="1"/>
    <x v="0"/>
    <n v="0.28000000000000003"/>
    <n v="0.30299999999999999"/>
    <n v="0.61"/>
    <n v="8.9599999999999999E-2"/>
    <n v="18"/>
    <n v="104"/>
    <n v="122"/>
    <s v="Weekday"/>
  </r>
  <r>
    <n v="656"/>
    <d v="2011-01-30T00:00:00"/>
    <x v="0"/>
    <n v="0"/>
    <x v="0"/>
    <x v="15"/>
    <b v="0"/>
    <x v="1"/>
    <x v="0"/>
    <n v="0.3"/>
    <n v="0.33329999999999999"/>
    <n v="0.56000000000000005"/>
    <n v="0"/>
    <n v="14"/>
    <n v="95"/>
    <n v="109"/>
    <s v="Weekday"/>
  </r>
  <r>
    <n v="657"/>
    <d v="2011-01-30T00:00:00"/>
    <x v="0"/>
    <n v="0"/>
    <x v="0"/>
    <x v="16"/>
    <b v="0"/>
    <x v="1"/>
    <x v="0"/>
    <n v="0.3"/>
    <n v="0.33329999999999999"/>
    <n v="0.56000000000000005"/>
    <n v="0"/>
    <n v="19"/>
    <n v="104"/>
    <n v="123"/>
    <s v="Weekday"/>
  </r>
  <r>
    <n v="658"/>
    <d v="2011-01-30T00:00:00"/>
    <x v="0"/>
    <n v="0"/>
    <x v="0"/>
    <x v="17"/>
    <b v="0"/>
    <x v="1"/>
    <x v="0"/>
    <n v="0.3"/>
    <n v="0.28789999999999999"/>
    <n v="0.56000000000000005"/>
    <n v="0.19400000000000001"/>
    <n v="6"/>
    <n v="71"/>
    <n v="77"/>
    <s v="Weekday"/>
  </r>
  <r>
    <n v="659"/>
    <d v="2011-01-30T00:00:00"/>
    <x v="0"/>
    <n v="0"/>
    <x v="0"/>
    <x v="18"/>
    <b v="0"/>
    <x v="1"/>
    <x v="0"/>
    <n v="0.26"/>
    <n v="0.2576"/>
    <n v="0.65"/>
    <n v="0.16420000000000001"/>
    <n v="8"/>
    <n v="57"/>
    <n v="65"/>
    <s v="Weekday"/>
  </r>
  <r>
    <n v="660"/>
    <d v="2011-01-30T00:00:00"/>
    <x v="0"/>
    <n v="0"/>
    <x v="0"/>
    <x v="19"/>
    <b v="0"/>
    <x v="1"/>
    <x v="0"/>
    <n v="0.26"/>
    <n v="0.2576"/>
    <n v="0.65"/>
    <n v="0.19400000000000001"/>
    <n v="9"/>
    <n v="46"/>
    <n v="55"/>
    <s v="Weekday"/>
  </r>
  <r>
    <n v="661"/>
    <d v="2011-01-30T00:00:00"/>
    <x v="0"/>
    <n v="0"/>
    <x v="0"/>
    <x v="20"/>
    <b v="0"/>
    <x v="1"/>
    <x v="1"/>
    <n v="0.26"/>
    <n v="0.2727"/>
    <n v="0.65"/>
    <n v="0.1045"/>
    <n v="3"/>
    <n v="30"/>
    <n v="33"/>
    <s v="Weekday"/>
  </r>
  <r>
    <n v="662"/>
    <d v="2011-01-30T00:00:00"/>
    <x v="0"/>
    <n v="0"/>
    <x v="0"/>
    <x v="21"/>
    <b v="0"/>
    <x v="1"/>
    <x v="1"/>
    <n v="0.24"/>
    <n v="0.2424"/>
    <n v="0.7"/>
    <n v="0.16420000000000001"/>
    <n v="3"/>
    <n v="25"/>
    <n v="28"/>
    <s v="Weekday"/>
  </r>
  <r>
    <n v="663"/>
    <d v="2011-01-30T00:00:00"/>
    <x v="0"/>
    <n v="0"/>
    <x v="0"/>
    <x v="22"/>
    <b v="0"/>
    <x v="1"/>
    <x v="1"/>
    <n v="0.24"/>
    <n v="0.2273"/>
    <n v="0.7"/>
    <n v="0.19400000000000001"/>
    <n v="2"/>
    <n v="19"/>
    <n v="21"/>
    <s v="Weekday"/>
  </r>
  <r>
    <n v="664"/>
    <d v="2011-01-30T00:00:00"/>
    <x v="0"/>
    <n v="0"/>
    <x v="0"/>
    <x v="23"/>
    <b v="0"/>
    <x v="1"/>
    <x v="1"/>
    <n v="0.24"/>
    <n v="0.21210000000000001"/>
    <n v="0.65"/>
    <n v="0.28360000000000002"/>
    <n v="5"/>
    <n v="16"/>
    <n v="21"/>
    <s v="Weekday"/>
  </r>
  <r>
    <n v="665"/>
    <d v="2011-01-31T00:00:00"/>
    <x v="0"/>
    <n v="0"/>
    <x v="0"/>
    <x v="0"/>
    <b v="0"/>
    <x v="2"/>
    <x v="1"/>
    <n v="0.24"/>
    <n v="0.2273"/>
    <n v="0.65"/>
    <n v="0.22389999999999999"/>
    <n v="1"/>
    <n v="6"/>
    <n v="7"/>
    <s v="Weekday"/>
  </r>
  <r>
    <n v="666"/>
    <d v="2011-01-31T00:00:00"/>
    <x v="0"/>
    <n v="0"/>
    <x v="0"/>
    <x v="1"/>
    <b v="0"/>
    <x v="2"/>
    <x v="0"/>
    <n v="0.22"/>
    <n v="0.21210000000000001"/>
    <n v="0.64"/>
    <n v="0.25369999999999998"/>
    <n v="2"/>
    <n v="5"/>
    <n v="7"/>
    <s v="Weekday"/>
  </r>
  <r>
    <n v="667"/>
    <d v="2011-01-31T00:00:00"/>
    <x v="0"/>
    <n v="0"/>
    <x v="0"/>
    <x v="2"/>
    <b v="0"/>
    <x v="2"/>
    <x v="0"/>
    <n v="0.22"/>
    <n v="0.2273"/>
    <n v="0.64"/>
    <n v="0.19400000000000001"/>
    <n v="0"/>
    <n v="1"/>
    <n v="1"/>
    <s v="Weekday"/>
  </r>
  <r>
    <n v="668"/>
    <d v="2011-01-31T00:00:00"/>
    <x v="0"/>
    <n v="0"/>
    <x v="0"/>
    <x v="3"/>
    <b v="0"/>
    <x v="2"/>
    <x v="0"/>
    <n v="0.22"/>
    <n v="0.2273"/>
    <n v="0.64"/>
    <n v="0.19400000000000001"/>
    <n v="0"/>
    <n v="2"/>
    <n v="2"/>
    <s v="Weekday"/>
  </r>
  <r>
    <n v="669"/>
    <d v="2011-01-31T00:00:00"/>
    <x v="0"/>
    <n v="0"/>
    <x v="0"/>
    <x v="4"/>
    <b v="0"/>
    <x v="2"/>
    <x v="0"/>
    <n v="0.2"/>
    <n v="0.19700000000000001"/>
    <n v="0.59"/>
    <n v="0.22389999999999999"/>
    <n v="0"/>
    <n v="2"/>
    <n v="2"/>
    <s v="Weekday"/>
  </r>
  <r>
    <n v="670"/>
    <d v="2011-01-31T00:00:00"/>
    <x v="0"/>
    <n v="0"/>
    <x v="0"/>
    <x v="5"/>
    <b v="0"/>
    <x v="2"/>
    <x v="0"/>
    <n v="0.18"/>
    <n v="0.16669999999999999"/>
    <n v="0.64"/>
    <n v="0.28360000000000002"/>
    <n v="0"/>
    <n v="8"/>
    <n v="8"/>
    <s v="Weekday"/>
  </r>
  <r>
    <n v="671"/>
    <d v="2011-01-31T00:00:00"/>
    <x v="0"/>
    <n v="0"/>
    <x v="0"/>
    <x v="6"/>
    <b v="0"/>
    <x v="2"/>
    <x v="0"/>
    <n v="0.16"/>
    <n v="0.13639999999999999"/>
    <n v="0.69"/>
    <n v="0.32840000000000003"/>
    <n v="0"/>
    <n v="37"/>
    <n v="37"/>
    <s v="Weekday"/>
  </r>
  <r>
    <n v="672"/>
    <d v="2011-01-31T00:00:00"/>
    <x v="0"/>
    <n v="0"/>
    <x v="0"/>
    <x v="7"/>
    <b v="0"/>
    <x v="2"/>
    <x v="1"/>
    <n v="0.16"/>
    <n v="0.13639999999999999"/>
    <n v="0.64"/>
    <n v="0.28360000000000002"/>
    <n v="1"/>
    <n v="71"/>
    <n v="72"/>
    <s v="Weekday"/>
  </r>
  <r>
    <n v="673"/>
    <d v="2011-01-31T00:00:00"/>
    <x v="0"/>
    <n v="0"/>
    <x v="0"/>
    <x v="8"/>
    <b v="0"/>
    <x v="2"/>
    <x v="1"/>
    <n v="0.16"/>
    <n v="0.13639999999999999"/>
    <n v="0.59"/>
    <n v="0.28360000000000002"/>
    <n v="3"/>
    <n v="182"/>
    <n v="185"/>
    <s v="Weekday"/>
  </r>
  <r>
    <n v="674"/>
    <d v="2011-01-31T00:00:00"/>
    <x v="0"/>
    <n v="0"/>
    <x v="0"/>
    <x v="9"/>
    <b v="0"/>
    <x v="2"/>
    <x v="1"/>
    <n v="0.16"/>
    <n v="0.13639999999999999"/>
    <n v="0.59"/>
    <n v="0.29849999999999999"/>
    <n v="0"/>
    <n v="112"/>
    <n v="112"/>
    <s v="Weekday"/>
  </r>
  <r>
    <n v="675"/>
    <d v="2011-01-31T00:00:00"/>
    <x v="0"/>
    <n v="0"/>
    <x v="0"/>
    <x v="10"/>
    <b v="0"/>
    <x v="2"/>
    <x v="1"/>
    <n v="0.16"/>
    <n v="0.1515"/>
    <n v="0.59"/>
    <n v="0.19400000000000001"/>
    <n v="1"/>
    <n v="68"/>
    <n v="69"/>
    <s v="Weekday"/>
  </r>
  <r>
    <n v="676"/>
    <d v="2011-01-31T00:00:00"/>
    <x v="0"/>
    <n v="0"/>
    <x v="0"/>
    <x v="11"/>
    <b v="0"/>
    <x v="2"/>
    <x v="1"/>
    <n v="0.16"/>
    <n v="0.1515"/>
    <n v="0.59"/>
    <n v="0.19400000000000001"/>
    <n v="2"/>
    <n v="46"/>
    <n v="48"/>
    <s v="Weekday"/>
  </r>
  <r>
    <n v="677"/>
    <d v="2011-01-31T00:00:00"/>
    <x v="0"/>
    <n v="0"/>
    <x v="0"/>
    <x v="12"/>
    <b v="0"/>
    <x v="2"/>
    <x v="1"/>
    <n v="0.18"/>
    <n v="0.21210000000000001"/>
    <n v="0.55000000000000004"/>
    <n v="0.1045"/>
    <n v="6"/>
    <n v="62"/>
    <n v="68"/>
    <s v="Weekday"/>
  </r>
  <r>
    <n v="678"/>
    <d v="2011-01-31T00:00:00"/>
    <x v="0"/>
    <n v="0"/>
    <x v="0"/>
    <x v="13"/>
    <b v="0"/>
    <x v="2"/>
    <x v="1"/>
    <n v="0.16"/>
    <n v="0.2273"/>
    <n v="0.59"/>
    <n v="0"/>
    <n v="2"/>
    <n v="52"/>
    <n v="54"/>
    <s v="Weekday"/>
  </r>
  <r>
    <n v="679"/>
    <d v="2011-01-31T00:00:00"/>
    <x v="0"/>
    <n v="0"/>
    <x v="0"/>
    <x v="14"/>
    <b v="0"/>
    <x v="2"/>
    <x v="1"/>
    <n v="0.18"/>
    <n v="0.19700000000000001"/>
    <n v="0.55000000000000004"/>
    <n v="0.1343"/>
    <n v="1"/>
    <n v="85"/>
    <n v="86"/>
    <s v="Weekday"/>
  </r>
  <r>
    <n v="680"/>
    <d v="2011-01-31T00:00:00"/>
    <x v="0"/>
    <n v="0"/>
    <x v="0"/>
    <x v="15"/>
    <b v="0"/>
    <x v="2"/>
    <x v="1"/>
    <n v="0.16"/>
    <n v="0.18179999999999999"/>
    <n v="0.59"/>
    <n v="0.1343"/>
    <n v="3"/>
    <n v="41"/>
    <n v="44"/>
    <s v="Weekday"/>
  </r>
  <r>
    <n v="681"/>
    <d v="2011-01-31T00:00:00"/>
    <x v="0"/>
    <n v="0"/>
    <x v="0"/>
    <x v="16"/>
    <b v="0"/>
    <x v="2"/>
    <x v="1"/>
    <n v="0.16"/>
    <n v="0.18179999999999999"/>
    <n v="0.56000000000000005"/>
    <n v="0.19400000000000001"/>
    <n v="3"/>
    <n v="83"/>
    <n v="86"/>
    <s v="Weekday"/>
  </r>
  <r>
    <n v="682"/>
    <d v="2011-01-31T00:00:00"/>
    <x v="0"/>
    <n v="0"/>
    <x v="0"/>
    <x v="17"/>
    <b v="0"/>
    <x v="2"/>
    <x v="1"/>
    <n v="0.16"/>
    <n v="0.1515"/>
    <n v="0.59"/>
    <n v="0.19400000000000001"/>
    <n v="6"/>
    <n v="155"/>
    <n v="161"/>
    <s v="Weekday"/>
  </r>
  <r>
    <n v="683"/>
    <d v="2011-01-31T00:00:00"/>
    <x v="0"/>
    <n v="0"/>
    <x v="0"/>
    <x v="18"/>
    <b v="0"/>
    <x v="2"/>
    <x v="1"/>
    <n v="0.16"/>
    <n v="0.1515"/>
    <n v="0.55000000000000004"/>
    <n v="0.22389999999999999"/>
    <n v="3"/>
    <n v="153"/>
    <n v="156"/>
    <s v="Weekday"/>
  </r>
  <r>
    <n v="684"/>
    <d v="2011-01-31T00:00:00"/>
    <x v="0"/>
    <n v="0"/>
    <x v="0"/>
    <x v="19"/>
    <b v="0"/>
    <x v="2"/>
    <x v="0"/>
    <n v="0.3"/>
    <n v="0.31819999999999998"/>
    <n v="0.61"/>
    <n v="0.1045"/>
    <n v="3"/>
    <n v="108"/>
    <n v="111"/>
    <s v="Weekday"/>
  </r>
  <r>
    <n v="685"/>
    <d v="2011-01-31T00:00:00"/>
    <x v="0"/>
    <n v="0"/>
    <x v="0"/>
    <x v="20"/>
    <b v="0"/>
    <x v="2"/>
    <x v="2"/>
    <n v="0.16"/>
    <n v="0.16669999999999999"/>
    <n v="0.59"/>
    <n v="0.16420000000000001"/>
    <n v="0"/>
    <n v="78"/>
    <n v="78"/>
    <s v="Weekday"/>
  </r>
  <r>
    <n v="686"/>
    <d v="2011-01-31T00:00:00"/>
    <x v="0"/>
    <n v="0"/>
    <x v="0"/>
    <x v="21"/>
    <b v="0"/>
    <x v="2"/>
    <x v="2"/>
    <n v="0.16"/>
    <n v="0.19700000000000001"/>
    <n v="0.59"/>
    <n v="8.9599999999999999E-2"/>
    <n v="3"/>
    <n v="53"/>
    <n v="56"/>
    <s v="Weekday"/>
  </r>
  <r>
    <n v="687"/>
    <d v="2011-01-31T00:00:00"/>
    <x v="0"/>
    <n v="0"/>
    <x v="0"/>
    <x v="22"/>
    <b v="0"/>
    <x v="2"/>
    <x v="1"/>
    <n v="0.16"/>
    <n v="0.18179999999999999"/>
    <n v="0.59"/>
    <n v="0.1045"/>
    <n v="0"/>
    <n v="34"/>
    <n v="34"/>
    <s v="Weekday"/>
  </r>
  <r>
    <n v="688"/>
    <d v="2011-01-31T00:00:00"/>
    <x v="0"/>
    <n v="0"/>
    <x v="0"/>
    <x v="23"/>
    <b v="0"/>
    <x v="2"/>
    <x v="1"/>
    <n v="0.16"/>
    <n v="0.19700000000000001"/>
    <n v="0.64"/>
    <n v="8.9599999999999999E-2"/>
    <n v="2"/>
    <n v="15"/>
    <n v="17"/>
    <s v="Weekday"/>
  </r>
  <r>
    <n v="689"/>
    <d v="2011-02-01T00:00:00"/>
    <x v="0"/>
    <n v="0"/>
    <x v="1"/>
    <x v="0"/>
    <b v="0"/>
    <x v="3"/>
    <x v="1"/>
    <n v="0.16"/>
    <n v="0.18179999999999999"/>
    <n v="0.64"/>
    <n v="0.1045"/>
    <n v="2"/>
    <n v="6"/>
    <n v="8"/>
    <s v="Weekday"/>
  </r>
  <r>
    <n v="690"/>
    <d v="2011-02-01T00:00:00"/>
    <x v="0"/>
    <n v="0"/>
    <x v="1"/>
    <x v="1"/>
    <b v="0"/>
    <x v="3"/>
    <x v="1"/>
    <n v="0.16"/>
    <n v="0.18179999999999999"/>
    <n v="0.69"/>
    <n v="0.1045"/>
    <n v="0"/>
    <n v="3"/>
    <n v="3"/>
    <s v="Weekday"/>
  </r>
  <r>
    <n v="691"/>
    <d v="2011-02-01T00:00:00"/>
    <x v="0"/>
    <n v="0"/>
    <x v="1"/>
    <x v="2"/>
    <b v="0"/>
    <x v="3"/>
    <x v="1"/>
    <n v="0.16"/>
    <n v="0.2273"/>
    <n v="0.69"/>
    <n v="0"/>
    <n v="0"/>
    <n v="2"/>
    <n v="2"/>
    <s v="Weekday"/>
  </r>
  <r>
    <n v="692"/>
    <d v="2011-02-01T00:00:00"/>
    <x v="0"/>
    <n v="0"/>
    <x v="1"/>
    <x v="3"/>
    <b v="0"/>
    <x v="3"/>
    <x v="1"/>
    <n v="0.16"/>
    <n v="0.2273"/>
    <n v="0.69"/>
    <n v="0"/>
    <n v="0"/>
    <n v="2"/>
    <n v="2"/>
    <s v="Weekday"/>
  </r>
  <r>
    <n v="693"/>
    <d v="2011-02-01T00:00:00"/>
    <x v="0"/>
    <n v="0"/>
    <x v="1"/>
    <x v="5"/>
    <b v="0"/>
    <x v="3"/>
    <x v="2"/>
    <n v="0.14000000000000001"/>
    <n v="0.21210000000000001"/>
    <n v="0.93"/>
    <n v="0"/>
    <n v="0"/>
    <n v="3"/>
    <n v="3"/>
    <s v="Weekday"/>
  </r>
  <r>
    <n v="694"/>
    <d v="2011-02-01T00:00:00"/>
    <x v="0"/>
    <n v="0"/>
    <x v="1"/>
    <x v="6"/>
    <b v="0"/>
    <x v="3"/>
    <x v="2"/>
    <n v="0.14000000000000001"/>
    <n v="0.21210000000000001"/>
    <n v="0.93"/>
    <n v="0"/>
    <n v="0"/>
    <n v="22"/>
    <n v="22"/>
    <s v="Weekday"/>
  </r>
  <r>
    <n v="695"/>
    <d v="2011-02-01T00:00:00"/>
    <x v="0"/>
    <n v="0"/>
    <x v="1"/>
    <x v="7"/>
    <b v="0"/>
    <x v="3"/>
    <x v="2"/>
    <n v="0.16"/>
    <n v="0.2273"/>
    <n v="0.93"/>
    <n v="0"/>
    <n v="0"/>
    <n v="52"/>
    <n v="52"/>
    <s v="Weekday"/>
  </r>
  <r>
    <n v="696"/>
    <d v="2011-02-01T00:00:00"/>
    <x v="0"/>
    <n v="0"/>
    <x v="1"/>
    <x v="8"/>
    <b v="0"/>
    <x v="3"/>
    <x v="2"/>
    <n v="0.16"/>
    <n v="0.2273"/>
    <n v="0.93"/>
    <n v="0"/>
    <n v="3"/>
    <n v="132"/>
    <n v="135"/>
    <s v="Weekday"/>
  </r>
  <r>
    <n v="697"/>
    <d v="2011-02-01T00:00:00"/>
    <x v="0"/>
    <n v="0"/>
    <x v="1"/>
    <x v="9"/>
    <b v="0"/>
    <x v="3"/>
    <x v="1"/>
    <n v="0.16"/>
    <n v="0.2273"/>
    <n v="0.93"/>
    <n v="0"/>
    <n v="2"/>
    <n v="114"/>
    <n v="116"/>
    <s v="Weekday"/>
  </r>
  <r>
    <n v="698"/>
    <d v="2011-02-01T00:00:00"/>
    <x v="0"/>
    <n v="0"/>
    <x v="1"/>
    <x v="10"/>
    <b v="0"/>
    <x v="3"/>
    <x v="1"/>
    <n v="0.16"/>
    <n v="0.2273"/>
    <n v="0.93"/>
    <n v="0"/>
    <n v="0"/>
    <n v="47"/>
    <n v="47"/>
    <s v="Weekday"/>
  </r>
  <r>
    <n v="699"/>
    <d v="2011-02-01T00:00:00"/>
    <x v="0"/>
    <n v="0"/>
    <x v="1"/>
    <x v="11"/>
    <b v="0"/>
    <x v="3"/>
    <x v="1"/>
    <n v="0.18"/>
    <n v="0.2424"/>
    <n v="0.86"/>
    <n v="0"/>
    <n v="2"/>
    <n v="49"/>
    <n v="51"/>
    <s v="Weekday"/>
  </r>
  <r>
    <n v="700"/>
    <d v="2011-02-01T00:00:00"/>
    <x v="0"/>
    <n v="0"/>
    <x v="1"/>
    <x v="12"/>
    <b v="0"/>
    <x v="3"/>
    <x v="1"/>
    <n v="0.2"/>
    <n v="0.2576"/>
    <n v="0.86"/>
    <n v="0"/>
    <n v="2"/>
    <n v="53"/>
    <n v="55"/>
    <s v="Weekday"/>
  </r>
  <r>
    <n v="701"/>
    <d v="2011-02-01T00:00:00"/>
    <x v="0"/>
    <n v="0"/>
    <x v="1"/>
    <x v="13"/>
    <b v="0"/>
    <x v="3"/>
    <x v="1"/>
    <n v="0.2"/>
    <n v="0.2576"/>
    <n v="0.86"/>
    <n v="0"/>
    <n v="3"/>
    <n v="49"/>
    <n v="52"/>
    <s v="Weekday"/>
  </r>
  <r>
    <n v="702"/>
    <d v="2011-02-01T00:00:00"/>
    <x v="0"/>
    <n v="0"/>
    <x v="1"/>
    <x v="14"/>
    <b v="0"/>
    <x v="3"/>
    <x v="1"/>
    <n v="0.22"/>
    <n v="0.2576"/>
    <n v="0.8"/>
    <n v="8.9599999999999999E-2"/>
    <n v="5"/>
    <n v="49"/>
    <n v="54"/>
    <s v="Weekday"/>
  </r>
  <r>
    <n v="703"/>
    <d v="2011-02-01T00:00:00"/>
    <x v="0"/>
    <n v="0"/>
    <x v="1"/>
    <x v="15"/>
    <b v="0"/>
    <x v="3"/>
    <x v="1"/>
    <n v="0.24"/>
    <n v="0.28789999999999999"/>
    <n v="0.75"/>
    <n v="0"/>
    <n v="7"/>
    <n v="45"/>
    <n v="52"/>
    <s v="Weekday"/>
  </r>
  <r>
    <n v="704"/>
    <d v="2011-02-01T00:00:00"/>
    <x v="0"/>
    <n v="0"/>
    <x v="1"/>
    <x v="16"/>
    <b v="0"/>
    <x v="3"/>
    <x v="1"/>
    <n v="0.24"/>
    <n v="0.2424"/>
    <n v="0.75"/>
    <n v="0.1343"/>
    <n v="3"/>
    <n v="61"/>
    <n v="64"/>
    <s v="Weekday"/>
  </r>
  <r>
    <n v="705"/>
    <d v="2011-02-01T00:00:00"/>
    <x v="0"/>
    <n v="0"/>
    <x v="1"/>
    <x v="17"/>
    <b v="0"/>
    <x v="3"/>
    <x v="1"/>
    <n v="0.24"/>
    <n v="0.28789999999999999"/>
    <n v="0.75"/>
    <n v="0"/>
    <n v="4"/>
    <n v="172"/>
    <n v="176"/>
    <s v="Weekday"/>
  </r>
  <r>
    <n v="706"/>
    <d v="2011-02-01T00:00:00"/>
    <x v="0"/>
    <n v="0"/>
    <x v="1"/>
    <x v="18"/>
    <b v="0"/>
    <x v="3"/>
    <x v="1"/>
    <n v="0.24"/>
    <n v="0.2576"/>
    <n v="0.81"/>
    <n v="0.1045"/>
    <n v="3"/>
    <n v="165"/>
    <n v="168"/>
    <s v="Weekday"/>
  </r>
  <r>
    <n v="707"/>
    <d v="2011-02-01T00:00:00"/>
    <x v="0"/>
    <n v="0"/>
    <x v="1"/>
    <x v="19"/>
    <b v="0"/>
    <x v="3"/>
    <x v="1"/>
    <n v="0.24"/>
    <n v="0.2424"/>
    <n v="0.81"/>
    <n v="0.1343"/>
    <n v="3"/>
    <n v="105"/>
    <n v="108"/>
    <s v="Weekday"/>
  </r>
  <r>
    <n v="708"/>
    <d v="2011-02-01T00:00:00"/>
    <x v="0"/>
    <n v="0"/>
    <x v="1"/>
    <x v="20"/>
    <b v="0"/>
    <x v="3"/>
    <x v="1"/>
    <n v="0.22"/>
    <n v="0.2273"/>
    <n v="0.87"/>
    <n v="0.1343"/>
    <n v="5"/>
    <n v="69"/>
    <n v="74"/>
    <s v="Weekday"/>
  </r>
  <r>
    <n v="709"/>
    <d v="2011-02-01T00:00:00"/>
    <x v="0"/>
    <n v="0"/>
    <x v="1"/>
    <x v="21"/>
    <b v="0"/>
    <x v="3"/>
    <x v="1"/>
    <n v="0.22"/>
    <n v="0.2273"/>
    <n v="0.87"/>
    <n v="0.1343"/>
    <n v="0"/>
    <n v="64"/>
    <n v="64"/>
    <s v="Weekday"/>
  </r>
  <r>
    <n v="710"/>
    <d v="2011-02-01T00:00:00"/>
    <x v="0"/>
    <n v="0"/>
    <x v="1"/>
    <x v="22"/>
    <b v="0"/>
    <x v="3"/>
    <x v="1"/>
    <n v="0.22"/>
    <n v="0.2576"/>
    <n v="0.87"/>
    <n v="8.9599999999999999E-2"/>
    <n v="2"/>
    <n v="34"/>
    <n v="36"/>
    <s v="Weekday"/>
  </r>
  <r>
    <n v="711"/>
    <d v="2011-02-01T00:00:00"/>
    <x v="0"/>
    <n v="0"/>
    <x v="1"/>
    <x v="23"/>
    <b v="0"/>
    <x v="3"/>
    <x v="2"/>
    <n v="0.2"/>
    <n v="0.19700000000000001"/>
    <n v="0.93"/>
    <n v="0.19400000000000001"/>
    <n v="1"/>
    <n v="15"/>
    <n v="16"/>
    <s v="Weekday"/>
  </r>
  <r>
    <n v="712"/>
    <d v="2011-02-02T00:00:00"/>
    <x v="0"/>
    <n v="0"/>
    <x v="1"/>
    <x v="0"/>
    <b v="0"/>
    <x v="4"/>
    <x v="2"/>
    <n v="0.22"/>
    <n v="0.2424"/>
    <n v="0.93"/>
    <n v="0.1045"/>
    <n v="0"/>
    <n v="2"/>
    <n v="2"/>
    <s v="Weekday"/>
  </r>
  <r>
    <n v="713"/>
    <d v="2011-02-02T00:00:00"/>
    <x v="0"/>
    <n v="0"/>
    <x v="1"/>
    <x v="1"/>
    <b v="0"/>
    <x v="4"/>
    <x v="2"/>
    <n v="0.22"/>
    <n v="0.2273"/>
    <n v="0.93"/>
    <n v="0.19400000000000001"/>
    <n v="0"/>
    <n v="3"/>
    <n v="3"/>
    <s v="Weekday"/>
  </r>
  <r>
    <n v="714"/>
    <d v="2011-02-02T00:00:00"/>
    <x v="0"/>
    <n v="0"/>
    <x v="1"/>
    <x v="2"/>
    <b v="0"/>
    <x v="4"/>
    <x v="2"/>
    <n v="0.22"/>
    <n v="0.2273"/>
    <n v="0.93"/>
    <n v="0.1343"/>
    <n v="4"/>
    <n v="0"/>
    <n v="4"/>
    <s v="Weekday"/>
  </r>
  <r>
    <n v="715"/>
    <d v="2011-02-02T00:00:00"/>
    <x v="0"/>
    <n v="0"/>
    <x v="1"/>
    <x v="3"/>
    <b v="0"/>
    <x v="4"/>
    <x v="2"/>
    <n v="0.22"/>
    <n v="0.2273"/>
    <n v="0.93"/>
    <n v="0.1343"/>
    <n v="0"/>
    <n v="1"/>
    <n v="1"/>
    <s v="Weekday"/>
  </r>
  <r>
    <n v="716"/>
    <d v="2011-02-02T00:00:00"/>
    <x v="0"/>
    <n v="0"/>
    <x v="1"/>
    <x v="4"/>
    <b v="0"/>
    <x v="4"/>
    <x v="2"/>
    <n v="0.22"/>
    <n v="0.21210000000000001"/>
    <n v="0.93"/>
    <n v="0.28360000000000002"/>
    <n v="0"/>
    <n v="1"/>
    <n v="1"/>
    <s v="Weekday"/>
  </r>
  <r>
    <n v="717"/>
    <d v="2011-02-02T00:00:00"/>
    <x v="0"/>
    <n v="0"/>
    <x v="1"/>
    <x v="5"/>
    <b v="0"/>
    <x v="4"/>
    <x v="2"/>
    <n v="0.22"/>
    <n v="0.2424"/>
    <n v="0.93"/>
    <n v="0.1045"/>
    <n v="0"/>
    <n v="3"/>
    <n v="3"/>
    <s v="Weekday"/>
  </r>
  <r>
    <n v="718"/>
    <d v="2011-02-02T00:00:00"/>
    <x v="0"/>
    <n v="0"/>
    <x v="1"/>
    <x v="6"/>
    <b v="0"/>
    <x v="4"/>
    <x v="2"/>
    <n v="0.22"/>
    <n v="0.2424"/>
    <n v="0.93"/>
    <n v="0.1045"/>
    <n v="1"/>
    <n v="17"/>
    <n v="18"/>
    <s v="Weekday"/>
  </r>
  <r>
    <n v="719"/>
    <d v="2011-02-02T00:00:00"/>
    <x v="0"/>
    <n v="0"/>
    <x v="1"/>
    <x v="7"/>
    <b v="0"/>
    <x v="4"/>
    <x v="2"/>
    <n v="0.22"/>
    <n v="0.21210000000000001"/>
    <n v="0.93"/>
    <n v="0.22389999999999999"/>
    <n v="1"/>
    <n v="48"/>
    <n v="49"/>
    <s v="Weekday"/>
  </r>
  <r>
    <n v="720"/>
    <d v="2011-02-02T00:00:00"/>
    <x v="0"/>
    <n v="0"/>
    <x v="1"/>
    <x v="8"/>
    <b v="0"/>
    <x v="4"/>
    <x v="2"/>
    <n v="0.22"/>
    <n v="0.21210000000000001"/>
    <n v="0.93"/>
    <n v="0.22389999999999999"/>
    <n v="1"/>
    <n v="154"/>
    <n v="155"/>
    <s v="Weekday"/>
  </r>
  <r>
    <n v="721"/>
    <d v="2011-02-02T00:00:00"/>
    <x v="0"/>
    <n v="0"/>
    <x v="1"/>
    <x v="9"/>
    <b v="0"/>
    <x v="4"/>
    <x v="1"/>
    <n v="0.24"/>
    <n v="0.2576"/>
    <n v="0.93"/>
    <n v="8.9599999999999999E-2"/>
    <n v="4"/>
    <n v="119"/>
    <n v="123"/>
    <s v="Weekday"/>
  </r>
  <r>
    <n v="722"/>
    <d v="2011-02-02T00:00:00"/>
    <x v="0"/>
    <n v="0"/>
    <x v="1"/>
    <x v="10"/>
    <b v="0"/>
    <x v="4"/>
    <x v="1"/>
    <n v="0.22"/>
    <n v="0.2727"/>
    <n v="1"/>
    <n v="0"/>
    <n v="2"/>
    <n v="59"/>
    <n v="61"/>
    <s v="Weekday"/>
  </r>
  <r>
    <n v="723"/>
    <d v="2011-02-02T00:00:00"/>
    <x v="0"/>
    <n v="0"/>
    <x v="1"/>
    <x v="11"/>
    <b v="0"/>
    <x v="4"/>
    <x v="1"/>
    <n v="0.24"/>
    <n v="0.2273"/>
    <n v="0.93"/>
    <n v="0.19400000000000001"/>
    <n v="5"/>
    <n v="47"/>
    <n v="52"/>
    <s v="Weekday"/>
  </r>
  <r>
    <n v="724"/>
    <d v="2011-02-02T00:00:00"/>
    <x v="0"/>
    <n v="0"/>
    <x v="1"/>
    <x v="12"/>
    <b v="0"/>
    <x v="4"/>
    <x v="1"/>
    <n v="0.24"/>
    <n v="0.2273"/>
    <n v="0.93"/>
    <n v="0.22389999999999999"/>
    <n v="3"/>
    <n v="61"/>
    <n v="64"/>
    <s v="Weekday"/>
  </r>
  <r>
    <n v="725"/>
    <d v="2011-02-02T00:00:00"/>
    <x v="0"/>
    <n v="0"/>
    <x v="1"/>
    <x v="13"/>
    <b v="0"/>
    <x v="4"/>
    <x v="0"/>
    <n v="0.34"/>
    <n v="0.33329999999999999"/>
    <n v="0.93"/>
    <n v="0.16420000000000001"/>
    <n v="1"/>
    <n v="74"/>
    <n v="75"/>
    <s v="Weekday"/>
  </r>
  <r>
    <n v="726"/>
    <d v="2011-02-02T00:00:00"/>
    <x v="0"/>
    <n v="0"/>
    <x v="1"/>
    <x v="14"/>
    <b v="0"/>
    <x v="4"/>
    <x v="0"/>
    <n v="0.38"/>
    <n v="0.39389999999999997"/>
    <n v="0.82"/>
    <n v="0.3881"/>
    <n v="2"/>
    <n v="61"/>
    <n v="63"/>
    <s v="Weekday"/>
  </r>
  <r>
    <n v="727"/>
    <d v="2011-02-02T00:00:00"/>
    <x v="0"/>
    <n v="0"/>
    <x v="1"/>
    <x v="15"/>
    <b v="0"/>
    <x v="4"/>
    <x v="0"/>
    <n v="0.38"/>
    <n v="0.39389999999999997"/>
    <n v="0.76"/>
    <n v="0.32840000000000003"/>
    <n v="10"/>
    <n v="66"/>
    <n v="76"/>
    <s v="Weekday"/>
  </r>
  <r>
    <n v="728"/>
    <d v="2011-02-02T00:00:00"/>
    <x v="0"/>
    <n v="0"/>
    <x v="1"/>
    <x v="16"/>
    <b v="0"/>
    <x v="4"/>
    <x v="0"/>
    <n v="0.36"/>
    <n v="0.33329999999999999"/>
    <n v="0.71"/>
    <n v="0.29849999999999999"/>
    <n v="8"/>
    <n v="95"/>
    <n v="103"/>
    <s v="Weekday"/>
  </r>
  <r>
    <n v="729"/>
    <d v="2011-02-02T00:00:00"/>
    <x v="0"/>
    <n v="0"/>
    <x v="1"/>
    <x v="17"/>
    <b v="0"/>
    <x v="4"/>
    <x v="0"/>
    <n v="0.36"/>
    <n v="0.31819999999999998"/>
    <n v="0.53"/>
    <n v="0.52239999999999998"/>
    <n v="7"/>
    <n v="183"/>
    <n v="190"/>
    <s v="Weekday"/>
  </r>
  <r>
    <n v="730"/>
    <d v="2011-02-02T00:00:00"/>
    <x v="0"/>
    <n v="0"/>
    <x v="1"/>
    <x v="18"/>
    <b v="0"/>
    <x v="4"/>
    <x v="0"/>
    <n v="0.34"/>
    <n v="0.28789999999999999"/>
    <n v="0.42"/>
    <n v="0.55220000000000002"/>
    <n v="7"/>
    <n v="175"/>
    <n v="182"/>
    <s v="Weekday"/>
  </r>
  <r>
    <n v="731"/>
    <d v="2011-02-02T00:00:00"/>
    <x v="0"/>
    <n v="0"/>
    <x v="1"/>
    <x v="19"/>
    <b v="0"/>
    <x v="4"/>
    <x v="0"/>
    <n v="0.28000000000000003"/>
    <n v="0.2424"/>
    <n v="0.45"/>
    <n v="0.49249999999999999"/>
    <n v="3"/>
    <n v="88"/>
    <n v="91"/>
    <s v="Weekday"/>
  </r>
  <r>
    <n v="732"/>
    <d v="2011-02-02T00:00:00"/>
    <x v="0"/>
    <n v="0"/>
    <x v="1"/>
    <x v="20"/>
    <b v="0"/>
    <x v="4"/>
    <x v="0"/>
    <n v="0.24"/>
    <n v="0.19700000000000001"/>
    <n v="0.48"/>
    <n v="0.55220000000000002"/>
    <n v="4"/>
    <n v="71"/>
    <n v="75"/>
    <s v="Weekday"/>
  </r>
  <r>
    <n v="733"/>
    <d v="2011-02-02T00:00:00"/>
    <x v="0"/>
    <n v="0"/>
    <x v="1"/>
    <x v="21"/>
    <b v="0"/>
    <x v="4"/>
    <x v="0"/>
    <n v="0.22"/>
    <n v="0.19700000000000001"/>
    <n v="0.47"/>
    <n v="0.32840000000000003"/>
    <n v="1"/>
    <n v="62"/>
    <n v="63"/>
    <s v="Weekday"/>
  </r>
  <r>
    <n v="734"/>
    <d v="2011-02-02T00:00:00"/>
    <x v="0"/>
    <n v="0"/>
    <x v="1"/>
    <x v="22"/>
    <b v="0"/>
    <x v="4"/>
    <x v="0"/>
    <n v="0.22"/>
    <n v="0.21210000000000001"/>
    <n v="0.44"/>
    <n v="0.25369999999999998"/>
    <n v="5"/>
    <n v="35"/>
    <n v="40"/>
    <s v="Weekday"/>
  </r>
  <r>
    <n v="735"/>
    <d v="2011-02-02T00:00:00"/>
    <x v="0"/>
    <n v="0"/>
    <x v="1"/>
    <x v="23"/>
    <b v="0"/>
    <x v="4"/>
    <x v="0"/>
    <n v="0.2"/>
    <n v="0.16669999999999999"/>
    <n v="0.44"/>
    <n v="0.44779999999999998"/>
    <n v="3"/>
    <n v="29"/>
    <n v="32"/>
    <s v="Weekday"/>
  </r>
  <r>
    <n v="736"/>
    <d v="2011-02-03T00:00:00"/>
    <x v="0"/>
    <n v="0"/>
    <x v="1"/>
    <x v="0"/>
    <b v="0"/>
    <x v="5"/>
    <x v="0"/>
    <n v="0.2"/>
    <n v="0.16669999999999999"/>
    <n v="0.4"/>
    <n v="0.44779999999999998"/>
    <n v="1"/>
    <n v="11"/>
    <n v="12"/>
    <s v="Weekday"/>
  </r>
  <r>
    <n v="737"/>
    <d v="2011-02-03T00:00:00"/>
    <x v="0"/>
    <n v="0"/>
    <x v="1"/>
    <x v="1"/>
    <b v="0"/>
    <x v="5"/>
    <x v="0"/>
    <n v="0.2"/>
    <n v="0.1515"/>
    <n v="0.44"/>
    <n v="0.52239999999999998"/>
    <n v="0"/>
    <n v="5"/>
    <n v="5"/>
    <s v="Weekday"/>
  </r>
  <r>
    <n v="738"/>
    <d v="2011-02-03T00:00:00"/>
    <x v="0"/>
    <n v="0"/>
    <x v="1"/>
    <x v="2"/>
    <b v="0"/>
    <x v="5"/>
    <x v="0"/>
    <n v="0.18"/>
    <n v="0.16669999999999999"/>
    <n v="0.43"/>
    <n v="0.25369999999999998"/>
    <n v="0"/>
    <n v="2"/>
    <n v="2"/>
    <s v="Weekday"/>
  </r>
  <r>
    <n v="739"/>
    <d v="2011-02-03T00:00:00"/>
    <x v="0"/>
    <n v="0"/>
    <x v="1"/>
    <x v="3"/>
    <b v="0"/>
    <x v="5"/>
    <x v="0"/>
    <n v="0.18"/>
    <n v="0.16669999999999999"/>
    <n v="0.43"/>
    <n v="0.25369999999999998"/>
    <n v="0"/>
    <n v="1"/>
    <n v="1"/>
    <s v="Weekday"/>
  </r>
  <r>
    <n v="740"/>
    <d v="2011-02-03T00:00:00"/>
    <x v="0"/>
    <n v="0"/>
    <x v="1"/>
    <x v="5"/>
    <b v="0"/>
    <x v="5"/>
    <x v="0"/>
    <n v="0.16"/>
    <n v="0.13639999999999999"/>
    <n v="0.5"/>
    <n v="0.29849999999999999"/>
    <n v="0"/>
    <n v="2"/>
    <n v="2"/>
    <s v="Weekday"/>
  </r>
  <r>
    <n v="741"/>
    <d v="2011-02-03T00:00:00"/>
    <x v="0"/>
    <n v="0"/>
    <x v="1"/>
    <x v="6"/>
    <b v="0"/>
    <x v="5"/>
    <x v="0"/>
    <n v="0.16"/>
    <n v="0.13639999999999999"/>
    <n v="0.43"/>
    <n v="0.35820000000000002"/>
    <n v="0"/>
    <n v="39"/>
    <n v="39"/>
    <s v="Weekday"/>
  </r>
  <r>
    <n v="742"/>
    <d v="2011-02-03T00:00:00"/>
    <x v="0"/>
    <n v="0"/>
    <x v="1"/>
    <x v="7"/>
    <b v="0"/>
    <x v="5"/>
    <x v="0"/>
    <n v="0.14000000000000001"/>
    <n v="0.1212"/>
    <n v="0.5"/>
    <n v="0.32840000000000003"/>
    <n v="1"/>
    <n v="86"/>
    <n v="87"/>
    <s v="Weekday"/>
  </r>
  <r>
    <n v="743"/>
    <d v="2011-02-03T00:00:00"/>
    <x v="0"/>
    <n v="0"/>
    <x v="1"/>
    <x v="8"/>
    <b v="0"/>
    <x v="5"/>
    <x v="0"/>
    <n v="0.14000000000000001"/>
    <n v="0.1212"/>
    <n v="0.5"/>
    <n v="0.35820000000000002"/>
    <n v="4"/>
    <n v="184"/>
    <n v="188"/>
    <s v="Weekday"/>
  </r>
  <r>
    <n v="744"/>
    <d v="2011-02-03T00:00:00"/>
    <x v="0"/>
    <n v="0"/>
    <x v="1"/>
    <x v="9"/>
    <b v="0"/>
    <x v="5"/>
    <x v="0"/>
    <n v="0.16"/>
    <n v="0.13639999999999999"/>
    <n v="0.47"/>
    <n v="0.29849999999999999"/>
    <n v="6"/>
    <n v="127"/>
    <n v="133"/>
    <s v="Weekday"/>
  </r>
  <r>
    <n v="745"/>
    <d v="2011-02-03T00:00:00"/>
    <x v="0"/>
    <n v="0"/>
    <x v="1"/>
    <x v="10"/>
    <b v="0"/>
    <x v="5"/>
    <x v="0"/>
    <n v="0.18"/>
    <n v="0.1515"/>
    <n v="0.43"/>
    <n v="0.32840000000000003"/>
    <n v="2"/>
    <n v="50"/>
    <n v="52"/>
    <s v="Weekday"/>
  </r>
  <r>
    <n v="746"/>
    <d v="2011-02-03T00:00:00"/>
    <x v="0"/>
    <n v="0"/>
    <x v="1"/>
    <x v="11"/>
    <b v="0"/>
    <x v="5"/>
    <x v="0"/>
    <n v="0.18"/>
    <n v="0.13639999999999999"/>
    <n v="0.43"/>
    <n v="0.44779999999999998"/>
    <n v="9"/>
    <n v="55"/>
    <n v="64"/>
    <s v="Weekday"/>
  </r>
  <r>
    <n v="747"/>
    <d v="2011-02-03T00:00:00"/>
    <x v="0"/>
    <n v="0"/>
    <x v="1"/>
    <x v="12"/>
    <b v="0"/>
    <x v="5"/>
    <x v="0"/>
    <n v="0.2"/>
    <n v="0.18179999999999999"/>
    <n v="0.4"/>
    <n v="0.35820000000000002"/>
    <n v="2"/>
    <n v="67"/>
    <n v="69"/>
    <s v="Weekday"/>
  </r>
  <r>
    <n v="748"/>
    <d v="2011-02-03T00:00:00"/>
    <x v="0"/>
    <n v="0"/>
    <x v="1"/>
    <x v="13"/>
    <b v="0"/>
    <x v="5"/>
    <x v="0"/>
    <n v="0.2"/>
    <n v="0.16669999999999999"/>
    <n v="0.4"/>
    <n v="0.41789999999999999"/>
    <n v="4"/>
    <n v="47"/>
    <n v="51"/>
    <s v="Weekday"/>
  </r>
  <r>
    <n v="749"/>
    <d v="2011-02-03T00:00:00"/>
    <x v="0"/>
    <n v="0"/>
    <x v="1"/>
    <x v="14"/>
    <b v="0"/>
    <x v="5"/>
    <x v="0"/>
    <n v="0.22"/>
    <n v="0.19700000000000001"/>
    <n v="0.37"/>
    <n v="0.3881"/>
    <n v="4"/>
    <n v="43"/>
    <n v="47"/>
    <s v="Weekday"/>
  </r>
  <r>
    <n v="750"/>
    <d v="2011-02-03T00:00:00"/>
    <x v="0"/>
    <n v="0"/>
    <x v="1"/>
    <x v="15"/>
    <b v="0"/>
    <x v="5"/>
    <x v="0"/>
    <n v="0.22"/>
    <n v="0.19700000000000001"/>
    <n v="0.37"/>
    <n v="0.32840000000000003"/>
    <n v="4"/>
    <n v="56"/>
    <n v="60"/>
    <s v="Weekday"/>
  </r>
  <r>
    <n v="751"/>
    <d v="2011-02-03T00:00:00"/>
    <x v="0"/>
    <n v="0"/>
    <x v="1"/>
    <x v="16"/>
    <b v="0"/>
    <x v="5"/>
    <x v="0"/>
    <n v="0.22"/>
    <n v="0.21210000000000001"/>
    <n v="0.37"/>
    <n v="0.25369999999999998"/>
    <n v="5"/>
    <n v="73"/>
    <n v="78"/>
    <s v="Weekday"/>
  </r>
  <r>
    <n v="752"/>
    <d v="2011-02-03T00:00:00"/>
    <x v="0"/>
    <n v="0"/>
    <x v="1"/>
    <x v="17"/>
    <b v="0"/>
    <x v="5"/>
    <x v="0"/>
    <n v="0.2"/>
    <n v="0.19700000000000001"/>
    <n v="0.4"/>
    <n v="0.19400000000000001"/>
    <n v="5"/>
    <n v="170"/>
    <n v="175"/>
    <s v="Weekday"/>
  </r>
  <r>
    <n v="753"/>
    <d v="2011-02-03T00:00:00"/>
    <x v="0"/>
    <n v="0"/>
    <x v="1"/>
    <x v="18"/>
    <b v="0"/>
    <x v="5"/>
    <x v="0"/>
    <n v="0.2"/>
    <n v="0.21210000000000001"/>
    <n v="0.4"/>
    <n v="0.16420000000000001"/>
    <n v="2"/>
    <n v="145"/>
    <n v="147"/>
    <s v="Weekday"/>
  </r>
  <r>
    <n v="754"/>
    <d v="2011-02-03T00:00:00"/>
    <x v="0"/>
    <n v="0"/>
    <x v="1"/>
    <x v="19"/>
    <b v="0"/>
    <x v="5"/>
    <x v="0"/>
    <n v="0.2"/>
    <n v="0.2576"/>
    <n v="0.4"/>
    <n v="0"/>
    <n v="4"/>
    <n v="92"/>
    <n v="96"/>
    <s v="Weekday"/>
  </r>
  <r>
    <n v="755"/>
    <d v="2011-02-03T00:00:00"/>
    <x v="0"/>
    <n v="0"/>
    <x v="1"/>
    <x v="20"/>
    <b v="0"/>
    <x v="5"/>
    <x v="0"/>
    <n v="0.2"/>
    <n v="0.2273"/>
    <n v="0.47"/>
    <n v="8.9599999999999999E-2"/>
    <n v="1"/>
    <n v="108"/>
    <n v="109"/>
    <s v="Weekday"/>
  </r>
  <r>
    <n v="756"/>
    <d v="2011-02-03T00:00:00"/>
    <x v="0"/>
    <n v="0"/>
    <x v="1"/>
    <x v="21"/>
    <b v="0"/>
    <x v="5"/>
    <x v="0"/>
    <n v="0.18"/>
    <n v="0.21210000000000001"/>
    <n v="0.55000000000000004"/>
    <n v="0.1045"/>
    <n v="1"/>
    <n v="53"/>
    <n v="54"/>
    <s v="Weekday"/>
  </r>
  <r>
    <n v="757"/>
    <d v="2011-02-03T00:00:00"/>
    <x v="0"/>
    <n v="0"/>
    <x v="1"/>
    <x v="22"/>
    <b v="0"/>
    <x v="5"/>
    <x v="0"/>
    <n v="0.18"/>
    <n v="0.21210000000000001"/>
    <n v="0.51"/>
    <n v="8.9599999999999999E-2"/>
    <n v="2"/>
    <n v="39"/>
    <n v="41"/>
    <s v="Weekday"/>
  </r>
  <r>
    <n v="758"/>
    <d v="2011-02-03T00:00:00"/>
    <x v="0"/>
    <n v="0"/>
    <x v="1"/>
    <x v="23"/>
    <b v="0"/>
    <x v="5"/>
    <x v="0"/>
    <n v="0.2"/>
    <n v="0.2273"/>
    <n v="0.47"/>
    <n v="0.1045"/>
    <n v="4"/>
    <n v="34"/>
    <n v="38"/>
    <s v="Weekday"/>
  </r>
  <r>
    <n v="759"/>
    <d v="2011-02-04T00:00:00"/>
    <x v="0"/>
    <n v="0"/>
    <x v="1"/>
    <x v="0"/>
    <b v="0"/>
    <x v="6"/>
    <x v="1"/>
    <n v="0.2"/>
    <n v="0.2576"/>
    <n v="0.44"/>
    <n v="0"/>
    <n v="3"/>
    <n v="10"/>
    <n v="13"/>
    <s v="Weekday"/>
  </r>
  <r>
    <n v="760"/>
    <d v="2011-02-04T00:00:00"/>
    <x v="0"/>
    <n v="0"/>
    <x v="1"/>
    <x v="1"/>
    <b v="0"/>
    <x v="6"/>
    <x v="1"/>
    <n v="0.16"/>
    <n v="0.2273"/>
    <n v="0.59"/>
    <n v="0"/>
    <n v="0"/>
    <n v="7"/>
    <n v="7"/>
    <s v="Weekday"/>
  </r>
  <r>
    <n v="761"/>
    <d v="2011-02-04T00:00:00"/>
    <x v="0"/>
    <n v="0"/>
    <x v="1"/>
    <x v="2"/>
    <b v="0"/>
    <x v="6"/>
    <x v="1"/>
    <n v="0.14000000000000001"/>
    <n v="0.16669999999999999"/>
    <n v="0.63"/>
    <n v="0.1045"/>
    <n v="0"/>
    <n v="1"/>
    <n v="1"/>
    <s v="Weekday"/>
  </r>
  <r>
    <n v="762"/>
    <d v="2011-02-04T00:00:00"/>
    <x v="0"/>
    <n v="0"/>
    <x v="1"/>
    <x v="3"/>
    <b v="0"/>
    <x v="6"/>
    <x v="1"/>
    <n v="0.14000000000000001"/>
    <n v="0.16669999999999999"/>
    <n v="0.63"/>
    <n v="0.1045"/>
    <n v="0"/>
    <n v="1"/>
    <n v="1"/>
    <s v="Weekday"/>
  </r>
  <r>
    <n v="763"/>
    <d v="2011-02-04T00:00:00"/>
    <x v="0"/>
    <n v="0"/>
    <x v="1"/>
    <x v="5"/>
    <b v="0"/>
    <x v="6"/>
    <x v="1"/>
    <n v="0.14000000000000001"/>
    <n v="0.1515"/>
    <n v="0.63"/>
    <n v="0.1343"/>
    <n v="0"/>
    <n v="7"/>
    <n v="7"/>
    <s v="Weekday"/>
  </r>
  <r>
    <n v="764"/>
    <d v="2011-02-04T00:00:00"/>
    <x v="0"/>
    <n v="0"/>
    <x v="1"/>
    <x v="6"/>
    <b v="0"/>
    <x v="6"/>
    <x v="1"/>
    <n v="0.16"/>
    <n v="0.2273"/>
    <n v="0.55000000000000004"/>
    <n v="0"/>
    <n v="2"/>
    <n v="26"/>
    <n v="28"/>
    <s v="Weekday"/>
  </r>
  <r>
    <n v="765"/>
    <d v="2011-02-04T00:00:00"/>
    <x v="0"/>
    <n v="0"/>
    <x v="1"/>
    <x v="7"/>
    <b v="0"/>
    <x v="6"/>
    <x v="0"/>
    <n v="0.14000000000000001"/>
    <n v="0.21210000000000001"/>
    <n v="0.59"/>
    <n v="0"/>
    <n v="0"/>
    <n v="87"/>
    <n v="87"/>
    <s v="Weekday"/>
  </r>
  <r>
    <n v="766"/>
    <d v="2011-02-04T00:00:00"/>
    <x v="0"/>
    <n v="0"/>
    <x v="1"/>
    <x v="8"/>
    <b v="0"/>
    <x v="6"/>
    <x v="0"/>
    <n v="0.14000000000000001"/>
    <n v="0.1515"/>
    <n v="0.74"/>
    <n v="0.1343"/>
    <n v="3"/>
    <n v="217"/>
    <n v="220"/>
    <s v="Weekday"/>
  </r>
  <r>
    <n v="767"/>
    <d v="2011-02-04T00:00:00"/>
    <x v="0"/>
    <n v="0"/>
    <x v="1"/>
    <x v="9"/>
    <b v="0"/>
    <x v="6"/>
    <x v="1"/>
    <n v="0.16"/>
    <n v="0.18179999999999999"/>
    <n v="0.8"/>
    <n v="0.1343"/>
    <n v="3"/>
    <n v="124"/>
    <n v="127"/>
    <s v="Weekday"/>
  </r>
  <r>
    <n v="768"/>
    <d v="2011-02-04T00:00:00"/>
    <x v="0"/>
    <n v="0"/>
    <x v="1"/>
    <x v="10"/>
    <b v="0"/>
    <x v="6"/>
    <x v="1"/>
    <n v="0.2"/>
    <n v="0.21210000000000001"/>
    <n v="0.51"/>
    <n v="0.1343"/>
    <n v="5"/>
    <n v="46"/>
    <n v="51"/>
    <s v="Weekday"/>
  </r>
  <r>
    <n v="769"/>
    <d v="2011-02-04T00:00:00"/>
    <x v="0"/>
    <n v="0"/>
    <x v="1"/>
    <x v="11"/>
    <b v="0"/>
    <x v="6"/>
    <x v="0"/>
    <n v="0.22"/>
    <n v="0.2273"/>
    <n v="0.51"/>
    <n v="0.16420000000000001"/>
    <n v="3"/>
    <n v="61"/>
    <n v="64"/>
    <s v="Weekday"/>
  </r>
  <r>
    <n v="770"/>
    <d v="2011-02-04T00:00:00"/>
    <x v="0"/>
    <n v="0"/>
    <x v="1"/>
    <x v="12"/>
    <b v="0"/>
    <x v="6"/>
    <x v="1"/>
    <n v="0.24"/>
    <n v="0.2424"/>
    <n v="0.48"/>
    <n v="0.16420000000000001"/>
    <n v="8"/>
    <n v="78"/>
    <n v="86"/>
    <s v="Weekday"/>
  </r>
  <r>
    <n v="771"/>
    <d v="2011-02-04T00:00:00"/>
    <x v="0"/>
    <n v="0"/>
    <x v="1"/>
    <x v="13"/>
    <b v="0"/>
    <x v="6"/>
    <x v="1"/>
    <n v="0.26"/>
    <n v="0.2576"/>
    <n v="0.5"/>
    <n v="0.22389999999999999"/>
    <n v="9"/>
    <n v="73"/>
    <n v="82"/>
    <s v="Weekday"/>
  </r>
  <r>
    <n v="772"/>
    <d v="2011-02-04T00:00:00"/>
    <x v="0"/>
    <n v="0"/>
    <x v="1"/>
    <x v="14"/>
    <b v="0"/>
    <x v="6"/>
    <x v="1"/>
    <n v="0.28000000000000003"/>
    <n v="0.2727"/>
    <n v="0.45"/>
    <n v="0.16420000000000001"/>
    <n v="15"/>
    <n v="76"/>
    <n v="91"/>
    <s v="Weekday"/>
  </r>
  <r>
    <n v="773"/>
    <d v="2011-02-04T00:00:00"/>
    <x v="0"/>
    <n v="0"/>
    <x v="1"/>
    <x v="15"/>
    <b v="0"/>
    <x v="6"/>
    <x v="1"/>
    <n v="0.28000000000000003"/>
    <n v="0.2727"/>
    <n v="0.48"/>
    <n v="0.25369999999999998"/>
    <n v="9"/>
    <n v="81"/>
    <n v="90"/>
    <s v="Weekday"/>
  </r>
  <r>
    <n v="774"/>
    <d v="2011-02-04T00:00:00"/>
    <x v="0"/>
    <n v="0"/>
    <x v="1"/>
    <x v="16"/>
    <b v="0"/>
    <x v="6"/>
    <x v="1"/>
    <n v="0.3"/>
    <n v="0.28789999999999999"/>
    <n v="0.42"/>
    <n v="0.22389999999999999"/>
    <n v="8"/>
    <n v="91"/>
    <n v="99"/>
    <s v="Weekday"/>
  </r>
  <r>
    <n v="775"/>
    <d v="2011-02-04T00:00:00"/>
    <x v="0"/>
    <n v="0"/>
    <x v="1"/>
    <x v="17"/>
    <b v="0"/>
    <x v="6"/>
    <x v="1"/>
    <n v="0.26"/>
    <n v="0.2727"/>
    <n v="0.56000000000000005"/>
    <n v="0.1343"/>
    <n v="10"/>
    <n v="195"/>
    <n v="205"/>
    <s v="Weekday"/>
  </r>
  <r>
    <n v="776"/>
    <d v="2011-02-04T00:00:00"/>
    <x v="0"/>
    <n v="0"/>
    <x v="1"/>
    <x v="18"/>
    <b v="0"/>
    <x v="6"/>
    <x v="1"/>
    <n v="0.24"/>
    <n v="0.2576"/>
    <n v="0.6"/>
    <n v="0.1045"/>
    <n v="3"/>
    <n v="152"/>
    <n v="155"/>
    <s v="Weekday"/>
  </r>
  <r>
    <n v="777"/>
    <d v="2011-02-04T00:00:00"/>
    <x v="0"/>
    <n v="0"/>
    <x v="1"/>
    <x v="19"/>
    <b v="0"/>
    <x v="6"/>
    <x v="1"/>
    <n v="0.24"/>
    <n v="0.2424"/>
    <n v="0.65"/>
    <n v="0.1343"/>
    <n v="1"/>
    <n v="102"/>
    <n v="103"/>
    <s v="Weekday"/>
  </r>
  <r>
    <n v="778"/>
    <d v="2011-02-04T00:00:00"/>
    <x v="0"/>
    <n v="0"/>
    <x v="1"/>
    <x v="20"/>
    <b v="0"/>
    <x v="6"/>
    <x v="1"/>
    <n v="0.24"/>
    <n v="0.2424"/>
    <n v="0.65"/>
    <n v="0.16420000000000001"/>
    <n v="2"/>
    <n v="69"/>
    <n v="71"/>
    <s v="Weekday"/>
  </r>
  <r>
    <n v="779"/>
    <d v="2011-02-04T00:00:00"/>
    <x v="0"/>
    <n v="0"/>
    <x v="1"/>
    <x v="21"/>
    <b v="0"/>
    <x v="6"/>
    <x v="1"/>
    <n v="0.24"/>
    <n v="0.2424"/>
    <n v="0.7"/>
    <n v="0.16420000000000001"/>
    <n v="2"/>
    <n v="41"/>
    <n v="43"/>
    <s v="Weekday"/>
  </r>
  <r>
    <n v="780"/>
    <d v="2011-02-04T00:00:00"/>
    <x v="0"/>
    <n v="0"/>
    <x v="1"/>
    <x v="22"/>
    <b v="0"/>
    <x v="6"/>
    <x v="1"/>
    <n v="0.24"/>
    <n v="0.2424"/>
    <n v="0.65"/>
    <n v="0.16420000000000001"/>
    <n v="1"/>
    <n v="45"/>
    <n v="46"/>
    <s v="Weekday"/>
  </r>
  <r>
    <n v="781"/>
    <d v="2011-02-04T00:00:00"/>
    <x v="0"/>
    <n v="0"/>
    <x v="1"/>
    <x v="23"/>
    <b v="0"/>
    <x v="6"/>
    <x v="1"/>
    <n v="0.24"/>
    <n v="0.2424"/>
    <n v="0.7"/>
    <n v="0.1343"/>
    <n v="1"/>
    <n v="30"/>
    <n v="31"/>
    <s v="Weekday"/>
  </r>
  <r>
    <n v="782"/>
    <d v="2011-02-05T00:00:00"/>
    <x v="0"/>
    <n v="0"/>
    <x v="1"/>
    <x v="0"/>
    <b v="0"/>
    <x v="0"/>
    <x v="1"/>
    <n v="0.24"/>
    <n v="0.2424"/>
    <n v="0.7"/>
    <n v="0.16420000000000001"/>
    <n v="3"/>
    <n v="36"/>
    <n v="39"/>
    <s v="Weekend"/>
  </r>
  <r>
    <n v="783"/>
    <d v="2011-02-05T00:00:00"/>
    <x v="0"/>
    <n v="0"/>
    <x v="1"/>
    <x v="1"/>
    <b v="0"/>
    <x v="0"/>
    <x v="1"/>
    <n v="0.24"/>
    <n v="0.2424"/>
    <n v="0.65"/>
    <n v="0.16420000000000001"/>
    <n v="1"/>
    <n v="17"/>
    <n v="18"/>
    <s v="Weekend"/>
  </r>
  <r>
    <n v="784"/>
    <d v="2011-02-05T00:00:00"/>
    <x v="0"/>
    <n v="0"/>
    <x v="1"/>
    <x v="2"/>
    <b v="0"/>
    <x v="0"/>
    <x v="1"/>
    <n v="0.24"/>
    <n v="0.2424"/>
    <n v="0.75"/>
    <n v="0.16420000000000001"/>
    <n v="5"/>
    <n v="12"/>
    <n v="17"/>
    <s v="Weekend"/>
  </r>
  <r>
    <n v="785"/>
    <d v="2011-02-05T00:00:00"/>
    <x v="0"/>
    <n v="0"/>
    <x v="1"/>
    <x v="3"/>
    <b v="0"/>
    <x v="0"/>
    <x v="1"/>
    <n v="0.24"/>
    <n v="0.2424"/>
    <n v="0.75"/>
    <n v="0.16420000000000001"/>
    <n v="1"/>
    <n v="10"/>
    <n v="11"/>
    <s v="Weekend"/>
  </r>
  <r>
    <n v="786"/>
    <d v="2011-02-05T00:00:00"/>
    <x v="0"/>
    <n v="0"/>
    <x v="1"/>
    <x v="4"/>
    <b v="0"/>
    <x v="0"/>
    <x v="2"/>
    <n v="0.22"/>
    <n v="0.2273"/>
    <n v="0.93"/>
    <n v="0.1343"/>
    <n v="0"/>
    <n v="8"/>
    <n v="8"/>
    <s v="Weekend"/>
  </r>
  <r>
    <n v="787"/>
    <d v="2011-02-05T00:00:00"/>
    <x v="0"/>
    <n v="0"/>
    <x v="1"/>
    <x v="5"/>
    <b v="0"/>
    <x v="0"/>
    <x v="2"/>
    <n v="0.2"/>
    <n v="0.2273"/>
    <n v="1"/>
    <n v="8.9599999999999999E-2"/>
    <n v="0"/>
    <n v="9"/>
    <n v="9"/>
    <s v="Weekend"/>
  </r>
  <r>
    <n v="788"/>
    <d v="2011-02-05T00:00:00"/>
    <x v="0"/>
    <n v="0"/>
    <x v="1"/>
    <x v="6"/>
    <b v="0"/>
    <x v="0"/>
    <x v="2"/>
    <n v="0.2"/>
    <n v="0.2576"/>
    <n v="1"/>
    <n v="0"/>
    <n v="0"/>
    <n v="4"/>
    <n v="4"/>
    <s v="Weekend"/>
  </r>
  <r>
    <n v="789"/>
    <d v="2011-02-05T00:00:00"/>
    <x v="0"/>
    <n v="0"/>
    <x v="1"/>
    <x v="7"/>
    <b v="0"/>
    <x v="0"/>
    <x v="2"/>
    <n v="0.22"/>
    <n v="0.2576"/>
    <n v="0.93"/>
    <n v="8.9599999999999999E-2"/>
    <n v="0"/>
    <n v="4"/>
    <n v="4"/>
    <s v="Weekend"/>
  </r>
  <r>
    <n v="790"/>
    <d v="2011-02-05T00:00:00"/>
    <x v="0"/>
    <n v="0"/>
    <x v="1"/>
    <x v="8"/>
    <b v="0"/>
    <x v="0"/>
    <x v="2"/>
    <n v="0.2"/>
    <n v="0.2273"/>
    <n v="1"/>
    <n v="8.9599999999999999E-2"/>
    <n v="0"/>
    <n v="10"/>
    <n v="10"/>
    <s v="Weekend"/>
  </r>
  <r>
    <n v="791"/>
    <d v="2011-02-05T00:00:00"/>
    <x v="0"/>
    <n v="0"/>
    <x v="1"/>
    <x v="9"/>
    <b v="0"/>
    <x v="0"/>
    <x v="2"/>
    <n v="0.2"/>
    <n v="0.2273"/>
    <n v="1"/>
    <n v="8.9599999999999999E-2"/>
    <n v="3"/>
    <n v="17"/>
    <n v="20"/>
    <s v="Weekend"/>
  </r>
  <r>
    <n v="792"/>
    <d v="2011-02-05T00:00:00"/>
    <x v="0"/>
    <n v="0"/>
    <x v="1"/>
    <x v="10"/>
    <b v="0"/>
    <x v="0"/>
    <x v="2"/>
    <n v="0.2"/>
    <n v="0.21210000000000001"/>
    <n v="1"/>
    <n v="0.1343"/>
    <n v="3"/>
    <n v="31"/>
    <n v="34"/>
    <s v="Weekend"/>
  </r>
  <r>
    <n v="793"/>
    <d v="2011-02-05T00:00:00"/>
    <x v="0"/>
    <n v="0"/>
    <x v="1"/>
    <x v="11"/>
    <b v="0"/>
    <x v="0"/>
    <x v="2"/>
    <n v="0.22"/>
    <n v="0.2273"/>
    <n v="1"/>
    <n v="0.1343"/>
    <n v="1"/>
    <n v="46"/>
    <n v="47"/>
    <s v="Weekend"/>
  </r>
  <r>
    <n v="794"/>
    <d v="2011-02-05T00:00:00"/>
    <x v="0"/>
    <n v="0"/>
    <x v="1"/>
    <x v="12"/>
    <b v="0"/>
    <x v="0"/>
    <x v="2"/>
    <n v="0.22"/>
    <n v="0.2273"/>
    <n v="1"/>
    <n v="0.16420000000000001"/>
    <n v="10"/>
    <n v="42"/>
    <n v="52"/>
    <s v="Weekend"/>
  </r>
  <r>
    <n v="795"/>
    <d v="2011-02-05T00:00:00"/>
    <x v="0"/>
    <n v="0"/>
    <x v="1"/>
    <x v="13"/>
    <b v="0"/>
    <x v="0"/>
    <x v="2"/>
    <n v="0.22"/>
    <n v="0.2273"/>
    <n v="1"/>
    <n v="0.16420000000000001"/>
    <n v="10"/>
    <n v="62"/>
    <n v="72"/>
    <s v="Weekend"/>
  </r>
  <r>
    <n v="796"/>
    <d v="2011-02-05T00:00:00"/>
    <x v="0"/>
    <n v="0"/>
    <x v="1"/>
    <x v="14"/>
    <b v="0"/>
    <x v="0"/>
    <x v="2"/>
    <n v="0.22"/>
    <n v="0.2727"/>
    <n v="1"/>
    <n v="0"/>
    <n v="5"/>
    <n v="50"/>
    <n v="55"/>
    <s v="Weekend"/>
  </r>
  <r>
    <n v="797"/>
    <d v="2011-02-05T00:00:00"/>
    <x v="0"/>
    <n v="0"/>
    <x v="1"/>
    <x v="15"/>
    <b v="0"/>
    <x v="0"/>
    <x v="2"/>
    <n v="0.22"/>
    <n v="0.2727"/>
    <n v="1"/>
    <n v="0"/>
    <n v="11"/>
    <n v="49"/>
    <n v="60"/>
    <s v="Weekend"/>
  </r>
  <r>
    <n v="798"/>
    <d v="2011-02-05T00:00:00"/>
    <x v="0"/>
    <n v="0"/>
    <x v="1"/>
    <x v="16"/>
    <b v="0"/>
    <x v="0"/>
    <x v="2"/>
    <n v="0.22"/>
    <n v="0.2273"/>
    <n v="1"/>
    <n v="0.1343"/>
    <n v="8"/>
    <n v="63"/>
    <n v="71"/>
    <s v="Weekend"/>
  </r>
  <r>
    <n v="799"/>
    <d v="2011-02-05T00:00:00"/>
    <x v="0"/>
    <n v="0"/>
    <x v="1"/>
    <x v="17"/>
    <b v="0"/>
    <x v="0"/>
    <x v="1"/>
    <n v="0.24"/>
    <n v="0.21210000000000001"/>
    <n v="1"/>
    <n v="0.28360000000000002"/>
    <n v="14"/>
    <n v="64"/>
    <n v="78"/>
    <s v="Weekend"/>
  </r>
  <r>
    <n v="800"/>
    <d v="2011-02-05T00:00:00"/>
    <x v="0"/>
    <n v="0"/>
    <x v="1"/>
    <x v="18"/>
    <b v="0"/>
    <x v="0"/>
    <x v="1"/>
    <n v="0.28000000000000003"/>
    <n v="0.2424"/>
    <n v="0.93"/>
    <n v="0.44779999999999998"/>
    <n v="2"/>
    <n v="81"/>
    <n v="83"/>
    <s v="Weekend"/>
  </r>
  <r>
    <n v="801"/>
    <d v="2011-02-05T00:00:00"/>
    <x v="0"/>
    <n v="0"/>
    <x v="1"/>
    <x v="19"/>
    <b v="0"/>
    <x v="0"/>
    <x v="1"/>
    <n v="0.28000000000000003"/>
    <n v="0.2424"/>
    <n v="0.93"/>
    <n v="0.44779999999999998"/>
    <n v="6"/>
    <n v="78"/>
    <n v="84"/>
    <s v="Weekend"/>
  </r>
  <r>
    <n v="802"/>
    <d v="2011-02-05T00:00:00"/>
    <x v="0"/>
    <n v="0"/>
    <x v="1"/>
    <x v="20"/>
    <b v="0"/>
    <x v="0"/>
    <x v="0"/>
    <n v="0.3"/>
    <n v="0.28789999999999999"/>
    <n v="0.87"/>
    <n v="0.25369999999999998"/>
    <n v="5"/>
    <n v="64"/>
    <n v="69"/>
    <s v="Weekend"/>
  </r>
  <r>
    <n v="803"/>
    <d v="2011-02-05T00:00:00"/>
    <x v="0"/>
    <n v="0"/>
    <x v="1"/>
    <x v="21"/>
    <b v="0"/>
    <x v="0"/>
    <x v="0"/>
    <n v="0.26"/>
    <n v="0.2576"/>
    <n v="1"/>
    <n v="0.19400000000000001"/>
    <n v="3"/>
    <n v="53"/>
    <n v="56"/>
    <s v="Weekend"/>
  </r>
  <r>
    <n v="804"/>
    <d v="2011-02-05T00:00:00"/>
    <x v="0"/>
    <n v="0"/>
    <x v="1"/>
    <x v="22"/>
    <b v="0"/>
    <x v="0"/>
    <x v="0"/>
    <n v="0.26"/>
    <n v="0.2727"/>
    <n v="0.93"/>
    <n v="0.1343"/>
    <n v="2"/>
    <n v="43"/>
    <n v="45"/>
    <s v="Weekend"/>
  </r>
  <r>
    <n v="805"/>
    <d v="2011-02-05T00:00:00"/>
    <x v="0"/>
    <n v="0"/>
    <x v="1"/>
    <x v="23"/>
    <b v="0"/>
    <x v="0"/>
    <x v="0"/>
    <n v="0.26"/>
    <n v="0.2576"/>
    <n v="0.93"/>
    <n v="0.22389999999999999"/>
    <n v="7"/>
    <n v="52"/>
    <n v="59"/>
    <s v="Weekend"/>
  </r>
  <r>
    <n v="806"/>
    <d v="2011-02-06T00:00:00"/>
    <x v="0"/>
    <n v="0"/>
    <x v="1"/>
    <x v="0"/>
    <b v="0"/>
    <x v="1"/>
    <x v="0"/>
    <n v="0.26"/>
    <n v="0.2576"/>
    <n v="0.7"/>
    <n v="0.19400000000000001"/>
    <n v="2"/>
    <n v="37"/>
    <n v="39"/>
    <s v="Weekday"/>
  </r>
  <r>
    <n v="807"/>
    <d v="2011-02-06T00:00:00"/>
    <x v="0"/>
    <n v="0"/>
    <x v="1"/>
    <x v="1"/>
    <b v="0"/>
    <x v="1"/>
    <x v="0"/>
    <n v="0.26"/>
    <n v="0.2273"/>
    <n v="0.65"/>
    <n v="0.41789999999999999"/>
    <n v="4"/>
    <n v="40"/>
    <n v="44"/>
    <s v="Weekday"/>
  </r>
  <r>
    <n v="808"/>
    <d v="2011-02-06T00:00:00"/>
    <x v="0"/>
    <n v="0"/>
    <x v="1"/>
    <x v="2"/>
    <b v="0"/>
    <x v="1"/>
    <x v="0"/>
    <n v="0.26"/>
    <n v="0.2273"/>
    <n v="0.6"/>
    <n v="0.32840000000000003"/>
    <n v="0"/>
    <n v="20"/>
    <n v="20"/>
    <s v="Weekday"/>
  </r>
  <r>
    <n v="809"/>
    <d v="2011-02-06T00:00:00"/>
    <x v="0"/>
    <n v="0"/>
    <x v="1"/>
    <x v="3"/>
    <b v="0"/>
    <x v="1"/>
    <x v="0"/>
    <n v="0.26"/>
    <n v="0.28789999999999999"/>
    <n v="0.6"/>
    <n v="8.9599999999999999E-2"/>
    <n v="3"/>
    <n v="10"/>
    <n v="13"/>
    <s v="Weekday"/>
  </r>
  <r>
    <n v="810"/>
    <d v="2011-02-06T00:00:00"/>
    <x v="0"/>
    <n v="0"/>
    <x v="1"/>
    <x v="4"/>
    <b v="0"/>
    <x v="1"/>
    <x v="0"/>
    <n v="0.26"/>
    <n v="0.2273"/>
    <n v="0.6"/>
    <n v="0.35820000000000002"/>
    <n v="0"/>
    <n v="2"/>
    <n v="2"/>
    <s v="Weekday"/>
  </r>
  <r>
    <n v="811"/>
    <d v="2011-02-06T00:00:00"/>
    <x v="0"/>
    <n v="0"/>
    <x v="1"/>
    <x v="5"/>
    <b v="0"/>
    <x v="1"/>
    <x v="0"/>
    <n v="0.26"/>
    <n v="0.2576"/>
    <n v="0.6"/>
    <n v="0.22389999999999999"/>
    <n v="0"/>
    <n v="1"/>
    <n v="1"/>
    <s v="Weekday"/>
  </r>
  <r>
    <n v="812"/>
    <d v="2011-02-06T00:00:00"/>
    <x v="0"/>
    <n v="0"/>
    <x v="1"/>
    <x v="6"/>
    <b v="0"/>
    <x v="1"/>
    <x v="0"/>
    <n v="0.26"/>
    <n v="0.2576"/>
    <n v="0.6"/>
    <n v="0.22389999999999999"/>
    <n v="0"/>
    <n v="1"/>
    <n v="1"/>
    <s v="Weekday"/>
  </r>
  <r>
    <n v="813"/>
    <d v="2011-02-06T00:00:00"/>
    <x v="0"/>
    <n v="0"/>
    <x v="1"/>
    <x v="7"/>
    <b v="0"/>
    <x v="1"/>
    <x v="0"/>
    <n v="0.24"/>
    <n v="0.2424"/>
    <n v="0.65"/>
    <n v="0.16420000000000001"/>
    <n v="0"/>
    <n v="8"/>
    <n v="8"/>
    <s v="Weekday"/>
  </r>
  <r>
    <n v="814"/>
    <d v="2011-02-06T00:00:00"/>
    <x v="0"/>
    <n v="0"/>
    <x v="1"/>
    <x v="8"/>
    <b v="0"/>
    <x v="1"/>
    <x v="0"/>
    <n v="0.24"/>
    <n v="0.2576"/>
    <n v="0.65"/>
    <n v="0.1045"/>
    <n v="2"/>
    <n v="21"/>
    <n v="23"/>
    <s v="Weekday"/>
  </r>
  <r>
    <n v="815"/>
    <d v="2011-02-06T00:00:00"/>
    <x v="0"/>
    <n v="0"/>
    <x v="1"/>
    <x v="9"/>
    <b v="0"/>
    <x v="1"/>
    <x v="0"/>
    <n v="0.28000000000000003"/>
    <n v="0.28789999999999999"/>
    <n v="0.56000000000000005"/>
    <n v="0.1045"/>
    <n v="7"/>
    <n v="38"/>
    <n v="45"/>
    <s v="Weekday"/>
  </r>
  <r>
    <n v="816"/>
    <d v="2011-02-06T00:00:00"/>
    <x v="0"/>
    <n v="0"/>
    <x v="1"/>
    <x v="10"/>
    <b v="0"/>
    <x v="1"/>
    <x v="0"/>
    <n v="0.3"/>
    <n v="0.28789999999999999"/>
    <n v="0.52"/>
    <n v="0.25369999999999998"/>
    <n v="15"/>
    <n v="74"/>
    <n v="89"/>
    <s v="Weekday"/>
  </r>
  <r>
    <n v="817"/>
    <d v="2011-02-06T00:00:00"/>
    <x v="0"/>
    <n v="0"/>
    <x v="1"/>
    <x v="11"/>
    <b v="0"/>
    <x v="1"/>
    <x v="0"/>
    <n v="0.32"/>
    <n v="0.30299999999999999"/>
    <n v="0.49"/>
    <n v="0.25369999999999998"/>
    <n v="28"/>
    <n v="89"/>
    <n v="117"/>
    <s v="Weekday"/>
  </r>
  <r>
    <n v="818"/>
    <d v="2011-02-06T00:00:00"/>
    <x v="0"/>
    <n v="0"/>
    <x v="1"/>
    <x v="12"/>
    <b v="0"/>
    <x v="1"/>
    <x v="0"/>
    <n v="0.34"/>
    <n v="0.33329999999999999"/>
    <n v="0.46"/>
    <n v="0"/>
    <n v="48"/>
    <n v="126"/>
    <n v="174"/>
    <s v="Weekday"/>
  </r>
  <r>
    <n v="819"/>
    <d v="2011-02-06T00:00:00"/>
    <x v="0"/>
    <n v="0"/>
    <x v="1"/>
    <x v="13"/>
    <b v="0"/>
    <x v="1"/>
    <x v="0"/>
    <n v="0.34"/>
    <n v="0.36359999999999998"/>
    <n v="0.46"/>
    <n v="0"/>
    <n v="47"/>
    <n v="135"/>
    <n v="182"/>
    <s v="Weekday"/>
  </r>
  <r>
    <n v="820"/>
    <d v="2011-02-06T00:00:00"/>
    <x v="0"/>
    <n v="0"/>
    <x v="1"/>
    <x v="14"/>
    <b v="0"/>
    <x v="1"/>
    <x v="0"/>
    <n v="0.34"/>
    <n v="0.34849999999999998"/>
    <n v="0.46"/>
    <n v="8.9599999999999999E-2"/>
    <n v="47"/>
    <n v="114"/>
    <n v="161"/>
    <s v="Weekday"/>
  </r>
  <r>
    <n v="821"/>
    <d v="2011-02-06T00:00:00"/>
    <x v="0"/>
    <n v="0"/>
    <x v="1"/>
    <x v="15"/>
    <b v="0"/>
    <x v="1"/>
    <x v="0"/>
    <n v="0.34"/>
    <n v="0.34849999999999998"/>
    <n v="0.46"/>
    <n v="8.9599999999999999E-2"/>
    <n v="52"/>
    <n v="130"/>
    <n v="182"/>
    <s v="Weekday"/>
  </r>
  <r>
    <n v="822"/>
    <d v="2011-02-06T00:00:00"/>
    <x v="0"/>
    <n v="0"/>
    <x v="1"/>
    <x v="16"/>
    <b v="0"/>
    <x v="1"/>
    <x v="0"/>
    <n v="0.34"/>
    <n v="0.34849999999999998"/>
    <n v="0.49"/>
    <n v="0.1045"/>
    <n v="42"/>
    <n v="115"/>
    <n v="157"/>
    <s v="Weekday"/>
  </r>
  <r>
    <n v="823"/>
    <d v="2011-02-06T00:00:00"/>
    <x v="0"/>
    <n v="0"/>
    <x v="1"/>
    <x v="17"/>
    <b v="0"/>
    <x v="1"/>
    <x v="0"/>
    <n v="0.34"/>
    <n v="0.36359999999999998"/>
    <n v="0.46"/>
    <n v="0"/>
    <n v="24"/>
    <n v="97"/>
    <n v="121"/>
    <s v="Weekday"/>
  </r>
  <r>
    <n v="824"/>
    <d v="2011-02-06T00:00:00"/>
    <x v="0"/>
    <n v="0"/>
    <x v="1"/>
    <x v="18"/>
    <b v="0"/>
    <x v="1"/>
    <x v="0"/>
    <n v="0.3"/>
    <n v="0.30299999999999999"/>
    <n v="0.56000000000000005"/>
    <n v="0.16420000000000001"/>
    <n v="13"/>
    <n v="65"/>
    <n v="78"/>
    <s v="Weekday"/>
  </r>
  <r>
    <n v="825"/>
    <d v="2011-02-06T00:00:00"/>
    <x v="0"/>
    <n v="0"/>
    <x v="1"/>
    <x v="19"/>
    <b v="0"/>
    <x v="1"/>
    <x v="0"/>
    <n v="0.28000000000000003"/>
    <n v="0.28789999999999999"/>
    <n v="0.61"/>
    <n v="0.1343"/>
    <n v="1"/>
    <n v="20"/>
    <n v="21"/>
    <s v="Weekday"/>
  </r>
  <r>
    <n v="826"/>
    <d v="2011-02-06T00:00:00"/>
    <x v="0"/>
    <n v="0"/>
    <x v="1"/>
    <x v="20"/>
    <b v="0"/>
    <x v="1"/>
    <x v="0"/>
    <n v="0.28000000000000003"/>
    <n v="0.28789999999999999"/>
    <n v="0.61"/>
    <n v="0.1045"/>
    <n v="5"/>
    <n v="21"/>
    <n v="26"/>
    <s v="Weekday"/>
  </r>
  <r>
    <n v="827"/>
    <d v="2011-02-06T00:00:00"/>
    <x v="0"/>
    <n v="0"/>
    <x v="1"/>
    <x v="21"/>
    <b v="0"/>
    <x v="1"/>
    <x v="0"/>
    <n v="0.26"/>
    <n v="0.30299999999999999"/>
    <n v="0.6"/>
    <n v="0"/>
    <n v="5"/>
    <n v="22"/>
    <n v="27"/>
    <s v="Weekday"/>
  </r>
  <r>
    <n v="828"/>
    <d v="2011-02-06T00:00:00"/>
    <x v="0"/>
    <n v="0"/>
    <x v="1"/>
    <x v="22"/>
    <b v="0"/>
    <x v="1"/>
    <x v="0"/>
    <n v="0.26"/>
    <n v="0.30299999999999999"/>
    <n v="0.6"/>
    <n v="0"/>
    <n v="5"/>
    <n v="57"/>
    <n v="62"/>
    <s v="Weekday"/>
  </r>
  <r>
    <n v="829"/>
    <d v="2011-02-06T00:00:00"/>
    <x v="0"/>
    <n v="0"/>
    <x v="1"/>
    <x v="23"/>
    <b v="0"/>
    <x v="1"/>
    <x v="0"/>
    <n v="0.24"/>
    <n v="0.28789999999999999"/>
    <n v="0.65"/>
    <n v="0"/>
    <n v="4"/>
    <n v="26"/>
    <n v="30"/>
    <s v="Weekday"/>
  </r>
  <r>
    <n v="830"/>
    <d v="2011-02-07T00:00:00"/>
    <x v="0"/>
    <n v="0"/>
    <x v="1"/>
    <x v="0"/>
    <b v="0"/>
    <x v="2"/>
    <x v="0"/>
    <n v="0.24"/>
    <n v="0.28789999999999999"/>
    <n v="0.65"/>
    <n v="0"/>
    <n v="1"/>
    <n v="14"/>
    <n v="15"/>
    <s v="Weekday"/>
  </r>
  <r>
    <n v="831"/>
    <d v="2011-02-07T00:00:00"/>
    <x v="0"/>
    <n v="0"/>
    <x v="1"/>
    <x v="1"/>
    <b v="0"/>
    <x v="2"/>
    <x v="0"/>
    <n v="0.22"/>
    <n v="0.2727"/>
    <n v="0.75"/>
    <n v="0"/>
    <n v="1"/>
    <n v="4"/>
    <n v="5"/>
    <s v="Weekday"/>
  </r>
  <r>
    <n v="832"/>
    <d v="2011-02-07T00:00:00"/>
    <x v="0"/>
    <n v="0"/>
    <x v="1"/>
    <x v="2"/>
    <b v="0"/>
    <x v="2"/>
    <x v="0"/>
    <n v="0.2"/>
    <n v="0.2576"/>
    <n v="0.8"/>
    <n v="0"/>
    <n v="0"/>
    <n v="3"/>
    <n v="3"/>
    <s v="Weekday"/>
  </r>
  <r>
    <n v="833"/>
    <d v="2011-02-07T00:00:00"/>
    <x v="0"/>
    <n v="0"/>
    <x v="1"/>
    <x v="3"/>
    <b v="0"/>
    <x v="2"/>
    <x v="0"/>
    <n v="0.2"/>
    <n v="0.2576"/>
    <n v="0.86"/>
    <n v="0"/>
    <n v="0"/>
    <n v="1"/>
    <n v="1"/>
    <s v="Weekday"/>
  </r>
  <r>
    <n v="834"/>
    <d v="2011-02-07T00:00:00"/>
    <x v="0"/>
    <n v="0"/>
    <x v="1"/>
    <x v="4"/>
    <b v="0"/>
    <x v="2"/>
    <x v="0"/>
    <n v="0.2"/>
    <n v="0.2576"/>
    <n v="0.86"/>
    <n v="0"/>
    <n v="1"/>
    <n v="1"/>
    <n v="2"/>
    <s v="Weekday"/>
  </r>
  <r>
    <n v="835"/>
    <d v="2011-02-07T00:00:00"/>
    <x v="0"/>
    <n v="0"/>
    <x v="1"/>
    <x v="5"/>
    <b v="0"/>
    <x v="2"/>
    <x v="0"/>
    <n v="0.2"/>
    <n v="0.2576"/>
    <n v="0.86"/>
    <n v="0"/>
    <n v="1"/>
    <n v="9"/>
    <n v="10"/>
    <s v="Weekday"/>
  </r>
  <r>
    <n v="836"/>
    <d v="2011-02-07T00:00:00"/>
    <x v="0"/>
    <n v="0"/>
    <x v="1"/>
    <x v="6"/>
    <b v="0"/>
    <x v="2"/>
    <x v="0"/>
    <n v="0.18"/>
    <n v="0.2424"/>
    <n v="0.93"/>
    <n v="0"/>
    <n v="1"/>
    <n v="29"/>
    <n v="30"/>
    <s v="Weekday"/>
  </r>
  <r>
    <n v="837"/>
    <d v="2011-02-07T00:00:00"/>
    <x v="0"/>
    <n v="0"/>
    <x v="1"/>
    <x v="7"/>
    <b v="0"/>
    <x v="2"/>
    <x v="0"/>
    <n v="0.18"/>
    <n v="0.2424"/>
    <n v="0.86"/>
    <n v="0"/>
    <n v="6"/>
    <n v="89"/>
    <n v="95"/>
    <s v="Weekday"/>
  </r>
  <r>
    <n v="838"/>
    <d v="2011-02-07T00:00:00"/>
    <x v="0"/>
    <n v="0"/>
    <x v="1"/>
    <x v="8"/>
    <b v="0"/>
    <x v="2"/>
    <x v="1"/>
    <n v="0.16"/>
    <n v="0.2273"/>
    <n v="1"/>
    <n v="0"/>
    <n v="7"/>
    <n v="223"/>
    <n v="230"/>
    <s v="Weekday"/>
  </r>
  <r>
    <n v="839"/>
    <d v="2011-02-07T00:00:00"/>
    <x v="0"/>
    <n v="0"/>
    <x v="1"/>
    <x v="9"/>
    <b v="0"/>
    <x v="2"/>
    <x v="0"/>
    <n v="0.22"/>
    <n v="0.2727"/>
    <n v="0.8"/>
    <n v="0"/>
    <n v="3"/>
    <n v="115"/>
    <n v="118"/>
    <s v="Weekday"/>
  </r>
  <r>
    <n v="840"/>
    <d v="2011-02-07T00:00:00"/>
    <x v="0"/>
    <n v="0"/>
    <x v="1"/>
    <x v="10"/>
    <b v="0"/>
    <x v="2"/>
    <x v="0"/>
    <n v="0.24"/>
    <n v="0.2576"/>
    <n v="0.75"/>
    <n v="0.1045"/>
    <n v="6"/>
    <n v="49"/>
    <n v="55"/>
    <s v="Weekday"/>
  </r>
  <r>
    <n v="841"/>
    <d v="2011-02-07T00:00:00"/>
    <x v="0"/>
    <n v="0"/>
    <x v="1"/>
    <x v="11"/>
    <b v="0"/>
    <x v="2"/>
    <x v="0"/>
    <n v="0.3"/>
    <n v="0.31819999999999998"/>
    <n v="0.65"/>
    <n v="8.9599999999999999E-2"/>
    <n v="11"/>
    <n v="36"/>
    <n v="47"/>
    <s v="Weekday"/>
  </r>
  <r>
    <n v="842"/>
    <d v="2011-02-07T00:00:00"/>
    <x v="0"/>
    <n v="0"/>
    <x v="1"/>
    <x v="12"/>
    <b v="0"/>
    <x v="2"/>
    <x v="1"/>
    <n v="0.32"/>
    <n v="0.34849999999999998"/>
    <n v="0.62"/>
    <n v="0"/>
    <n v="7"/>
    <n v="59"/>
    <n v="66"/>
    <s v="Weekday"/>
  </r>
  <r>
    <n v="843"/>
    <d v="2011-02-07T00:00:00"/>
    <x v="0"/>
    <n v="0"/>
    <x v="1"/>
    <x v="13"/>
    <b v="0"/>
    <x v="2"/>
    <x v="1"/>
    <n v="0.36"/>
    <n v="0.36359999999999998"/>
    <n v="0.56999999999999995"/>
    <n v="8.9599999999999999E-2"/>
    <n v="10"/>
    <n v="54"/>
    <n v="64"/>
    <s v="Weekday"/>
  </r>
  <r>
    <n v="844"/>
    <d v="2011-02-07T00:00:00"/>
    <x v="0"/>
    <n v="0"/>
    <x v="1"/>
    <x v="14"/>
    <b v="0"/>
    <x v="2"/>
    <x v="1"/>
    <n v="0.36"/>
    <n v="0.36359999999999998"/>
    <n v="0.56999999999999995"/>
    <n v="8.9599999999999999E-2"/>
    <n v="8"/>
    <n v="52"/>
    <n v="60"/>
    <s v="Weekday"/>
  </r>
  <r>
    <n v="845"/>
    <d v="2011-02-07T00:00:00"/>
    <x v="0"/>
    <n v="0"/>
    <x v="1"/>
    <x v="15"/>
    <b v="0"/>
    <x v="2"/>
    <x v="1"/>
    <n v="0.38"/>
    <n v="0.39389999999999997"/>
    <n v="0.54"/>
    <n v="8.9599999999999999E-2"/>
    <n v="4"/>
    <n v="46"/>
    <n v="50"/>
    <s v="Weekday"/>
  </r>
  <r>
    <n v="846"/>
    <d v="2011-02-07T00:00:00"/>
    <x v="0"/>
    <n v="0"/>
    <x v="1"/>
    <x v="16"/>
    <b v="0"/>
    <x v="2"/>
    <x v="1"/>
    <n v="0.36"/>
    <n v="0.34849999999999998"/>
    <n v="0.56999999999999995"/>
    <n v="0.1343"/>
    <n v="16"/>
    <n v="98"/>
    <n v="114"/>
    <s v="Weekday"/>
  </r>
  <r>
    <n v="847"/>
    <d v="2011-02-07T00:00:00"/>
    <x v="0"/>
    <n v="0"/>
    <x v="1"/>
    <x v="17"/>
    <b v="0"/>
    <x v="2"/>
    <x v="1"/>
    <n v="0.32"/>
    <n v="0.31819999999999998"/>
    <n v="0.7"/>
    <n v="0.16420000000000001"/>
    <n v="9"/>
    <n v="207"/>
    <n v="216"/>
    <s v="Weekday"/>
  </r>
  <r>
    <n v="848"/>
    <d v="2011-02-07T00:00:00"/>
    <x v="0"/>
    <n v="0"/>
    <x v="1"/>
    <x v="18"/>
    <b v="0"/>
    <x v="2"/>
    <x v="1"/>
    <n v="0.34"/>
    <n v="0.33329999999999999"/>
    <n v="0.66"/>
    <n v="0.1343"/>
    <n v="5"/>
    <n v="170"/>
    <n v="175"/>
    <s v="Weekday"/>
  </r>
  <r>
    <n v="849"/>
    <d v="2011-02-07T00:00:00"/>
    <x v="0"/>
    <n v="0"/>
    <x v="1"/>
    <x v="19"/>
    <b v="0"/>
    <x v="2"/>
    <x v="1"/>
    <n v="0.32"/>
    <n v="0.34849999999999998"/>
    <n v="0.7"/>
    <n v="0"/>
    <n v="5"/>
    <n v="123"/>
    <n v="128"/>
    <s v="Weekday"/>
  </r>
  <r>
    <n v="850"/>
    <d v="2011-02-07T00:00:00"/>
    <x v="0"/>
    <n v="0"/>
    <x v="1"/>
    <x v="20"/>
    <b v="0"/>
    <x v="2"/>
    <x v="1"/>
    <n v="0.32"/>
    <n v="0.33329999999999999"/>
    <n v="0.7"/>
    <n v="0.1045"/>
    <n v="6"/>
    <n v="82"/>
    <n v="88"/>
    <s v="Weekday"/>
  </r>
  <r>
    <n v="851"/>
    <d v="2011-02-07T00:00:00"/>
    <x v="0"/>
    <n v="0"/>
    <x v="1"/>
    <x v="21"/>
    <b v="0"/>
    <x v="2"/>
    <x v="0"/>
    <n v="0.32"/>
    <n v="0.34849999999999998"/>
    <n v="0.7"/>
    <n v="0"/>
    <n v="3"/>
    <n v="75"/>
    <n v="78"/>
    <s v="Weekday"/>
  </r>
  <r>
    <n v="852"/>
    <d v="2011-02-07T00:00:00"/>
    <x v="0"/>
    <n v="0"/>
    <x v="1"/>
    <x v="22"/>
    <b v="0"/>
    <x v="2"/>
    <x v="0"/>
    <n v="0.28000000000000003"/>
    <n v="0.30299999999999999"/>
    <n v="0.81"/>
    <n v="8.9599999999999999E-2"/>
    <n v="3"/>
    <n v="34"/>
    <n v="37"/>
    <s v="Weekday"/>
  </r>
  <r>
    <n v="853"/>
    <d v="2011-02-07T00:00:00"/>
    <x v="0"/>
    <n v="0"/>
    <x v="1"/>
    <x v="23"/>
    <b v="0"/>
    <x v="2"/>
    <x v="1"/>
    <n v="0.3"/>
    <n v="0.33329999999999999"/>
    <n v="0.81"/>
    <n v="0"/>
    <n v="6"/>
    <n v="19"/>
    <n v="25"/>
    <s v="Weekday"/>
  </r>
  <r>
    <n v="854"/>
    <d v="2011-02-08T00:00:00"/>
    <x v="0"/>
    <n v="0"/>
    <x v="1"/>
    <x v="0"/>
    <b v="0"/>
    <x v="3"/>
    <x v="1"/>
    <n v="0.28000000000000003"/>
    <n v="0.31819999999999998"/>
    <n v="0.87"/>
    <n v="0"/>
    <n v="4"/>
    <n v="6"/>
    <n v="10"/>
    <s v="Weekday"/>
  </r>
  <r>
    <n v="855"/>
    <d v="2011-02-08T00:00:00"/>
    <x v="0"/>
    <n v="0"/>
    <x v="1"/>
    <x v="1"/>
    <b v="0"/>
    <x v="3"/>
    <x v="1"/>
    <n v="0.28000000000000003"/>
    <n v="0.31819999999999998"/>
    <n v="0.87"/>
    <n v="0"/>
    <n v="0"/>
    <n v="4"/>
    <n v="4"/>
    <s v="Weekday"/>
  </r>
  <r>
    <n v="856"/>
    <d v="2011-02-08T00:00:00"/>
    <x v="0"/>
    <n v="0"/>
    <x v="1"/>
    <x v="2"/>
    <b v="0"/>
    <x v="3"/>
    <x v="1"/>
    <n v="0.26"/>
    <n v="0.2727"/>
    <n v="0.93"/>
    <n v="0.1045"/>
    <n v="1"/>
    <n v="1"/>
    <n v="2"/>
    <s v="Weekday"/>
  </r>
  <r>
    <n v="857"/>
    <d v="2011-02-08T00:00:00"/>
    <x v="0"/>
    <n v="0"/>
    <x v="1"/>
    <x v="3"/>
    <b v="0"/>
    <x v="3"/>
    <x v="2"/>
    <n v="0.28000000000000003"/>
    <n v="0.2727"/>
    <n v="0.93"/>
    <n v="0.16420000000000001"/>
    <n v="0"/>
    <n v="1"/>
    <n v="1"/>
    <s v="Weekday"/>
  </r>
  <r>
    <n v="858"/>
    <d v="2011-02-08T00:00:00"/>
    <x v="0"/>
    <n v="0"/>
    <x v="1"/>
    <x v="4"/>
    <b v="0"/>
    <x v="3"/>
    <x v="0"/>
    <n v="0.26"/>
    <n v="0.2576"/>
    <n v="0.93"/>
    <n v="0.16420000000000001"/>
    <n v="0"/>
    <n v="3"/>
    <n v="3"/>
    <s v="Weekday"/>
  </r>
  <r>
    <n v="859"/>
    <d v="2011-02-08T00:00:00"/>
    <x v="0"/>
    <n v="0"/>
    <x v="1"/>
    <x v="5"/>
    <b v="0"/>
    <x v="3"/>
    <x v="0"/>
    <n v="0.26"/>
    <n v="0.2273"/>
    <n v="0.81"/>
    <n v="0.32840000000000003"/>
    <n v="0"/>
    <n v="2"/>
    <n v="2"/>
    <s v="Weekday"/>
  </r>
  <r>
    <n v="860"/>
    <d v="2011-02-08T00:00:00"/>
    <x v="0"/>
    <n v="0"/>
    <x v="1"/>
    <x v="6"/>
    <b v="0"/>
    <x v="3"/>
    <x v="0"/>
    <n v="0.26"/>
    <n v="0.2273"/>
    <n v="0.7"/>
    <n v="0.32840000000000003"/>
    <n v="0"/>
    <n v="39"/>
    <n v="39"/>
    <s v="Weekday"/>
  </r>
  <r>
    <n v="861"/>
    <d v="2011-02-08T00:00:00"/>
    <x v="0"/>
    <n v="0"/>
    <x v="1"/>
    <x v="7"/>
    <b v="0"/>
    <x v="3"/>
    <x v="0"/>
    <n v="0.24"/>
    <n v="0.19700000000000001"/>
    <n v="0.65"/>
    <n v="0.41789999999999999"/>
    <n v="3"/>
    <n v="97"/>
    <n v="100"/>
    <s v="Weekday"/>
  </r>
  <r>
    <n v="862"/>
    <d v="2011-02-08T00:00:00"/>
    <x v="0"/>
    <n v="0"/>
    <x v="1"/>
    <x v="8"/>
    <b v="0"/>
    <x v="3"/>
    <x v="0"/>
    <n v="0.24"/>
    <n v="0.19700000000000001"/>
    <n v="0.56000000000000005"/>
    <n v="0.49249999999999999"/>
    <n v="7"/>
    <n v="236"/>
    <n v="243"/>
    <s v="Weekday"/>
  </r>
  <r>
    <n v="863"/>
    <d v="2011-02-08T00:00:00"/>
    <x v="0"/>
    <n v="0"/>
    <x v="1"/>
    <x v="9"/>
    <b v="0"/>
    <x v="3"/>
    <x v="0"/>
    <n v="0.24"/>
    <n v="0.19700000000000001"/>
    <n v="0.52"/>
    <n v="0.49249999999999999"/>
    <n v="7"/>
    <n v="128"/>
    <n v="135"/>
    <s v="Weekday"/>
  </r>
  <r>
    <n v="864"/>
    <d v="2011-02-08T00:00:00"/>
    <x v="0"/>
    <n v="0"/>
    <x v="1"/>
    <x v="10"/>
    <b v="0"/>
    <x v="3"/>
    <x v="0"/>
    <n v="0.22"/>
    <n v="0.18179999999999999"/>
    <n v="0.47"/>
    <n v="0.55220000000000002"/>
    <n v="4"/>
    <n v="44"/>
    <n v="48"/>
    <s v="Weekday"/>
  </r>
  <r>
    <n v="865"/>
    <d v="2011-02-08T00:00:00"/>
    <x v="0"/>
    <n v="0"/>
    <x v="1"/>
    <x v="11"/>
    <b v="0"/>
    <x v="3"/>
    <x v="0"/>
    <n v="0.22"/>
    <n v="0.18179999999999999"/>
    <n v="0.47"/>
    <n v="0.4627"/>
    <n v="1"/>
    <n v="49"/>
    <n v="50"/>
    <s v="Weekday"/>
  </r>
  <r>
    <n v="866"/>
    <d v="2011-02-08T00:00:00"/>
    <x v="0"/>
    <n v="0"/>
    <x v="1"/>
    <x v="12"/>
    <b v="0"/>
    <x v="3"/>
    <x v="0"/>
    <n v="0.24"/>
    <n v="0.19700000000000001"/>
    <n v="0.38"/>
    <n v="0.49249999999999999"/>
    <n v="2"/>
    <n v="63"/>
    <n v="65"/>
    <s v="Weekday"/>
  </r>
  <r>
    <n v="867"/>
    <d v="2011-02-08T00:00:00"/>
    <x v="0"/>
    <n v="0"/>
    <x v="1"/>
    <x v="13"/>
    <b v="0"/>
    <x v="3"/>
    <x v="1"/>
    <n v="0.24"/>
    <n v="0.19700000000000001"/>
    <n v="0.32"/>
    <n v="0.44779999999999998"/>
    <n v="2"/>
    <n v="48"/>
    <n v="50"/>
    <s v="Weekday"/>
  </r>
  <r>
    <n v="868"/>
    <d v="2011-02-08T00:00:00"/>
    <x v="0"/>
    <n v="0"/>
    <x v="1"/>
    <x v="14"/>
    <b v="0"/>
    <x v="3"/>
    <x v="0"/>
    <n v="0.22"/>
    <n v="0.19700000000000001"/>
    <n v="0.37"/>
    <n v="0.41789999999999999"/>
    <n v="3"/>
    <n v="61"/>
    <n v="64"/>
    <s v="Weekday"/>
  </r>
  <r>
    <n v="869"/>
    <d v="2011-02-08T00:00:00"/>
    <x v="0"/>
    <n v="0"/>
    <x v="1"/>
    <x v="15"/>
    <b v="0"/>
    <x v="3"/>
    <x v="0"/>
    <n v="0.22"/>
    <n v="0.19700000000000001"/>
    <n v="0.35"/>
    <n v="0.3881"/>
    <n v="6"/>
    <n v="45"/>
    <n v="51"/>
    <s v="Weekday"/>
  </r>
  <r>
    <n v="870"/>
    <d v="2011-02-08T00:00:00"/>
    <x v="0"/>
    <n v="0"/>
    <x v="1"/>
    <x v="16"/>
    <b v="0"/>
    <x v="3"/>
    <x v="0"/>
    <n v="0.22"/>
    <n v="0.18179999999999999"/>
    <n v="0.35"/>
    <n v="0.52239999999999998"/>
    <n v="4"/>
    <n v="79"/>
    <n v="83"/>
    <s v="Weekday"/>
  </r>
  <r>
    <n v="871"/>
    <d v="2011-02-08T00:00:00"/>
    <x v="0"/>
    <n v="0"/>
    <x v="1"/>
    <x v="17"/>
    <b v="0"/>
    <x v="3"/>
    <x v="0"/>
    <n v="0.22"/>
    <n v="0.18179999999999999"/>
    <n v="0.32"/>
    <n v="0.58209999999999995"/>
    <n v="4"/>
    <n v="172"/>
    <n v="176"/>
    <s v="Weekday"/>
  </r>
  <r>
    <n v="872"/>
    <d v="2011-02-08T00:00:00"/>
    <x v="0"/>
    <n v="0"/>
    <x v="1"/>
    <x v="18"/>
    <b v="0"/>
    <x v="3"/>
    <x v="0"/>
    <n v="0.2"/>
    <n v="0.18179999999999999"/>
    <n v="0.32"/>
    <n v="0.3881"/>
    <n v="1"/>
    <n v="151"/>
    <n v="152"/>
    <s v="Weekday"/>
  </r>
  <r>
    <n v="873"/>
    <d v="2011-02-08T00:00:00"/>
    <x v="0"/>
    <n v="0"/>
    <x v="1"/>
    <x v="19"/>
    <b v="0"/>
    <x v="3"/>
    <x v="0"/>
    <n v="0.16"/>
    <n v="0.1212"/>
    <n v="0.4"/>
    <n v="0.4627"/>
    <n v="1"/>
    <n v="100"/>
    <n v="101"/>
    <s v="Weekday"/>
  </r>
  <r>
    <n v="874"/>
    <d v="2011-02-08T00:00:00"/>
    <x v="0"/>
    <n v="0"/>
    <x v="1"/>
    <x v="20"/>
    <b v="0"/>
    <x v="3"/>
    <x v="0"/>
    <n v="0.16"/>
    <n v="0.13639999999999999"/>
    <n v="0.4"/>
    <n v="0.32840000000000003"/>
    <n v="3"/>
    <n v="53"/>
    <n v="56"/>
    <s v="Weekday"/>
  </r>
  <r>
    <n v="875"/>
    <d v="2011-02-08T00:00:00"/>
    <x v="0"/>
    <n v="0"/>
    <x v="1"/>
    <x v="21"/>
    <b v="0"/>
    <x v="3"/>
    <x v="0"/>
    <n v="0.14000000000000001"/>
    <n v="0.1061"/>
    <n v="0.33"/>
    <n v="0.4627"/>
    <n v="8"/>
    <n v="46"/>
    <n v="54"/>
    <s v="Weekday"/>
  </r>
  <r>
    <n v="876"/>
    <d v="2011-02-08T00:00:00"/>
    <x v="0"/>
    <n v="0"/>
    <x v="1"/>
    <x v="22"/>
    <b v="0"/>
    <x v="3"/>
    <x v="0"/>
    <n v="0.12"/>
    <n v="0.1061"/>
    <n v="0.33"/>
    <n v="0.35820000000000002"/>
    <n v="0"/>
    <n v="29"/>
    <n v="29"/>
    <s v="Weekday"/>
  </r>
  <r>
    <n v="877"/>
    <d v="2011-02-08T00:00:00"/>
    <x v="0"/>
    <n v="0"/>
    <x v="1"/>
    <x v="23"/>
    <b v="0"/>
    <x v="3"/>
    <x v="0"/>
    <n v="0.12"/>
    <n v="0.1061"/>
    <n v="0.33"/>
    <n v="0.32840000000000003"/>
    <n v="3"/>
    <n v="9"/>
    <n v="12"/>
    <s v="Weekday"/>
  </r>
  <r>
    <n v="878"/>
    <d v="2011-02-09T00:00:00"/>
    <x v="0"/>
    <n v="0"/>
    <x v="1"/>
    <x v="0"/>
    <b v="0"/>
    <x v="4"/>
    <x v="0"/>
    <n v="0.1"/>
    <n v="7.5800000000000006E-2"/>
    <n v="0.36"/>
    <n v="0.35820000000000002"/>
    <n v="0"/>
    <n v="17"/>
    <n v="17"/>
    <s v="Weekday"/>
  </r>
  <r>
    <n v="879"/>
    <d v="2011-02-09T00:00:00"/>
    <x v="0"/>
    <n v="0"/>
    <x v="1"/>
    <x v="1"/>
    <b v="0"/>
    <x v="4"/>
    <x v="0"/>
    <n v="0.1"/>
    <n v="0.1061"/>
    <n v="0.36"/>
    <n v="0.22389999999999999"/>
    <n v="0"/>
    <n v="7"/>
    <n v="7"/>
    <s v="Weekday"/>
  </r>
  <r>
    <n v="880"/>
    <d v="2011-02-09T00:00:00"/>
    <x v="0"/>
    <n v="0"/>
    <x v="1"/>
    <x v="2"/>
    <b v="0"/>
    <x v="4"/>
    <x v="0"/>
    <n v="0.08"/>
    <n v="7.5800000000000006E-2"/>
    <n v="0.38"/>
    <n v="0.28360000000000002"/>
    <n v="1"/>
    <n v="2"/>
    <n v="3"/>
    <s v="Weekday"/>
  </r>
  <r>
    <n v="881"/>
    <d v="2011-02-09T00:00:00"/>
    <x v="0"/>
    <n v="0"/>
    <x v="1"/>
    <x v="3"/>
    <b v="0"/>
    <x v="4"/>
    <x v="0"/>
    <n v="0.06"/>
    <n v="7.5800000000000006E-2"/>
    <n v="0.45"/>
    <n v="0.1343"/>
    <n v="0"/>
    <n v="2"/>
    <n v="2"/>
    <s v="Weekday"/>
  </r>
  <r>
    <n v="882"/>
    <d v="2011-02-09T00:00:00"/>
    <x v="0"/>
    <n v="0"/>
    <x v="1"/>
    <x v="5"/>
    <b v="0"/>
    <x v="4"/>
    <x v="0"/>
    <n v="0.06"/>
    <n v="0.1061"/>
    <n v="0.45"/>
    <n v="0.1045"/>
    <n v="0"/>
    <n v="7"/>
    <n v="7"/>
    <s v="Weekday"/>
  </r>
  <r>
    <n v="883"/>
    <d v="2011-02-09T00:00:00"/>
    <x v="0"/>
    <n v="0"/>
    <x v="1"/>
    <x v="6"/>
    <b v="0"/>
    <x v="4"/>
    <x v="0"/>
    <n v="0.06"/>
    <n v="0.1515"/>
    <n v="0.45"/>
    <n v="0"/>
    <n v="0"/>
    <n v="43"/>
    <n v="43"/>
    <s v="Weekday"/>
  </r>
  <r>
    <n v="884"/>
    <d v="2011-02-09T00:00:00"/>
    <x v="0"/>
    <n v="0"/>
    <x v="1"/>
    <x v="7"/>
    <b v="0"/>
    <x v="4"/>
    <x v="0"/>
    <n v="0.06"/>
    <n v="0.1061"/>
    <n v="0.49"/>
    <n v="0.1045"/>
    <n v="4"/>
    <n v="95"/>
    <n v="99"/>
    <s v="Weekday"/>
  </r>
  <r>
    <n v="885"/>
    <d v="2011-02-09T00:00:00"/>
    <x v="0"/>
    <n v="0"/>
    <x v="1"/>
    <x v="8"/>
    <b v="0"/>
    <x v="4"/>
    <x v="0"/>
    <n v="0.1"/>
    <n v="0.13639999999999999"/>
    <n v="0.42"/>
    <n v="0"/>
    <n v="1"/>
    <n v="198"/>
    <n v="199"/>
    <s v="Weekday"/>
  </r>
  <r>
    <n v="886"/>
    <d v="2011-02-09T00:00:00"/>
    <x v="0"/>
    <n v="0"/>
    <x v="1"/>
    <x v="9"/>
    <b v="0"/>
    <x v="4"/>
    <x v="0"/>
    <n v="0.12"/>
    <n v="0.13639999999999999"/>
    <n v="0.39"/>
    <n v="0.16420000000000001"/>
    <n v="4"/>
    <n v="119"/>
    <n v="123"/>
    <s v="Weekday"/>
  </r>
  <r>
    <n v="887"/>
    <d v="2011-02-09T00:00:00"/>
    <x v="0"/>
    <n v="0"/>
    <x v="1"/>
    <x v="10"/>
    <b v="0"/>
    <x v="4"/>
    <x v="0"/>
    <n v="0.14000000000000001"/>
    <n v="0.18179999999999999"/>
    <n v="0.36"/>
    <n v="0"/>
    <n v="8"/>
    <n v="51"/>
    <n v="59"/>
    <s v="Weekday"/>
  </r>
  <r>
    <n v="888"/>
    <d v="2011-02-09T00:00:00"/>
    <x v="0"/>
    <n v="0"/>
    <x v="1"/>
    <x v="11"/>
    <b v="0"/>
    <x v="4"/>
    <x v="1"/>
    <n v="0.14000000000000001"/>
    <n v="0.1515"/>
    <n v="0.43"/>
    <n v="0.16420000000000001"/>
    <n v="1"/>
    <n v="40"/>
    <n v="41"/>
    <s v="Weekday"/>
  </r>
  <r>
    <n v="889"/>
    <d v="2011-02-09T00:00:00"/>
    <x v="0"/>
    <n v="0"/>
    <x v="1"/>
    <x v="12"/>
    <b v="0"/>
    <x v="4"/>
    <x v="1"/>
    <n v="0.18"/>
    <n v="0.18179999999999999"/>
    <n v="0.4"/>
    <n v="0.22389999999999999"/>
    <n v="4"/>
    <n v="57"/>
    <n v="61"/>
    <s v="Weekday"/>
  </r>
  <r>
    <n v="890"/>
    <d v="2011-02-09T00:00:00"/>
    <x v="0"/>
    <n v="0"/>
    <x v="1"/>
    <x v="13"/>
    <b v="0"/>
    <x v="4"/>
    <x v="0"/>
    <n v="0.18"/>
    <n v="0.16669999999999999"/>
    <n v="0.4"/>
    <n v="0.25369999999999998"/>
    <n v="2"/>
    <n v="67"/>
    <n v="69"/>
    <s v="Weekday"/>
  </r>
  <r>
    <n v="891"/>
    <d v="2011-02-09T00:00:00"/>
    <x v="0"/>
    <n v="0"/>
    <x v="1"/>
    <x v="14"/>
    <b v="0"/>
    <x v="4"/>
    <x v="0"/>
    <n v="0.2"/>
    <n v="0.18179999999999999"/>
    <n v="0.34"/>
    <n v="0.29849999999999999"/>
    <n v="2"/>
    <n v="56"/>
    <n v="58"/>
    <s v="Weekday"/>
  </r>
  <r>
    <n v="892"/>
    <d v="2011-02-09T00:00:00"/>
    <x v="0"/>
    <n v="0"/>
    <x v="1"/>
    <x v="15"/>
    <b v="0"/>
    <x v="4"/>
    <x v="1"/>
    <n v="0.2"/>
    <n v="0.18179999999999999"/>
    <n v="0.34"/>
    <n v="0.28360000000000002"/>
    <n v="3"/>
    <n v="61"/>
    <n v="64"/>
    <s v="Weekday"/>
  </r>
  <r>
    <n v="893"/>
    <d v="2011-02-09T00:00:00"/>
    <x v="0"/>
    <n v="0"/>
    <x v="1"/>
    <x v="16"/>
    <b v="0"/>
    <x v="4"/>
    <x v="1"/>
    <n v="0.2"/>
    <n v="0.19700000000000001"/>
    <n v="0.37"/>
    <n v="0.25369999999999998"/>
    <n v="7"/>
    <n v="72"/>
    <n v="79"/>
    <s v="Weekday"/>
  </r>
  <r>
    <n v="894"/>
    <d v="2011-02-09T00:00:00"/>
    <x v="0"/>
    <n v="0"/>
    <x v="1"/>
    <x v="17"/>
    <b v="0"/>
    <x v="4"/>
    <x v="1"/>
    <n v="0.2"/>
    <n v="0.19700000000000001"/>
    <n v="0.34"/>
    <n v="0.25369999999999998"/>
    <n v="9"/>
    <n v="157"/>
    <n v="166"/>
    <s v="Weekday"/>
  </r>
  <r>
    <n v="895"/>
    <d v="2011-02-09T00:00:00"/>
    <x v="0"/>
    <n v="0"/>
    <x v="1"/>
    <x v="18"/>
    <b v="0"/>
    <x v="4"/>
    <x v="1"/>
    <n v="0.18"/>
    <n v="0.16669999999999999"/>
    <n v="0.47"/>
    <n v="0.29849999999999999"/>
    <n v="2"/>
    <n v="168"/>
    <n v="170"/>
    <s v="Weekday"/>
  </r>
  <r>
    <n v="896"/>
    <d v="2011-02-09T00:00:00"/>
    <x v="0"/>
    <n v="0"/>
    <x v="1"/>
    <x v="19"/>
    <b v="0"/>
    <x v="4"/>
    <x v="2"/>
    <n v="0.14000000000000001"/>
    <n v="0.1212"/>
    <n v="0.86"/>
    <n v="0.25369999999999998"/>
    <n v="1"/>
    <n v="87"/>
    <n v="88"/>
    <s v="Weekday"/>
  </r>
  <r>
    <n v="897"/>
    <d v="2011-02-09T00:00:00"/>
    <x v="0"/>
    <n v="0"/>
    <x v="1"/>
    <x v="20"/>
    <b v="0"/>
    <x v="4"/>
    <x v="2"/>
    <n v="0.14000000000000001"/>
    <n v="0.1515"/>
    <n v="0.86"/>
    <n v="0.16420000000000001"/>
    <n v="0"/>
    <n v="84"/>
    <n v="84"/>
    <s v="Weekday"/>
  </r>
  <r>
    <n v="898"/>
    <d v="2011-02-09T00:00:00"/>
    <x v="0"/>
    <n v="0"/>
    <x v="1"/>
    <x v="21"/>
    <b v="0"/>
    <x v="4"/>
    <x v="1"/>
    <n v="0.14000000000000001"/>
    <n v="0.1515"/>
    <n v="0.86"/>
    <n v="0.16420000000000001"/>
    <n v="0"/>
    <n v="83"/>
    <n v="83"/>
    <s v="Weekday"/>
  </r>
  <r>
    <n v="899"/>
    <d v="2011-02-09T00:00:00"/>
    <x v="0"/>
    <n v="0"/>
    <x v="1"/>
    <x v="22"/>
    <b v="0"/>
    <x v="4"/>
    <x v="2"/>
    <n v="0.16"/>
    <n v="0.16669999999999999"/>
    <n v="0.8"/>
    <n v="0.16420000000000001"/>
    <n v="4"/>
    <n v="42"/>
    <n v="46"/>
    <s v="Weekday"/>
  </r>
  <r>
    <n v="900"/>
    <d v="2011-02-09T00:00:00"/>
    <x v="0"/>
    <n v="0"/>
    <x v="1"/>
    <x v="23"/>
    <b v="0"/>
    <x v="4"/>
    <x v="2"/>
    <n v="0.16"/>
    <n v="0.1515"/>
    <n v="0.8"/>
    <n v="0.19400000000000001"/>
    <n v="0"/>
    <n v="37"/>
    <n v="37"/>
    <s v="Weekday"/>
  </r>
  <r>
    <n v="901"/>
    <d v="2011-02-10T00:00:00"/>
    <x v="0"/>
    <n v="0"/>
    <x v="1"/>
    <x v="0"/>
    <b v="0"/>
    <x v="5"/>
    <x v="2"/>
    <n v="0.14000000000000001"/>
    <n v="0.13639999999999999"/>
    <n v="0.86"/>
    <n v="0.19400000000000001"/>
    <n v="0"/>
    <n v="16"/>
    <n v="16"/>
    <s v="Weekday"/>
  </r>
  <r>
    <n v="902"/>
    <d v="2011-02-10T00:00:00"/>
    <x v="0"/>
    <n v="0"/>
    <x v="1"/>
    <x v="1"/>
    <b v="0"/>
    <x v="5"/>
    <x v="2"/>
    <n v="0.14000000000000001"/>
    <n v="0.1515"/>
    <n v="0.8"/>
    <n v="0.1343"/>
    <n v="0"/>
    <n v="7"/>
    <n v="7"/>
    <s v="Weekday"/>
  </r>
  <r>
    <n v="903"/>
    <d v="2011-02-10T00:00:00"/>
    <x v="0"/>
    <n v="0"/>
    <x v="1"/>
    <x v="2"/>
    <b v="0"/>
    <x v="5"/>
    <x v="2"/>
    <n v="0.14000000000000001"/>
    <n v="0.1515"/>
    <n v="0.8"/>
    <n v="0.1343"/>
    <n v="0"/>
    <n v="3"/>
    <n v="3"/>
    <s v="Weekday"/>
  </r>
  <r>
    <n v="904"/>
    <d v="2011-02-10T00:00:00"/>
    <x v="0"/>
    <n v="0"/>
    <x v="1"/>
    <x v="4"/>
    <b v="0"/>
    <x v="5"/>
    <x v="1"/>
    <n v="0.14000000000000001"/>
    <n v="0.13639999999999999"/>
    <n v="0.59"/>
    <n v="0.22389999999999999"/>
    <n v="0"/>
    <n v="1"/>
    <n v="1"/>
    <s v="Weekday"/>
  </r>
  <r>
    <n v="905"/>
    <d v="2011-02-10T00:00:00"/>
    <x v="0"/>
    <n v="0"/>
    <x v="1"/>
    <x v="5"/>
    <b v="0"/>
    <x v="5"/>
    <x v="1"/>
    <n v="0.12"/>
    <n v="0.1212"/>
    <n v="0.5"/>
    <n v="0.22389999999999999"/>
    <n v="0"/>
    <n v="6"/>
    <n v="6"/>
    <s v="Weekday"/>
  </r>
  <r>
    <n v="906"/>
    <d v="2011-02-10T00:00:00"/>
    <x v="0"/>
    <n v="0"/>
    <x v="1"/>
    <x v="6"/>
    <b v="0"/>
    <x v="5"/>
    <x v="1"/>
    <n v="0.12"/>
    <n v="0.1212"/>
    <n v="0.54"/>
    <n v="0.28360000000000002"/>
    <n v="0"/>
    <n v="26"/>
    <n v="26"/>
    <s v="Weekday"/>
  </r>
  <r>
    <n v="907"/>
    <d v="2011-02-10T00:00:00"/>
    <x v="0"/>
    <n v="0"/>
    <x v="1"/>
    <x v="7"/>
    <b v="0"/>
    <x v="5"/>
    <x v="0"/>
    <n v="0.1"/>
    <n v="7.5800000000000006E-2"/>
    <n v="0.5"/>
    <n v="0.41789999999999999"/>
    <n v="0"/>
    <n v="99"/>
    <n v="99"/>
    <s v="Weekday"/>
  </r>
  <r>
    <n v="908"/>
    <d v="2011-02-10T00:00:00"/>
    <x v="0"/>
    <n v="0"/>
    <x v="1"/>
    <x v="8"/>
    <b v="0"/>
    <x v="5"/>
    <x v="0"/>
    <n v="0.1"/>
    <n v="7.5800000000000006E-2"/>
    <n v="0.49"/>
    <n v="0.32840000000000003"/>
    <n v="5"/>
    <n v="173"/>
    <n v="178"/>
    <s v="Weekday"/>
  </r>
  <r>
    <n v="909"/>
    <d v="2011-02-10T00:00:00"/>
    <x v="0"/>
    <n v="0"/>
    <x v="1"/>
    <x v="9"/>
    <b v="0"/>
    <x v="5"/>
    <x v="0"/>
    <n v="0.12"/>
    <n v="0.1061"/>
    <n v="0.42"/>
    <n v="0.35820000000000002"/>
    <n v="1"/>
    <n v="121"/>
    <n v="122"/>
    <s v="Weekday"/>
  </r>
  <r>
    <n v="910"/>
    <d v="2011-02-10T00:00:00"/>
    <x v="0"/>
    <n v="0"/>
    <x v="1"/>
    <x v="10"/>
    <b v="0"/>
    <x v="5"/>
    <x v="0"/>
    <n v="0.12"/>
    <n v="0.1061"/>
    <n v="0.42"/>
    <n v="0.29849999999999999"/>
    <n v="1"/>
    <n v="34"/>
    <n v="35"/>
    <s v="Weekday"/>
  </r>
  <r>
    <n v="911"/>
    <d v="2011-02-10T00:00:00"/>
    <x v="0"/>
    <n v="0"/>
    <x v="1"/>
    <x v="11"/>
    <b v="0"/>
    <x v="5"/>
    <x v="0"/>
    <n v="0.14000000000000001"/>
    <n v="0.1212"/>
    <n v="0.39"/>
    <n v="0.35820000000000002"/>
    <n v="1"/>
    <n v="44"/>
    <n v="45"/>
    <s v="Weekday"/>
  </r>
  <r>
    <n v="912"/>
    <d v="2011-02-10T00:00:00"/>
    <x v="0"/>
    <n v="0"/>
    <x v="1"/>
    <x v="12"/>
    <b v="0"/>
    <x v="5"/>
    <x v="0"/>
    <n v="0.16"/>
    <n v="0.13639999999999999"/>
    <n v="0.34"/>
    <n v="0.3881"/>
    <n v="4"/>
    <n v="65"/>
    <n v="69"/>
    <s v="Weekday"/>
  </r>
  <r>
    <n v="913"/>
    <d v="2011-02-10T00:00:00"/>
    <x v="0"/>
    <n v="0"/>
    <x v="1"/>
    <x v="13"/>
    <b v="0"/>
    <x v="5"/>
    <x v="0"/>
    <n v="0.18"/>
    <n v="0.16669999999999999"/>
    <n v="0.28999999999999998"/>
    <n v="0.29849999999999999"/>
    <n v="3"/>
    <n v="59"/>
    <n v="62"/>
    <s v="Weekday"/>
  </r>
  <r>
    <n v="914"/>
    <d v="2011-02-10T00:00:00"/>
    <x v="0"/>
    <n v="0"/>
    <x v="1"/>
    <x v="14"/>
    <b v="0"/>
    <x v="5"/>
    <x v="0"/>
    <n v="0.2"/>
    <n v="0.18179999999999999"/>
    <n v="0.27"/>
    <n v="0.28360000000000002"/>
    <n v="6"/>
    <n v="42"/>
    <n v="48"/>
    <s v="Weekday"/>
  </r>
  <r>
    <n v="915"/>
    <d v="2011-02-10T00:00:00"/>
    <x v="0"/>
    <n v="0"/>
    <x v="1"/>
    <x v="15"/>
    <b v="0"/>
    <x v="5"/>
    <x v="0"/>
    <n v="0.2"/>
    <n v="0.19700000000000001"/>
    <n v="0.25"/>
    <n v="0.25369999999999998"/>
    <n v="0"/>
    <n v="50"/>
    <n v="50"/>
    <s v="Weekday"/>
  </r>
  <r>
    <n v="916"/>
    <d v="2011-02-10T00:00:00"/>
    <x v="0"/>
    <n v="0"/>
    <x v="1"/>
    <x v="16"/>
    <b v="0"/>
    <x v="5"/>
    <x v="0"/>
    <n v="0.2"/>
    <n v="0.18179999999999999"/>
    <n v="0.27"/>
    <n v="0.29849999999999999"/>
    <n v="4"/>
    <n v="76"/>
    <n v="80"/>
    <s v="Weekday"/>
  </r>
  <r>
    <n v="917"/>
    <d v="2011-02-10T00:00:00"/>
    <x v="0"/>
    <n v="0"/>
    <x v="1"/>
    <x v="17"/>
    <b v="0"/>
    <x v="5"/>
    <x v="0"/>
    <n v="0.18"/>
    <n v="0.18179999999999999"/>
    <n v="0.26"/>
    <n v="0.19400000000000001"/>
    <n v="6"/>
    <n v="159"/>
    <n v="165"/>
    <s v="Weekday"/>
  </r>
  <r>
    <n v="918"/>
    <d v="2011-02-10T00:00:00"/>
    <x v="0"/>
    <n v="0"/>
    <x v="1"/>
    <x v="18"/>
    <b v="0"/>
    <x v="5"/>
    <x v="0"/>
    <n v="0.16"/>
    <n v="0.18179999999999999"/>
    <n v="0.28000000000000003"/>
    <n v="0.1343"/>
    <n v="3"/>
    <n v="157"/>
    <n v="160"/>
    <s v="Weekday"/>
  </r>
  <r>
    <n v="919"/>
    <d v="2011-02-10T00:00:00"/>
    <x v="0"/>
    <n v="0"/>
    <x v="1"/>
    <x v="19"/>
    <b v="0"/>
    <x v="5"/>
    <x v="0"/>
    <n v="0.14000000000000001"/>
    <n v="0.16669999999999999"/>
    <n v="0.28000000000000003"/>
    <n v="0.1045"/>
    <n v="2"/>
    <n v="110"/>
    <n v="112"/>
    <s v="Weekday"/>
  </r>
  <r>
    <n v="920"/>
    <d v="2011-02-10T00:00:00"/>
    <x v="0"/>
    <n v="0"/>
    <x v="1"/>
    <x v="20"/>
    <b v="0"/>
    <x v="5"/>
    <x v="0"/>
    <n v="0.14000000000000001"/>
    <n v="0.18179999999999999"/>
    <n v="0.31"/>
    <n v="8.9599999999999999E-2"/>
    <n v="4"/>
    <n v="93"/>
    <n v="97"/>
    <s v="Weekday"/>
  </r>
  <r>
    <n v="921"/>
    <d v="2011-02-10T00:00:00"/>
    <x v="0"/>
    <n v="0"/>
    <x v="1"/>
    <x v="21"/>
    <b v="0"/>
    <x v="5"/>
    <x v="0"/>
    <n v="0.14000000000000001"/>
    <n v="0.21210000000000001"/>
    <n v="0.39"/>
    <n v="0"/>
    <n v="2"/>
    <n v="70"/>
    <n v="72"/>
    <s v="Weekday"/>
  </r>
  <r>
    <n v="922"/>
    <d v="2011-02-10T00:00:00"/>
    <x v="0"/>
    <n v="0"/>
    <x v="1"/>
    <x v="22"/>
    <b v="0"/>
    <x v="5"/>
    <x v="0"/>
    <n v="0.12"/>
    <n v="0.19700000000000001"/>
    <n v="0.39"/>
    <n v="0"/>
    <n v="4"/>
    <n v="47"/>
    <n v="51"/>
    <s v="Weekday"/>
  </r>
  <r>
    <n v="923"/>
    <d v="2011-02-10T00:00:00"/>
    <x v="0"/>
    <n v="0"/>
    <x v="1"/>
    <x v="23"/>
    <b v="0"/>
    <x v="5"/>
    <x v="0"/>
    <n v="0.12"/>
    <n v="0.1515"/>
    <n v="0.42"/>
    <n v="0.1045"/>
    <n v="1"/>
    <n v="33"/>
    <n v="34"/>
    <s v="Weekday"/>
  </r>
  <r>
    <n v="924"/>
    <d v="2011-02-11T00:00:00"/>
    <x v="0"/>
    <n v="0"/>
    <x v="1"/>
    <x v="0"/>
    <b v="0"/>
    <x v="6"/>
    <x v="0"/>
    <n v="0.1"/>
    <n v="0.13639999999999999"/>
    <n v="0.49"/>
    <n v="0.1045"/>
    <n v="2"/>
    <n v="12"/>
    <n v="14"/>
    <s v="Weekday"/>
  </r>
  <r>
    <n v="925"/>
    <d v="2011-02-11T00:00:00"/>
    <x v="0"/>
    <n v="0"/>
    <x v="1"/>
    <x v="1"/>
    <b v="0"/>
    <x v="6"/>
    <x v="0"/>
    <n v="0.1"/>
    <n v="0.13639999999999999"/>
    <n v="0.54"/>
    <n v="8.9599999999999999E-2"/>
    <n v="1"/>
    <n v="6"/>
    <n v="7"/>
    <s v="Weekday"/>
  </r>
  <r>
    <n v="926"/>
    <d v="2011-02-11T00:00:00"/>
    <x v="0"/>
    <n v="0"/>
    <x v="1"/>
    <x v="2"/>
    <b v="0"/>
    <x v="6"/>
    <x v="0"/>
    <n v="0.1"/>
    <n v="0.13639999999999999"/>
    <n v="0.54"/>
    <n v="8.9599999999999999E-2"/>
    <n v="0"/>
    <n v="3"/>
    <n v="3"/>
    <s v="Weekday"/>
  </r>
  <r>
    <n v="927"/>
    <d v="2011-02-11T00:00:00"/>
    <x v="0"/>
    <n v="0"/>
    <x v="1"/>
    <x v="5"/>
    <b v="0"/>
    <x v="6"/>
    <x v="0"/>
    <n v="0.08"/>
    <n v="0.1212"/>
    <n v="0.63"/>
    <n v="8.9599999999999999E-2"/>
    <n v="0"/>
    <n v="4"/>
    <n v="4"/>
    <s v="Weekday"/>
  </r>
  <r>
    <n v="928"/>
    <d v="2011-02-11T00:00:00"/>
    <x v="0"/>
    <n v="0"/>
    <x v="1"/>
    <x v="6"/>
    <b v="0"/>
    <x v="6"/>
    <x v="0"/>
    <n v="0.1"/>
    <n v="0.18179999999999999"/>
    <n v="0.68"/>
    <n v="0"/>
    <n v="1"/>
    <n v="23"/>
    <n v="24"/>
    <s v="Weekday"/>
  </r>
  <r>
    <n v="929"/>
    <d v="2011-02-11T00:00:00"/>
    <x v="0"/>
    <n v="0"/>
    <x v="1"/>
    <x v="7"/>
    <b v="0"/>
    <x v="6"/>
    <x v="0"/>
    <n v="0.08"/>
    <n v="0.16669999999999999"/>
    <n v="0.73"/>
    <n v="0"/>
    <n v="1"/>
    <n v="73"/>
    <n v="74"/>
    <s v="Weekday"/>
  </r>
  <r>
    <n v="930"/>
    <d v="2011-02-11T00:00:00"/>
    <x v="0"/>
    <n v="0"/>
    <x v="1"/>
    <x v="8"/>
    <b v="0"/>
    <x v="6"/>
    <x v="0"/>
    <n v="0.1"/>
    <n v="0.1212"/>
    <n v="0.74"/>
    <n v="0.16420000000000001"/>
    <n v="4"/>
    <n v="212"/>
    <n v="216"/>
    <s v="Weekday"/>
  </r>
  <r>
    <n v="931"/>
    <d v="2011-02-11T00:00:00"/>
    <x v="0"/>
    <n v="0"/>
    <x v="1"/>
    <x v="9"/>
    <b v="0"/>
    <x v="6"/>
    <x v="0"/>
    <n v="0.12"/>
    <n v="0.1212"/>
    <n v="0.74"/>
    <n v="0.22389999999999999"/>
    <n v="8"/>
    <n v="132"/>
    <n v="140"/>
    <s v="Weekday"/>
  </r>
  <r>
    <n v="932"/>
    <d v="2011-02-11T00:00:00"/>
    <x v="0"/>
    <n v="0"/>
    <x v="1"/>
    <x v="10"/>
    <b v="0"/>
    <x v="6"/>
    <x v="0"/>
    <n v="0.14000000000000001"/>
    <n v="0.13639999999999999"/>
    <n v="0.69"/>
    <n v="0.19400000000000001"/>
    <n v="5"/>
    <n v="39"/>
    <n v="44"/>
    <s v="Weekday"/>
  </r>
  <r>
    <n v="933"/>
    <d v="2011-02-11T00:00:00"/>
    <x v="0"/>
    <n v="0"/>
    <x v="1"/>
    <x v="11"/>
    <b v="0"/>
    <x v="6"/>
    <x v="0"/>
    <n v="0.22"/>
    <n v="0.2273"/>
    <n v="0.47"/>
    <n v="0.1343"/>
    <n v="12"/>
    <n v="52"/>
    <n v="64"/>
    <s v="Weekday"/>
  </r>
  <r>
    <n v="934"/>
    <d v="2011-02-11T00:00:00"/>
    <x v="0"/>
    <n v="0"/>
    <x v="1"/>
    <x v="12"/>
    <b v="0"/>
    <x v="6"/>
    <x v="0"/>
    <n v="0.22"/>
    <n v="0.2273"/>
    <n v="0.47"/>
    <n v="0.1343"/>
    <n v="7"/>
    <n v="64"/>
    <n v="71"/>
    <s v="Weekday"/>
  </r>
  <r>
    <n v="935"/>
    <d v="2011-02-11T00:00:00"/>
    <x v="0"/>
    <n v="0"/>
    <x v="1"/>
    <x v="13"/>
    <b v="0"/>
    <x v="6"/>
    <x v="0"/>
    <n v="0.24"/>
    <n v="0.2273"/>
    <n v="0.35"/>
    <n v="0.19400000000000001"/>
    <n v="21"/>
    <n v="89"/>
    <n v="110"/>
    <s v="Weekday"/>
  </r>
  <r>
    <n v="936"/>
    <d v="2011-02-11T00:00:00"/>
    <x v="0"/>
    <n v="0"/>
    <x v="1"/>
    <x v="14"/>
    <b v="0"/>
    <x v="6"/>
    <x v="0"/>
    <n v="0.3"/>
    <n v="0.28789999999999999"/>
    <n v="0.26"/>
    <n v="0.25369999999999998"/>
    <n v="17"/>
    <n v="67"/>
    <n v="84"/>
    <s v="Weekday"/>
  </r>
  <r>
    <n v="937"/>
    <d v="2011-02-11T00:00:00"/>
    <x v="0"/>
    <n v="0"/>
    <x v="1"/>
    <x v="15"/>
    <b v="0"/>
    <x v="6"/>
    <x v="0"/>
    <n v="0.32"/>
    <n v="0.31819999999999998"/>
    <n v="0.21"/>
    <n v="0.16420000000000001"/>
    <n v="12"/>
    <n v="62"/>
    <n v="74"/>
    <s v="Weekday"/>
  </r>
  <r>
    <n v="938"/>
    <d v="2011-02-11T00:00:00"/>
    <x v="0"/>
    <n v="0"/>
    <x v="1"/>
    <x v="16"/>
    <b v="0"/>
    <x v="6"/>
    <x v="0"/>
    <n v="0.3"/>
    <n v="0.28789999999999999"/>
    <n v="0.28000000000000003"/>
    <n v="0.19400000000000001"/>
    <n v="14"/>
    <n v="111"/>
    <n v="125"/>
    <s v="Weekday"/>
  </r>
  <r>
    <n v="939"/>
    <d v="2011-02-11T00:00:00"/>
    <x v="0"/>
    <n v="0"/>
    <x v="1"/>
    <x v="17"/>
    <b v="0"/>
    <x v="6"/>
    <x v="0"/>
    <n v="0.3"/>
    <n v="0.33329999999999999"/>
    <n v="0.24"/>
    <n v="0"/>
    <n v="18"/>
    <n v="193"/>
    <n v="211"/>
    <s v="Weekday"/>
  </r>
  <r>
    <n v="940"/>
    <d v="2011-02-11T00:00:00"/>
    <x v="0"/>
    <n v="0"/>
    <x v="1"/>
    <x v="18"/>
    <b v="0"/>
    <x v="6"/>
    <x v="0"/>
    <n v="0.28000000000000003"/>
    <n v="0.31819999999999998"/>
    <n v="0.28000000000000003"/>
    <n v="0"/>
    <n v="9"/>
    <n v="165"/>
    <n v="174"/>
    <s v="Weekday"/>
  </r>
  <r>
    <n v="941"/>
    <d v="2011-02-11T00:00:00"/>
    <x v="0"/>
    <n v="0"/>
    <x v="1"/>
    <x v="19"/>
    <b v="0"/>
    <x v="6"/>
    <x v="0"/>
    <n v="0.26"/>
    <n v="0.30299999999999999"/>
    <n v="0.33"/>
    <n v="0"/>
    <n v="7"/>
    <n v="94"/>
    <n v="101"/>
    <s v="Weekday"/>
  </r>
  <r>
    <n v="942"/>
    <d v="2011-02-11T00:00:00"/>
    <x v="0"/>
    <n v="0"/>
    <x v="1"/>
    <x v="20"/>
    <b v="0"/>
    <x v="6"/>
    <x v="0"/>
    <n v="0.22"/>
    <n v="0.2273"/>
    <n v="0.55000000000000004"/>
    <n v="0.1343"/>
    <n v="2"/>
    <n v="61"/>
    <n v="63"/>
    <s v="Weekday"/>
  </r>
  <r>
    <n v="943"/>
    <d v="2011-02-11T00:00:00"/>
    <x v="0"/>
    <n v="0"/>
    <x v="1"/>
    <x v="21"/>
    <b v="0"/>
    <x v="6"/>
    <x v="0"/>
    <n v="0.2"/>
    <n v="0.21210000000000001"/>
    <n v="0.59"/>
    <n v="0.1343"/>
    <n v="1"/>
    <n v="46"/>
    <n v="47"/>
    <s v="Weekday"/>
  </r>
  <r>
    <n v="944"/>
    <d v="2011-02-11T00:00:00"/>
    <x v="0"/>
    <n v="0"/>
    <x v="1"/>
    <x v="22"/>
    <b v="0"/>
    <x v="6"/>
    <x v="0"/>
    <n v="0.2"/>
    <n v="0.2273"/>
    <n v="0.64"/>
    <n v="8.9599999999999999E-2"/>
    <n v="2"/>
    <n v="41"/>
    <n v="43"/>
    <s v="Weekday"/>
  </r>
  <r>
    <n v="945"/>
    <d v="2011-02-11T00:00:00"/>
    <x v="0"/>
    <n v="0"/>
    <x v="1"/>
    <x v="23"/>
    <b v="0"/>
    <x v="6"/>
    <x v="0"/>
    <n v="0.18"/>
    <n v="0.2424"/>
    <n v="0.69"/>
    <n v="0"/>
    <n v="5"/>
    <n v="48"/>
    <n v="53"/>
    <s v="Weekday"/>
  </r>
  <r>
    <n v="946"/>
    <d v="2011-02-12T00:00:00"/>
    <x v="0"/>
    <n v="0"/>
    <x v="1"/>
    <x v="0"/>
    <b v="0"/>
    <x v="0"/>
    <x v="0"/>
    <n v="0.16"/>
    <n v="0.19700000000000001"/>
    <n v="0.69"/>
    <n v="8.9599999999999999E-2"/>
    <n v="3"/>
    <n v="27"/>
    <n v="30"/>
    <s v="Weekend"/>
  </r>
  <r>
    <n v="947"/>
    <d v="2011-02-12T00:00:00"/>
    <x v="0"/>
    <n v="0"/>
    <x v="1"/>
    <x v="1"/>
    <b v="0"/>
    <x v="0"/>
    <x v="0"/>
    <n v="0.14000000000000001"/>
    <n v="0.21210000000000001"/>
    <n v="0.86"/>
    <n v="0"/>
    <n v="2"/>
    <n v="22"/>
    <n v="24"/>
    <s v="Weekend"/>
  </r>
  <r>
    <n v="948"/>
    <d v="2011-02-12T00:00:00"/>
    <x v="0"/>
    <n v="0"/>
    <x v="1"/>
    <x v="2"/>
    <b v="0"/>
    <x v="0"/>
    <x v="0"/>
    <n v="0.14000000000000001"/>
    <n v="0.21210000000000001"/>
    <n v="0.8"/>
    <n v="0"/>
    <n v="2"/>
    <n v="13"/>
    <n v="15"/>
    <s v="Weekend"/>
  </r>
  <r>
    <n v="949"/>
    <d v="2011-02-12T00:00:00"/>
    <x v="0"/>
    <n v="0"/>
    <x v="1"/>
    <x v="3"/>
    <b v="0"/>
    <x v="0"/>
    <x v="0"/>
    <n v="0.12"/>
    <n v="0.19700000000000001"/>
    <n v="0.8"/>
    <n v="0"/>
    <n v="3"/>
    <n v="7"/>
    <n v="10"/>
    <s v="Weekend"/>
  </r>
  <r>
    <n v="950"/>
    <d v="2011-02-12T00:00:00"/>
    <x v="0"/>
    <n v="0"/>
    <x v="1"/>
    <x v="4"/>
    <b v="0"/>
    <x v="0"/>
    <x v="0"/>
    <n v="0.12"/>
    <n v="0.16669999999999999"/>
    <n v="0.74"/>
    <n v="8.9599999999999999E-2"/>
    <n v="0"/>
    <n v="4"/>
    <n v="4"/>
    <s v="Weekend"/>
  </r>
  <r>
    <n v="951"/>
    <d v="2011-02-12T00:00:00"/>
    <x v="0"/>
    <n v="0"/>
    <x v="1"/>
    <x v="5"/>
    <b v="0"/>
    <x v="0"/>
    <x v="0"/>
    <n v="0.12"/>
    <n v="0.16669999999999999"/>
    <n v="0.74"/>
    <n v="8.9599999999999999E-2"/>
    <n v="0"/>
    <n v="1"/>
    <n v="1"/>
    <s v="Weekend"/>
  </r>
  <r>
    <n v="952"/>
    <d v="2011-02-12T00:00:00"/>
    <x v="0"/>
    <n v="0"/>
    <x v="1"/>
    <x v="6"/>
    <b v="0"/>
    <x v="0"/>
    <x v="0"/>
    <n v="0.12"/>
    <n v="0.13639999999999999"/>
    <n v="0.93"/>
    <n v="0.19400000000000001"/>
    <n v="1"/>
    <n v="1"/>
    <n v="2"/>
    <s v="Weekend"/>
  </r>
  <r>
    <n v="953"/>
    <d v="2011-02-12T00:00:00"/>
    <x v="0"/>
    <n v="0"/>
    <x v="1"/>
    <x v="7"/>
    <b v="0"/>
    <x v="0"/>
    <x v="0"/>
    <n v="0.12"/>
    <n v="0.1515"/>
    <n v="0.8"/>
    <n v="0.1045"/>
    <n v="2"/>
    <n v="9"/>
    <n v="11"/>
    <s v="Weekend"/>
  </r>
  <r>
    <n v="954"/>
    <d v="2011-02-12T00:00:00"/>
    <x v="0"/>
    <n v="0"/>
    <x v="1"/>
    <x v="8"/>
    <b v="0"/>
    <x v="0"/>
    <x v="0"/>
    <n v="0.14000000000000001"/>
    <n v="0.1515"/>
    <n v="0.86"/>
    <n v="0.1343"/>
    <n v="2"/>
    <n v="28"/>
    <n v="30"/>
    <s v="Weekend"/>
  </r>
  <r>
    <n v="955"/>
    <d v="2011-02-12T00:00:00"/>
    <x v="0"/>
    <n v="0"/>
    <x v="1"/>
    <x v="9"/>
    <b v="0"/>
    <x v="0"/>
    <x v="0"/>
    <n v="0.16"/>
    <n v="0.18179999999999999"/>
    <n v="0.64"/>
    <n v="0.1343"/>
    <n v="5"/>
    <n v="38"/>
    <n v="43"/>
    <s v="Weekend"/>
  </r>
  <r>
    <n v="956"/>
    <d v="2011-02-12T00:00:00"/>
    <x v="0"/>
    <n v="0"/>
    <x v="1"/>
    <x v="10"/>
    <b v="0"/>
    <x v="0"/>
    <x v="0"/>
    <n v="0.22"/>
    <n v="0.21210000000000001"/>
    <n v="0.41"/>
    <n v="0.25369999999999998"/>
    <n v="13"/>
    <n v="71"/>
    <n v="84"/>
    <s v="Weekend"/>
  </r>
  <r>
    <n v="957"/>
    <d v="2011-02-12T00:00:00"/>
    <x v="0"/>
    <n v="0"/>
    <x v="1"/>
    <x v="11"/>
    <b v="0"/>
    <x v="0"/>
    <x v="0"/>
    <n v="0.3"/>
    <n v="0.2727"/>
    <n v="0.28000000000000003"/>
    <n v="0.32840000000000003"/>
    <n v="30"/>
    <n v="84"/>
    <n v="114"/>
    <s v="Weekend"/>
  </r>
  <r>
    <n v="958"/>
    <d v="2011-02-12T00:00:00"/>
    <x v="0"/>
    <n v="0"/>
    <x v="1"/>
    <x v="12"/>
    <b v="0"/>
    <x v="0"/>
    <x v="0"/>
    <n v="0.3"/>
    <n v="0.2727"/>
    <n v="0.39"/>
    <n v="0.4627"/>
    <n v="27"/>
    <n v="93"/>
    <n v="120"/>
    <s v="Weekend"/>
  </r>
  <r>
    <n v="959"/>
    <d v="2011-02-12T00:00:00"/>
    <x v="0"/>
    <n v="0"/>
    <x v="1"/>
    <x v="13"/>
    <b v="0"/>
    <x v="0"/>
    <x v="0"/>
    <n v="0.3"/>
    <n v="0.2727"/>
    <n v="0.39"/>
    <n v="0.41789999999999999"/>
    <n v="32"/>
    <n v="103"/>
    <n v="135"/>
    <s v="Weekend"/>
  </r>
  <r>
    <n v="960"/>
    <d v="2011-02-12T00:00:00"/>
    <x v="0"/>
    <n v="0"/>
    <x v="1"/>
    <x v="14"/>
    <b v="0"/>
    <x v="0"/>
    <x v="0"/>
    <n v="0.34"/>
    <n v="0.31819999999999998"/>
    <n v="0.31"/>
    <n v="0.28360000000000002"/>
    <n v="30"/>
    <n v="90"/>
    <n v="120"/>
    <s v="Weekend"/>
  </r>
  <r>
    <n v="961"/>
    <d v="2011-02-12T00:00:00"/>
    <x v="0"/>
    <n v="0"/>
    <x v="1"/>
    <x v="15"/>
    <b v="0"/>
    <x v="0"/>
    <x v="0"/>
    <n v="0.34"/>
    <n v="0.30299999999999999"/>
    <n v="0.28999999999999998"/>
    <n v="0.41789999999999999"/>
    <n v="47"/>
    <n v="127"/>
    <n v="174"/>
    <s v="Weekend"/>
  </r>
  <r>
    <n v="962"/>
    <d v="2011-02-12T00:00:00"/>
    <x v="0"/>
    <n v="0"/>
    <x v="1"/>
    <x v="16"/>
    <b v="0"/>
    <x v="0"/>
    <x v="0"/>
    <n v="0.34"/>
    <n v="0.30299999999999999"/>
    <n v="0.28999999999999998"/>
    <n v="0.41789999999999999"/>
    <n v="42"/>
    <n v="103"/>
    <n v="145"/>
    <s v="Weekend"/>
  </r>
  <r>
    <n v="963"/>
    <d v="2011-02-12T00:00:00"/>
    <x v="0"/>
    <n v="0"/>
    <x v="1"/>
    <x v="17"/>
    <b v="0"/>
    <x v="0"/>
    <x v="0"/>
    <n v="0.32"/>
    <n v="0.28789999999999999"/>
    <n v="0.31"/>
    <n v="0.52239999999999998"/>
    <n v="24"/>
    <n v="113"/>
    <n v="137"/>
    <s v="Weekend"/>
  </r>
  <r>
    <n v="964"/>
    <d v="2011-02-12T00:00:00"/>
    <x v="0"/>
    <n v="0"/>
    <x v="1"/>
    <x v="18"/>
    <b v="0"/>
    <x v="0"/>
    <x v="0"/>
    <n v="0.28000000000000003"/>
    <n v="0.2576"/>
    <n v="0.38"/>
    <n v="0.32840000000000003"/>
    <n v="4"/>
    <n v="60"/>
    <n v="64"/>
    <s v="Weekend"/>
  </r>
  <r>
    <n v="965"/>
    <d v="2011-02-12T00:00:00"/>
    <x v="0"/>
    <n v="0"/>
    <x v="1"/>
    <x v="19"/>
    <b v="0"/>
    <x v="0"/>
    <x v="0"/>
    <n v="0.28000000000000003"/>
    <n v="0.2727"/>
    <n v="0.38"/>
    <n v="0.16420000000000001"/>
    <n v="2"/>
    <n v="39"/>
    <n v="41"/>
    <s v="Weekend"/>
  </r>
  <r>
    <n v="966"/>
    <d v="2011-02-12T00:00:00"/>
    <x v="0"/>
    <n v="0"/>
    <x v="1"/>
    <x v="20"/>
    <b v="0"/>
    <x v="0"/>
    <x v="0"/>
    <n v="0.26"/>
    <n v="0.2576"/>
    <n v="0.41"/>
    <n v="0.22389999999999999"/>
    <n v="1"/>
    <n v="39"/>
    <n v="40"/>
    <s v="Weekend"/>
  </r>
  <r>
    <n v="967"/>
    <d v="2011-02-12T00:00:00"/>
    <x v="0"/>
    <n v="0"/>
    <x v="1"/>
    <x v="21"/>
    <b v="0"/>
    <x v="0"/>
    <x v="0"/>
    <n v="0.26"/>
    <n v="0.30299999999999999"/>
    <n v="0.41"/>
    <n v="0"/>
    <n v="9"/>
    <n v="42"/>
    <n v="51"/>
    <s v="Weekend"/>
  </r>
  <r>
    <n v="968"/>
    <d v="2011-02-12T00:00:00"/>
    <x v="0"/>
    <n v="0"/>
    <x v="1"/>
    <x v="22"/>
    <b v="0"/>
    <x v="0"/>
    <x v="0"/>
    <n v="0.24"/>
    <n v="0.2576"/>
    <n v="0.44"/>
    <n v="8.9599999999999999E-2"/>
    <n v="6"/>
    <n v="39"/>
    <n v="45"/>
    <s v="Weekend"/>
  </r>
  <r>
    <n v="969"/>
    <d v="2011-02-12T00:00:00"/>
    <x v="0"/>
    <n v="0"/>
    <x v="1"/>
    <x v="23"/>
    <b v="0"/>
    <x v="0"/>
    <x v="0"/>
    <n v="0.22"/>
    <n v="0.2273"/>
    <n v="0.51"/>
    <n v="0.1343"/>
    <n v="1"/>
    <n v="31"/>
    <n v="32"/>
    <s v="Weekend"/>
  </r>
  <r>
    <n v="970"/>
    <d v="2011-02-13T00:00:00"/>
    <x v="0"/>
    <n v="0"/>
    <x v="1"/>
    <x v="0"/>
    <b v="0"/>
    <x v="1"/>
    <x v="0"/>
    <n v="0.2"/>
    <n v="0.2273"/>
    <n v="0.64"/>
    <n v="0.1045"/>
    <n v="5"/>
    <n v="34"/>
    <n v="39"/>
    <s v="Weekday"/>
  </r>
  <r>
    <n v="971"/>
    <d v="2011-02-13T00:00:00"/>
    <x v="0"/>
    <n v="0"/>
    <x v="1"/>
    <x v="1"/>
    <b v="0"/>
    <x v="1"/>
    <x v="0"/>
    <n v="0.2"/>
    <n v="0.2273"/>
    <n v="0.59"/>
    <n v="8.9599999999999999E-2"/>
    <n v="1"/>
    <n v="23"/>
    <n v="24"/>
    <s v="Weekday"/>
  </r>
  <r>
    <n v="972"/>
    <d v="2011-02-13T00:00:00"/>
    <x v="0"/>
    <n v="0"/>
    <x v="1"/>
    <x v="2"/>
    <b v="0"/>
    <x v="1"/>
    <x v="1"/>
    <n v="0.2"/>
    <n v="0.2273"/>
    <n v="0.75"/>
    <n v="8.9599999999999999E-2"/>
    <n v="1"/>
    <n v="19"/>
    <n v="20"/>
    <s v="Weekday"/>
  </r>
  <r>
    <n v="973"/>
    <d v="2011-02-13T00:00:00"/>
    <x v="0"/>
    <n v="0"/>
    <x v="1"/>
    <x v="3"/>
    <b v="0"/>
    <x v="1"/>
    <x v="1"/>
    <n v="0.2"/>
    <n v="0.2273"/>
    <n v="0.69"/>
    <n v="0.1045"/>
    <n v="4"/>
    <n v="8"/>
    <n v="12"/>
    <s v="Weekday"/>
  </r>
  <r>
    <n v="974"/>
    <d v="2011-02-13T00:00:00"/>
    <x v="0"/>
    <n v="0"/>
    <x v="1"/>
    <x v="4"/>
    <b v="0"/>
    <x v="1"/>
    <x v="1"/>
    <n v="0.2"/>
    <n v="0.21210000000000001"/>
    <n v="0.69"/>
    <n v="0.16420000000000001"/>
    <n v="0"/>
    <n v="2"/>
    <n v="2"/>
    <s v="Weekday"/>
  </r>
  <r>
    <n v="975"/>
    <d v="2011-02-13T00:00:00"/>
    <x v="0"/>
    <n v="0"/>
    <x v="1"/>
    <x v="6"/>
    <b v="0"/>
    <x v="1"/>
    <x v="1"/>
    <n v="0.2"/>
    <n v="0.21210000000000001"/>
    <n v="0.69"/>
    <n v="0.1343"/>
    <n v="2"/>
    <n v="3"/>
    <n v="5"/>
    <s v="Weekday"/>
  </r>
  <r>
    <n v="976"/>
    <d v="2011-02-13T00:00:00"/>
    <x v="0"/>
    <n v="0"/>
    <x v="1"/>
    <x v="7"/>
    <b v="0"/>
    <x v="1"/>
    <x v="1"/>
    <n v="0.22"/>
    <n v="0.2727"/>
    <n v="0.55000000000000004"/>
    <n v="0"/>
    <n v="0"/>
    <n v="3"/>
    <n v="3"/>
    <s v="Weekday"/>
  </r>
  <r>
    <n v="977"/>
    <d v="2011-02-13T00:00:00"/>
    <x v="0"/>
    <n v="0"/>
    <x v="1"/>
    <x v="8"/>
    <b v="0"/>
    <x v="1"/>
    <x v="1"/>
    <n v="0.22"/>
    <n v="0.2273"/>
    <n v="0.64"/>
    <n v="0.19400000000000001"/>
    <n v="1"/>
    <n v="11"/>
    <n v="12"/>
    <s v="Weekday"/>
  </r>
  <r>
    <n v="978"/>
    <d v="2011-02-13T00:00:00"/>
    <x v="0"/>
    <n v="0"/>
    <x v="1"/>
    <x v="9"/>
    <b v="0"/>
    <x v="1"/>
    <x v="1"/>
    <n v="0.24"/>
    <n v="0.2273"/>
    <n v="0.6"/>
    <n v="0.22389999999999999"/>
    <n v="12"/>
    <n v="35"/>
    <n v="47"/>
    <s v="Weekday"/>
  </r>
  <r>
    <n v="979"/>
    <d v="2011-02-13T00:00:00"/>
    <x v="0"/>
    <n v="0"/>
    <x v="1"/>
    <x v="10"/>
    <b v="0"/>
    <x v="1"/>
    <x v="0"/>
    <n v="0.3"/>
    <n v="0.2727"/>
    <n v="0.45"/>
    <n v="0.32840000000000003"/>
    <n v="19"/>
    <n v="86"/>
    <n v="105"/>
    <s v="Weekday"/>
  </r>
  <r>
    <n v="980"/>
    <d v="2011-02-13T00:00:00"/>
    <x v="0"/>
    <n v="0"/>
    <x v="1"/>
    <x v="11"/>
    <b v="0"/>
    <x v="1"/>
    <x v="0"/>
    <n v="0.32"/>
    <n v="0.28789999999999999"/>
    <n v="0.39"/>
    <n v="0.44779999999999998"/>
    <n v="26"/>
    <n v="86"/>
    <n v="112"/>
    <s v="Weekday"/>
  </r>
  <r>
    <n v="981"/>
    <d v="2011-02-13T00:00:00"/>
    <x v="0"/>
    <n v="0"/>
    <x v="1"/>
    <x v="12"/>
    <b v="0"/>
    <x v="1"/>
    <x v="0"/>
    <n v="0.36"/>
    <n v="0.31819999999999998"/>
    <n v="0.32"/>
    <n v="0.4627"/>
    <n v="58"/>
    <n v="94"/>
    <n v="152"/>
    <s v="Weekday"/>
  </r>
  <r>
    <n v="982"/>
    <d v="2011-02-13T00:00:00"/>
    <x v="0"/>
    <n v="0"/>
    <x v="1"/>
    <x v="13"/>
    <b v="0"/>
    <x v="1"/>
    <x v="0"/>
    <n v="0.38"/>
    <n v="0.39389999999999997"/>
    <n v="0.28999999999999998"/>
    <n v="0.35820000000000002"/>
    <n v="62"/>
    <n v="92"/>
    <n v="154"/>
    <s v="Weekday"/>
  </r>
  <r>
    <n v="983"/>
    <d v="2011-02-13T00:00:00"/>
    <x v="0"/>
    <n v="0"/>
    <x v="1"/>
    <x v="14"/>
    <b v="0"/>
    <x v="1"/>
    <x v="1"/>
    <n v="0.4"/>
    <n v="0.40910000000000002"/>
    <n v="0.3"/>
    <n v="0.41789999999999999"/>
    <n v="51"/>
    <n v="110"/>
    <n v="161"/>
    <s v="Weekday"/>
  </r>
  <r>
    <n v="984"/>
    <d v="2011-02-13T00:00:00"/>
    <x v="0"/>
    <n v="0"/>
    <x v="1"/>
    <x v="15"/>
    <b v="0"/>
    <x v="1"/>
    <x v="1"/>
    <n v="0.4"/>
    <n v="0.40910000000000002"/>
    <n v="0.3"/>
    <n v="0.29849999999999999"/>
    <n v="40"/>
    <n v="122"/>
    <n v="162"/>
    <s v="Weekday"/>
  </r>
  <r>
    <n v="985"/>
    <d v="2011-02-13T00:00:00"/>
    <x v="0"/>
    <n v="0"/>
    <x v="1"/>
    <x v="16"/>
    <b v="0"/>
    <x v="1"/>
    <x v="1"/>
    <n v="0.42"/>
    <n v="0.42420000000000002"/>
    <n v="0.28000000000000003"/>
    <n v="0.32840000000000003"/>
    <n v="28"/>
    <n v="106"/>
    <n v="134"/>
    <s v="Weekday"/>
  </r>
  <r>
    <n v="986"/>
    <d v="2011-02-13T00:00:00"/>
    <x v="0"/>
    <n v="0"/>
    <x v="1"/>
    <x v="17"/>
    <b v="0"/>
    <x v="1"/>
    <x v="0"/>
    <n v="0.42"/>
    <n v="0.42420000000000002"/>
    <n v="0.28000000000000003"/>
    <n v="0.32840000000000003"/>
    <n v="30"/>
    <n v="95"/>
    <n v="125"/>
    <s v="Weekday"/>
  </r>
  <r>
    <n v="987"/>
    <d v="2011-02-13T00:00:00"/>
    <x v="0"/>
    <n v="0"/>
    <x v="1"/>
    <x v="18"/>
    <b v="0"/>
    <x v="1"/>
    <x v="0"/>
    <n v="0.4"/>
    <n v="0.40910000000000002"/>
    <n v="0.32"/>
    <n v="0.29849999999999999"/>
    <n v="17"/>
    <n v="78"/>
    <n v="95"/>
    <s v="Weekday"/>
  </r>
  <r>
    <n v="988"/>
    <d v="2011-02-13T00:00:00"/>
    <x v="0"/>
    <n v="0"/>
    <x v="1"/>
    <x v="19"/>
    <b v="0"/>
    <x v="1"/>
    <x v="0"/>
    <n v="0.4"/>
    <n v="0.40910000000000002"/>
    <n v="0.35"/>
    <n v="0.28360000000000002"/>
    <n v="11"/>
    <n v="50"/>
    <n v="61"/>
    <s v="Weekday"/>
  </r>
  <r>
    <n v="989"/>
    <d v="2011-02-13T00:00:00"/>
    <x v="0"/>
    <n v="0"/>
    <x v="1"/>
    <x v="20"/>
    <b v="0"/>
    <x v="1"/>
    <x v="0"/>
    <n v="0.4"/>
    <n v="0.40910000000000002"/>
    <n v="0.35"/>
    <n v="0.32840000000000003"/>
    <n v="15"/>
    <n v="32"/>
    <n v="47"/>
    <s v="Weekday"/>
  </r>
  <r>
    <n v="990"/>
    <d v="2011-02-13T00:00:00"/>
    <x v="0"/>
    <n v="0"/>
    <x v="1"/>
    <x v="21"/>
    <b v="0"/>
    <x v="1"/>
    <x v="0"/>
    <n v="0.4"/>
    <n v="0.40910000000000002"/>
    <n v="0.35"/>
    <n v="0.35820000000000002"/>
    <n v="6"/>
    <n v="45"/>
    <n v="51"/>
    <s v="Weekday"/>
  </r>
  <r>
    <n v="991"/>
    <d v="2011-02-13T00:00:00"/>
    <x v="0"/>
    <n v="0"/>
    <x v="1"/>
    <x v="22"/>
    <b v="0"/>
    <x v="1"/>
    <x v="0"/>
    <n v="0.4"/>
    <n v="0.40910000000000002"/>
    <n v="0.35"/>
    <n v="0.29849999999999999"/>
    <n v="5"/>
    <n v="31"/>
    <n v="36"/>
    <s v="Weekday"/>
  </r>
  <r>
    <n v="992"/>
    <d v="2011-02-13T00:00:00"/>
    <x v="0"/>
    <n v="0"/>
    <x v="1"/>
    <x v="23"/>
    <b v="0"/>
    <x v="1"/>
    <x v="0"/>
    <n v="0.4"/>
    <n v="0.40910000000000002"/>
    <n v="0.35"/>
    <n v="0.35820000000000002"/>
    <n v="3"/>
    <n v="27"/>
    <n v="30"/>
    <s v="Weekday"/>
  </r>
  <r>
    <n v="993"/>
    <d v="2011-02-14T00:00:00"/>
    <x v="0"/>
    <n v="0"/>
    <x v="1"/>
    <x v="0"/>
    <b v="0"/>
    <x v="2"/>
    <x v="0"/>
    <n v="0.38"/>
    <n v="0.39389999999999997"/>
    <n v="0.37"/>
    <n v="0.35820000000000002"/>
    <n v="3"/>
    <n v="8"/>
    <n v="11"/>
    <s v="Weekday"/>
  </r>
  <r>
    <n v="994"/>
    <d v="2011-02-14T00:00:00"/>
    <x v="0"/>
    <n v="0"/>
    <x v="1"/>
    <x v="1"/>
    <b v="0"/>
    <x v="2"/>
    <x v="0"/>
    <n v="0.38"/>
    <n v="0.39389999999999997"/>
    <n v="0.37"/>
    <n v="0.35820000000000002"/>
    <n v="1"/>
    <n v="6"/>
    <n v="7"/>
    <s v="Weekday"/>
  </r>
  <r>
    <n v="995"/>
    <d v="2011-02-14T00:00:00"/>
    <x v="0"/>
    <n v="0"/>
    <x v="1"/>
    <x v="2"/>
    <b v="0"/>
    <x v="2"/>
    <x v="0"/>
    <n v="0.36"/>
    <n v="0.33329999999999999"/>
    <n v="0.4"/>
    <n v="0.29849999999999999"/>
    <n v="0"/>
    <n v="2"/>
    <n v="2"/>
    <s v="Weekday"/>
  </r>
  <r>
    <n v="996"/>
    <d v="2011-02-14T00:00:00"/>
    <x v="0"/>
    <n v="0"/>
    <x v="1"/>
    <x v="3"/>
    <b v="0"/>
    <x v="2"/>
    <x v="0"/>
    <n v="0.34"/>
    <n v="0.31819999999999998"/>
    <n v="0.46"/>
    <n v="0.22389999999999999"/>
    <n v="1"/>
    <n v="1"/>
    <n v="2"/>
    <s v="Weekday"/>
  </r>
  <r>
    <n v="997"/>
    <d v="2011-02-14T00:00:00"/>
    <x v="0"/>
    <n v="0"/>
    <x v="1"/>
    <x v="4"/>
    <b v="0"/>
    <x v="2"/>
    <x v="0"/>
    <n v="0.32"/>
    <n v="0.30299999999999999"/>
    <n v="0.53"/>
    <n v="0.28360000000000002"/>
    <n v="0"/>
    <n v="2"/>
    <n v="2"/>
    <s v="Weekday"/>
  </r>
  <r>
    <n v="998"/>
    <d v="2011-02-14T00:00:00"/>
    <x v="0"/>
    <n v="0"/>
    <x v="1"/>
    <x v="5"/>
    <b v="0"/>
    <x v="2"/>
    <x v="0"/>
    <n v="0.32"/>
    <n v="0.30299999999999999"/>
    <n v="0.53"/>
    <n v="0.28360000000000002"/>
    <n v="0"/>
    <n v="3"/>
    <n v="3"/>
    <s v="Weekday"/>
  </r>
  <r>
    <n v="999"/>
    <d v="2011-02-14T00:00:00"/>
    <x v="0"/>
    <n v="0"/>
    <x v="1"/>
    <x v="6"/>
    <b v="0"/>
    <x v="2"/>
    <x v="0"/>
    <n v="0.34"/>
    <n v="0.30299999999999999"/>
    <n v="0.46"/>
    <n v="0.29849999999999999"/>
    <n v="1"/>
    <n v="25"/>
    <n v="26"/>
    <s v="Weekday"/>
  </r>
  <r>
    <n v="1000"/>
    <d v="2011-02-14T00:00:00"/>
    <x v="0"/>
    <n v="0"/>
    <x v="1"/>
    <x v="7"/>
    <b v="0"/>
    <x v="2"/>
    <x v="0"/>
    <n v="0.34"/>
    <n v="0.30299999999999999"/>
    <n v="0.46"/>
    <n v="0.29849999999999999"/>
    <n v="2"/>
    <n v="96"/>
    <n v="98"/>
    <s v="Week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F99EB-0582-49C7-92FE-AE932478766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27" firstHeaderRow="1" firstDataRow="1" firstDataCol="1"/>
  <pivotFields count="17">
    <pivotField showAll="0"/>
    <pivotField numFmtId="164" showAll="0"/>
    <pivotField showAll="0">
      <items count="2">
        <item x="0"/>
        <item t="default"/>
      </items>
    </pivotField>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8">
        <item h="1" x="1"/>
        <item h="1" x="2"/>
        <item x="3"/>
        <item h="1" x="4"/>
        <item h="1" x="5"/>
        <item h="1" x="6"/>
        <item h="1" x="0"/>
        <item t="default"/>
      </items>
    </pivotField>
    <pivotField showAll="0">
      <items count="5">
        <item h="1" x="0"/>
        <item x="1"/>
        <item h="1" x="2"/>
        <item h="1" x="3"/>
        <item t="default"/>
      </items>
    </pivotField>
    <pivotField showAll="0"/>
    <pivotField showAll="0"/>
    <pivotField showAll="0"/>
    <pivotField showAll="0"/>
    <pivotField showAll="0"/>
    <pivotField showAll="0"/>
    <pivotField dataField="1" showAll="0"/>
    <pivotField showAll="0"/>
  </pivotFields>
  <rowFields count="1">
    <field x="5"/>
  </rowFields>
  <rowItems count="24">
    <i>
      <x/>
    </i>
    <i>
      <x v="1"/>
    </i>
    <i>
      <x v="2"/>
    </i>
    <i>
      <x v="3"/>
    </i>
    <i>
      <x v="5"/>
    </i>
    <i>
      <x v="6"/>
    </i>
    <i>
      <x v="7"/>
    </i>
    <i>
      <x v="8"/>
    </i>
    <i>
      <x v="9"/>
    </i>
    <i>
      <x v="10"/>
    </i>
    <i>
      <x v="11"/>
    </i>
    <i>
      <x v="12"/>
    </i>
    <i>
      <x v="13"/>
    </i>
    <i>
      <x v="14"/>
    </i>
    <i>
      <x v="15"/>
    </i>
    <i>
      <x v="16"/>
    </i>
    <i>
      <x v="17"/>
    </i>
    <i>
      <x v="18"/>
    </i>
    <i>
      <x v="19"/>
    </i>
    <i>
      <x v="20"/>
    </i>
    <i>
      <x v="21"/>
    </i>
    <i>
      <x v="22"/>
    </i>
    <i>
      <x v="23"/>
    </i>
    <i t="grand">
      <x/>
    </i>
  </rowItems>
  <colItems count="1">
    <i/>
  </colItems>
  <dataFields count="1">
    <dataField name="Sum of cnt" fld="1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C137E3-D74A-44BA-BED3-0A98656C4B5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5" firstHeaderRow="1" firstDataRow="1" firstDataCol="1"/>
  <pivotFields count="17">
    <pivotField showAll="0"/>
    <pivotField numFmtId="164" showAll="0"/>
    <pivotField showAll="0">
      <items count="2">
        <item x="0"/>
        <item t="default"/>
      </items>
    </pivotField>
    <pivotField showAll="0"/>
    <pivotField showAll="0"/>
    <pivotField showAll="0"/>
    <pivotField showAll="0"/>
    <pivotField showAll="0">
      <items count="8">
        <item h="1" x="1"/>
        <item h="1" x="2"/>
        <item x="3"/>
        <item h="1" x="4"/>
        <item h="1" x="5"/>
        <item h="1" x="6"/>
        <item h="1" x="0"/>
        <item t="default"/>
      </items>
    </pivotField>
    <pivotField axis="axisRow" showAll="0">
      <items count="5">
        <item h="1" x="0"/>
        <item x="1"/>
        <item h="1" x="2"/>
        <item h="1" x="3"/>
        <item t="default"/>
      </items>
    </pivotField>
    <pivotField showAll="0"/>
    <pivotField showAll="0"/>
    <pivotField showAll="0"/>
    <pivotField showAll="0"/>
    <pivotField showAll="0"/>
    <pivotField showAll="0"/>
    <pivotField dataField="1" showAll="0"/>
    <pivotField showAll="0"/>
  </pivotFields>
  <rowFields count="1">
    <field x="8"/>
  </rowFields>
  <rowItems count="2">
    <i>
      <x v="1"/>
    </i>
    <i t="grand">
      <x/>
    </i>
  </rowItems>
  <colItems count="1">
    <i/>
  </colItems>
  <dataFields count="1">
    <dataField name="Sum of cnt" fld="1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372A6A-2D19-48EE-9A02-35E693C3D59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7">
    <pivotField showAll="0"/>
    <pivotField numFmtId="164" showAll="0"/>
    <pivotField showAll="0">
      <items count="2">
        <item x="0"/>
        <item t="default"/>
      </items>
    </pivotField>
    <pivotField showAll="0"/>
    <pivotField axis="axisRow" showAll="0">
      <items count="3">
        <item x="0"/>
        <item x="1"/>
        <item t="default"/>
      </items>
    </pivotField>
    <pivotField showAll="0"/>
    <pivotField showAll="0"/>
    <pivotField showAll="0">
      <items count="8">
        <item h="1" x="1"/>
        <item h="1" x="2"/>
        <item x="3"/>
        <item h="1" x="4"/>
        <item h="1" x="5"/>
        <item h="1" x="6"/>
        <item h="1" x="0"/>
        <item t="default"/>
      </items>
    </pivotField>
    <pivotField showAll="0">
      <items count="5">
        <item h="1" x="0"/>
        <item x="1"/>
        <item h="1" x="2"/>
        <item h="1" x="3"/>
        <item t="default"/>
      </items>
    </pivotField>
    <pivotField showAll="0"/>
    <pivotField showAll="0"/>
    <pivotField showAll="0"/>
    <pivotField showAll="0"/>
    <pivotField showAll="0"/>
    <pivotField showAll="0"/>
    <pivotField dataField="1" showAll="0"/>
    <pivotField showAll="0"/>
  </pivotFields>
  <rowFields count="1">
    <field x="4"/>
  </rowFields>
  <rowItems count="3">
    <i>
      <x/>
    </i>
    <i>
      <x v="1"/>
    </i>
    <i t="grand">
      <x/>
    </i>
  </rowItems>
  <colItems count="1">
    <i/>
  </colItems>
  <dataFields count="1">
    <dataField name="Sum of cnt" fld="1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9A6195-23D4-4DB4-B5E3-4401C80E254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5" firstHeaderRow="1" firstDataRow="1" firstDataCol="1"/>
  <pivotFields count="17">
    <pivotField showAll="0"/>
    <pivotField numFmtId="164" showAll="0"/>
    <pivotField axis="axisRow" showAll="0">
      <items count="2">
        <item x="0"/>
        <item t="default"/>
      </items>
    </pivotField>
    <pivotField showAll="0"/>
    <pivotField showAll="0"/>
    <pivotField showAll="0"/>
    <pivotField showAll="0"/>
    <pivotField showAll="0">
      <items count="8">
        <item h="1" x="1"/>
        <item h="1" x="2"/>
        <item x="3"/>
        <item h="1" x="4"/>
        <item h="1" x="5"/>
        <item h="1" x="6"/>
        <item h="1" x="0"/>
        <item t="default"/>
      </items>
    </pivotField>
    <pivotField showAll="0">
      <items count="5">
        <item h="1" x="0"/>
        <item x="1"/>
        <item h="1" x="2"/>
        <item h="1" x="3"/>
        <item t="default"/>
      </items>
    </pivotField>
    <pivotField showAll="0"/>
    <pivotField showAll="0"/>
    <pivotField showAll="0"/>
    <pivotField showAll="0"/>
    <pivotField showAll="0"/>
    <pivotField showAll="0"/>
    <pivotField dataField="1" showAll="0"/>
    <pivotField showAll="0"/>
  </pivotFields>
  <rowFields count="1">
    <field x="2"/>
  </rowFields>
  <rowItems count="2">
    <i>
      <x/>
    </i>
    <i t="grand">
      <x/>
    </i>
  </rowItems>
  <colItems count="1">
    <i/>
  </colItems>
  <dataFields count="1">
    <dataField name="Sum of cnt" fld="1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51A8AFB3-8350-42F0-A641-EEA2C17A9F45}" sourceName="season">
  <pivotTables>
    <pivotTable tabId="16" name="PivotTable1"/>
    <pivotTable tabId="18" name="PivotTable4"/>
    <pivotTable tabId="19" name="PivotTable5"/>
    <pivotTable tabId="17" name="PivotTable3"/>
  </pivotTables>
  <data>
    <tabular pivotCacheId="1738572412">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07D1A0C6-B5CB-4540-ABF9-2DF2B631A907}" sourceName="weekday">
  <pivotTables>
    <pivotTable tabId="16" name="PivotTable1"/>
    <pivotTable tabId="18" name="PivotTable4"/>
    <pivotTable tabId="19" name="PivotTable5"/>
    <pivotTable tabId="17" name="PivotTable3"/>
  </pivotTables>
  <data>
    <tabular pivotCacheId="1738572412">
      <items count="7">
        <i x="1"/>
        <i x="2"/>
        <i x="3" s="1"/>
        <i x="4"/>
        <i x="5"/>
        <i x="6"/>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 xr10:uid="{1697EBAA-AA11-4AE3-B476-ED070E2FB0A8}" sourceName="weathersit">
  <pivotTables>
    <pivotTable tabId="16" name="PivotTable1"/>
    <pivotTable tabId="18" name="PivotTable4"/>
    <pivotTable tabId="19" name="PivotTable5"/>
    <pivotTable tabId="17" name="PivotTable3"/>
  </pivotTables>
  <data>
    <tabular pivotCacheId="1738572412">
      <items count="4">
        <i x="0"/>
        <i x="1" s="1"/>
        <i x="2"/>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954CDF3D-7919-4749-925F-41E9420E9D47}" cache="Slicer_season" caption="season" rowHeight="209550"/>
  <slicer name="weekday" xr10:uid="{65E6AC17-2688-4D96-A9C7-22B4A4185263}" cache="Slicer_weekday" caption="weekday" rowHeight="209550"/>
  <slicer name="weathersit" xr10:uid="{E4CC61CD-EBB8-47E5-AEF7-BE0E8E5C9774}" cache="Slicer_weathersit" caption="weathersit"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3D8AEC00-2746-49B4-8246-D7737DEA5A19}" cache="Slicer_season" caption="season" rowHeight="209550"/>
  <slicer name="weekday 1" xr10:uid="{1BA83A54-7CCD-4097-BD36-6DA4EB489B22}" cache="Slicer_weekday" caption="weekday" rowHeight="209550"/>
  <slicer name="weathersit 1" xr10:uid="{BD78A536-48AB-405A-A5E2-695F227100A6}" cache="Slicer_weathersit" caption="weathersit"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E4EE1A5-56A3-4CB7-9FC1-48F4EF02EA6A}" name="Table6" displayName="Table6" ref="A1:J611" totalsRowShown="0" headerRowDxfId="76" dataDxfId="75">
  <autoFilter ref="A1:J611" xr:uid="{BE4EE1A5-56A3-4CB7-9FC1-48F4EF02EA6A}"/>
  <tableColumns count="10">
    <tableColumn id="1" xr3:uid="{EE63E419-BA9B-4302-A474-C6BB2448C9F4}" name="instant" dataDxfId="74"/>
    <tableColumn id="2" xr3:uid="{4B4710A9-1EF0-4F30-93CE-308D11A478F0}" name="dteday" dataDxfId="73"/>
    <tableColumn id="3" xr3:uid="{EBED197C-0A27-4E1C-8086-C4BDF8D39356}" name="season" dataDxfId="72"/>
    <tableColumn id="4" xr3:uid="{3E9AE4D3-DB3F-4632-9EDF-B33487073B81}" name="yr" dataDxfId="71"/>
    <tableColumn id="5" xr3:uid="{4714CFAA-E6A6-4DE5-BDA9-9035D3047EE3}" name="mnth" dataDxfId="70"/>
    <tableColumn id="6" xr3:uid="{3B76EA5E-6ECB-4D2B-A16D-3CE432443B46}" name="hr" dataDxfId="69"/>
    <tableColumn id="7" xr3:uid="{8374E704-AC0E-4C2B-B42B-94D42AB4D616}" name="holiday" dataDxfId="68"/>
    <tableColumn id="8" xr3:uid="{14A30E2F-3366-48A4-87B8-7A0428203EE1}" name="weekday" dataDxfId="67"/>
    <tableColumn id="9" xr3:uid="{070E6F89-CA43-4BE1-A460-204E6CE99DEE}" name="weathersit" dataDxfId="66"/>
    <tableColumn id="10" xr3:uid="{B75E6289-9CE3-493A-A0A9-4224504486B0}" name="temp" dataDxfId="6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47ACDB3-83F8-4C0B-AE53-4F17C3827CC6}" name="Table7" displayName="Table7" ref="A1:H611" totalsRowShown="0" headerRowDxfId="64" dataDxfId="63">
  <autoFilter ref="A1:H611" xr:uid="{D47ACDB3-83F8-4C0B-AE53-4F17C3827CC6}"/>
  <tableColumns count="8">
    <tableColumn id="1" xr3:uid="{85D40D9D-2F78-46B2-AC10-8DD7B4B6F1C1}" name="Unnamed: 0" dataDxfId="62"/>
    <tableColumn id="2" xr3:uid="{DB256B23-F215-4222-B407-D4BDF618EDFA}" name="instant" dataDxfId="61"/>
    <tableColumn id="3" xr3:uid="{BF002A60-BC2C-452C-922B-CB11F5B40BB5}" name="atemp" dataDxfId="60"/>
    <tableColumn id="4" xr3:uid="{FF750C28-D1B9-4E5F-9F55-DB804C5889AD}" name="hum" dataDxfId="59"/>
    <tableColumn id="5" xr3:uid="{6270D7A3-2C73-4175-9A9E-499BE5495368}" name="windspeed" dataDxfId="58"/>
    <tableColumn id="6" xr3:uid="{C7DF70D3-2976-4F9C-8AD5-11A46399EDAF}" name="casual" dataDxfId="57"/>
    <tableColumn id="7" xr3:uid="{EA1310D5-7F58-4677-A070-02FBEC4206A3}" name="registered" dataDxfId="56"/>
    <tableColumn id="8" xr3:uid="{D2D47AA6-8B71-4CC0-A43A-2F5CCB91DA9F}" name="cnt" dataDxfId="5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701481E-DAC2-409C-9F57-E16E04D9DF02}" name="Table611" displayName="Table611" ref="A1:P611" totalsRowShown="0" headerRowDxfId="54" dataDxfId="53">
  <autoFilter ref="A1:P611" xr:uid="{3701481E-DAC2-409C-9F57-E16E04D9DF02}"/>
  <sortState xmlns:xlrd2="http://schemas.microsoft.com/office/spreadsheetml/2017/richdata2" ref="A2:P611">
    <sortCondition ref="B1:B611"/>
  </sortState>
  <tableColumns count="16">
    <tableColumn id="1" xr3:uid="{9E9A4EFB-6599-423B-9D17-01F63E8D93E6}" name="instant" dataDxfId="52"/>
    <tableColumn id="2" xr3:uid="{C9F7AC82-8878-4262-92C3-33B9E70DDD00}" name="dteday" dataDxfId="51"/>
    <tableColumn id="3" xr3:uid="{E58A2D15-14CD-4D8F-A691-6889067E6570}" name="season" dataDxfId="50"/>
    <tableColumn id="4" xr3:uid="{34388FD6-05DB-4BE3-A34B-E2DFCB7BD724}" name="yr" dataDxfId="49"/>
    <tableColumn id="5" xr3:uid="{2EB6AB9D-DA46-4790-A67B-6CB7DC33E80A}" name="mnth" dataDxfId="48"/>
    <tableColumn id="6" xr3:uid="{3E7B96EF-3EDE-4505-9534-3DE4F180C089}" name="hr" dataDxfId="47"/>
    <tableColumn id="7" xr3:uid="{0E8566D4-9E17-4C7A-8ED6-DC215B49044C}" name="holiday" dataDxfId="46"/>
    <tableColumn id="8" xr3:uid="{2139833A-C1D5-4128-9E96-DD888F00E45F}" name="weekday" dataDxfId="45"/>
    <tableColumn id="9" xr3:uid="{B78637E8-637F-48CD-9790-015B1F7A7666}" name="weathersit" dataDxfId="44"/>
    <tableColumn id="10" xr3:uid="{8E7D7AD7-67AD-45FA-A4EA-EF20331A6C0D}" name="temp" dataDxfId="43"/>
    <tableColumn id="11" xr3:uid="{3D70C553-E726-4427-9773-FAC33697AAB7}" name="atemp" dataDxfId="42"/>
    <tableColumn id="12" xr3:uid="{46AC7F8E-C852-4F1B-91FC-C2DF68BD641D}" name="hum" dataDxfId="41"/>
    <tableColumn id="13" xr3:uid="{42087F96-5A15-4D5F-A9AE-7312F950A20E}" name="windspeed" dataDxfId="40"/>
    <tableColumn id="14" xr3:uid="{3B67DDAB-3A9B-48E9-A03F-369496BB35E1}" name="casual" dataDxfId="39"/>
    <tableColumn id="15" xr3:uid="{7708C472-D1EA-4A79-BED2-42238F5F76D2}" name="registered" dataDxfId="38"/>
    <tableColumn id="16" xr3:uid="{30CB2698-AB6D-4994-A996-E01C9A478C1B}" name="cnt" dataDxfId="3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15B300-1C31-4115-8148-DA9032E997D8}" name="Table1" displayName="Table1" ref="A1:P391" totalsRowShown="0" headerRowDxfId="36" dataDxfId="35" headerRowCellStyle="Normal 2" dataCellStyle="Normal 2">
  <autoFilter ref="A1:P391" xr:uid="{DA15B300-1C31-4115-8148-DA9032E997D8}"/>
  <sortState xmlns:xlrd2="http://schemas.microsoft.com/office/spreadsheetml/2017/richdata2" ref="A2:P391">
    <sortCondition ref="B1:B391"/>
  </sortState>
  <tableColumns count="16">
    <tableColumn id="1" xr3:uid="{15DA7FE7-999C-49CA-8FA3-B7D7D3FE7116}" name="instant" dataDxfId="34" dataCellStyle="Normal 2"/>
    <tableColumn id="2" xr3:uid="{41763772-974F-45CD-85EF-5D7A6299F853}" name="dteday" dataDxfId="33" dataCellStyle="Normal 2"/>
    <tableColumn id="3" xr3:uid="{7F1F70CD-C4B3-4373-A5F7-066A5D2E8639}" name="season" dataDxfId="32" dataCellStyle="Normal 2"/>
    <tableColumn id="4" xr3:uid="{1A1FD7AF-AACA-4FB0-8B4F-4F1A4DFBE3FF}" name="yr" dataDxfId="31" dataCellStyle="Normal 2"/>
    <tableColumn id="5" xr3:uid="{66FC57E4-750D-4B5C-83DB-7ED6626BA529}" name="mnth" dataDxfId="30" dataCellStyle="Normal 2"/>
    <tableColumn id="6" xr3:uid="{276636AE-5BA8-47C7-B1CA-04CE751ED8EF}" name="hr" dataDxfId="29" dataCellStyle="Normal 2"/>
    <tableColumn id="7" xr3:uid="{98CB888A-F13A-4969-9231-3BDA071F7A95}" name="holiday" dataDxfId="28" dataCellStyle="Normal 2"/>
    <tableColumn id="8" xr3:uid="{2E9211B0-912D-42D9-8A4C-2EF812A292FB}" name="weekday" dataDxfId="27" dataCellStyle="Normal 2"/>
    <tableColumn id="9" xr3:uid="{8982FDB1-5150-4A47-ADB1-17B43BE6ED6E}" name="weathersit" dataDxfId="26" dataCellStyle="Normal 2"/>
    <tableColumn id="10" xr3:uid="{FEB60E5F-C89E-4DBE-A766-8B9B4F6048E8}" name="temp" dataDxfId="25" dataCellStyle="Normal 2"/>
    <tableColumn id="11" xr3:uid="{304D9169-6811-4748-8AFE-E54AC032FB30}" name="atemp" dataDxfId="24" dataCellStyle="Normal 2"/>
    <tableColumn id="12" xr3:uid="{DBCF13C3-C2C4-4B6D-81C7-318930FEEB62}" name="hum" dataDxfId="23" dataCellStyle="Normal 2"/>
    <tableColumn id="13" xr3:uid="{07D8A93E-31BE-4449-9C3E-C61997B3B1A6}" name="windspeed" dataDxfId="22" dataCellStyle="Normal 2"/>
    <tableColumn id="14" xr3:uid="{8159F5A3-316E-47F6-870D-ED86D21453C5}" name="casual" dataDxfId="21" dataCellStyle="Normal 2"/>
    <tableColumn id="15" xr3:uid="{53BBEAF3-F2F9-4B92-AB13-F6C9BA730EEB}" name="registered" dataDxfId="20" dataCellStyle="Normal 2"/>
    <tableColumn id="16" xr3:uid="{B6872E58-75C4-4BB1-BD6A-21E8D23BD747}" name="cnt" dataDxfId="19" dataCellStyle="Normal 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ADECBEA-4E8B-4B05-BB74-EA6594528782}" name="Table6113" displayName="Table6113" ref="A1:Q1001" totalsRowShown="0" headerRowDxfId="18" dataDxfId="17">
  <autoFilter ref="A1:Q1001" xr:uid="{0ADECBEA-4E8B-4B05-BB74-EA6594528782}"/>
  <sortState xmlns:xlrd2="http://schemas.microsoft.com/office/spreadsheetml/2017/richdata2" ref="A2:P611">
    <sortCondition ref="B1:B611"/>
  </sortState>
  <tableColumns count="17">
    <tableColumn id="1" xr3:uid="{3509E60A-95E9-4156-AF4F-964FA473C80B}" name="instant" dataDxfId="16"/>
    <tableColumn id="2" xr3:uid="{893DD286-5824-43EF-834E-E19A808AFF11}" name="dteday" dataDxfId="15"/>
    <tableColumn id="3" xr3:uid="{F5AFA98C-6E93-4554-90FC-D8BC333A6B26}" name="season" dataDxfId="14"/>
    <tableColumn id="4" xr3:uid="{471E55FF-0C50-4997-B11E-70011EA85164}" name="yr" dataDxfId="13"/>
    <tableColumn id="5" xr3:uid="{1C5A2E8B-D8BF-41B0-A6BB-C6E848C26B46}" name="mnth" dataDxfId="12"/>
    <tableColumn id="6" xr3:uid="{44123F87-69DB-43C3-9356-0972F44A649A}" name="hr" dataDxfId="11"/>
    <tableColumn id="7" xr3:uid="{4692E9D6-F14B-43AB-8D24-FEF584789C4E}" name="holiday" dataDxfId="10"/>
    <tableColumn id="8" xr3:uid="{D38A6307-AAA1-4032-BCB9-683FA286789B}" name="weekday" dataDxfId="9"/>
    <tableColumn id="9" xr3:uid="{1060DF23-34CA-44D2-87F1-7517BD6692E8}" name="weathersit" dataDxfId="8"/>
    <tableColumn id="10" xr3:uid="{894D8BF2-447F-4B49-8475-F8FFFB8E8C8C}" name="temp" dataDxfId="7"/>
    <tableColumn id="11" xr3:uid="{2A1B15CB-DD75-47D2-BED7-7D8E25725884}" name="atemp" dataDxfId="6"/>
    <tableColumn id="12" xr3:uid="{DDEBAC93-6096-439C-87D3-59F04E6ECA62}" name="hum" dataDxfId="5"/>
    <tableColumn id="13" xr3:uid="{1E22FFC0-7AF4-48A0-BD72-7E6C047318FD}" name="windspeed" dataDxfId="4"/>
    <tableColumn id="14" xr3:uid="{A3133692-0C1A-41C8-8F46-C70662EFCA35}" name="casual" dataDxfId="3"/>
    <tableColumn id="15" xr3:uid="{E47388CE-72F8-459D-B526-F3841BD67820}" name="registered" dataDxfId="2"/>
    <tableColumn id="16" xr3:uid="{0EE1BCDD-5CAF-4FB6-96F9-D233D8CC6039}" name="cnt" dataDxfId="1"/>
    <tableColumn id="17" xr3:uid="{94DD5DC5-3E74-4BD9-907A-D634B880BAF6}" name="day_typ" dataDxfId="0">
      <calculatedColumnFormula>IF(H2&gt;=6,"Weekend","Weekday")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14E17-C181-458C-87EE-F333F1731DA5}">
  <dimension ref="A1:T612"/>
  <sheetViews>
    <sheetView topLeftCell="A582" workbookViewId="0">
      <selection sqref="A1:J611"/>
    </sheetView>
  </sheetViews>
  <sheetFormatPr defaultRowHeight="13.2"/>
  <cols>
    <col min="2" max="2" width="10.33203125" bestFit="1" customWidth="1"/>
    <col min="3" max="3" width="9.109375" customWidth="1"/>
    <col min="7" max="7" width="9.109375" customWidth="1"/>
    <col min="8" max="8" width="10.44140625" customWidth="1"/>
    <col min="9" max="9" width="12" customWidth="1"/>
    <col min="12" max="12" width="13.44140625" customWidth="1"/>
    <col min="13" max="13" width="12.21875" customWidth="1"/>
    <col min="14" max="14" width="12.44140625" customWidth="1"/>
    <col min="15" max="15" width="11.33203125" customWidth="1"/>
    <col min="16" max="16" width="12" bestFit="1" customWidth="1"/>
    <col min="17" max="17" width="12.21875" customWidth="1"/>
    <col min="18" max="18" width="13.77734375" customWidth="1"/>
    <col min="19" max="19" width="13.44140625" customWidth="1"/>
    <col min="20" max="20" width="13.6640625" customWidth="1"/>
  </cols>
  <sheetData>
    <row r="1" spans="1:20">
      <c r="A1" s="1" t="s">
        <v>0</v>
      </c>
      <c r="B1" s="1" t="s">
        <v>1</v>
      </c>
      <c r="C1" s="1" t="s">
        <v>2</v>
      </c>
      <c r="D1" s="1" t="s">
        <v>3</v>
      </c>
      <c r="E1" s="1" t="s">
        <v>4</v>
      </c>
      <c r="F1" s="1" t="s">
        <v>5</v>
      </c>
      <c r="G1" s="1" t="s">
        <v>6</v>
      </c>
      <c r="H1" s="1" t="s">
        <v>7</v>
      </c>
      <c r="I1" s="1" t="s">
        <v>8</v>
      </c>
      <c r="J1" s="1" t="s">
        <v>9</v>
      </c>
      <c r="M1" t="s">
        <v>17</v>
      </c>
      <c r="N1" t="s">
        <v>10</v>
      </c>
      <c r="O1" t="s">
        <v>11</v>
      </c>
      <c r="P1" t="s">
        <v>12</v>
      </c>
      <c r="Q1" s="3" t="s">
        <v>13</v>
      </c>
      <c r="R1" t="s">
        <v>14</v>
      </c>
      <c r="S1" t="s">
        <v>15</v>
      </c>
      <c r="T1" t="s">
        <v>16</v>
      </c>
    </row>
    <row r="2" spans="1:20">
      <c r="A2" s="1">
        <v>1</v>
      </c>
      <c r="B2" s="2">
        <v>40544</v>
      </c>
      <c r="C2" s="1">
        <v>1</v>
      </c>
      <c r="D2" s="1">
        <v>0</v>
      </c>
      <c r="E2" s="1">
        <v>1</v>
      </c>
      <c r="F2" s="1">
        <v>0</v>
      </c>
      <c r="G2" s="1" t="b">
        <v>0</v>
      </c>
      <c r="H2" s="1">
        <v>6</v>
      </c>
      <c r="I2" s="1">
        <v>1</v>
      </c>
      <c r="J2" s="1">
        <v>0.24</v>
      </c>
      <c r="M2" t="str">
        <f>IF(COUNTIF(A:A,A2)&gt;1,"Duplicate","Unique")</f>
        <v>Unique</v>
      </c>
      <c r="N2" t="s">
        <v>18</v>
      </c>
      <c r="O2" t="str">
        <f t="shared" ref="O2:O65" si="0">IF(D2=0,"2011","2012")</f>
        <v>2011</v>
      </c>
      <c r="P2" t="str">
        <f>IF(G2=FALSE,"Working Day","Holiday")</f>
        <v>Working Day</v>
      </c>
      <c r="Q2" t="str">
        <f>CHOOSE(H2+1,"Sunday","Monday","Tuesday","Wednesday","Thursday","Friday","Saturday")</f>
        <v>Saturday</v>
      </c>
      <c r="R2" t="str">
        <f>IF(I2=1,"Clear",IF(I2=2,"Cloudy",IF(I2=3,"Rainy","Storm")))</f>
        <v>Clear</v>
      </c>
      <c r="S2" t="str">
        <f>IF(F2&lt;12,"Morning",IF(F2&lt;18,"Afternoon","Night"))</f>
        <v>Morning</v>
      </c>
      <c r="T2" t="str">
        <f>IF(J2&lt;0.3,"Cold",IF(J2&lt;0.6,"Normal","Hot"))</f>
        <v>Cold</v>
      </c>
    </row>
    <row r="3" spans="1:20">
      <c r="A3" s="1">
        <v>2</v>
      </c>
      <c r="B3" s="2">
        <v>40544</v>
      </c>
      <c r="C3" s="1">
        <v>1</v>
      </c>
      <c r="D3" s="1">
        <v>0</v>
      </c>
      <c r="E3" s="1">
        <v>1</v>
      </c>
      <c r="F3" s="1">
        <v>1</v>
      </c>
      <c r="G3" s="1" t="b">
        <v>0</v>
      </c>
      <c r="H3" s="1">
        <v>6</v>
      </c>
      <c r="I3" s="1">
        <v>1</v>
      </c>
      <c r="J3" s="1">
        <v>0.22</v>
      </c>
      <c r="M3" t="str">
        <f t="shared" ref="M3:M66" si="1">IF(COUNTIF(A:A,A3)&gt;1,"Duplicate","Unique")</f>
        <v>Unique</v>
      </c>
      <c r="N3" t="str">
        <f t="shared" ref="N3:N66" si="2">IF(C3=1,"Spring",IF(C3=2,"Summer",IF(C3=3,"Fall","Winter")))</f>
        <v>Spring</v>
      </c>
      <c r="O3" t="str">
        <f t="shared" si="0"/>
        <v>2011</v>
      </c>
      <c r="P3" t="str">
        <f>IF(G2=FALSE,"Working Day","Holiday")</f>
        <v>Working Day</v>
      </c>
      <c r="Q3" t="str">
        <f t="shared" ref="Q3:Q66" si="3">CHOOSE(H3+1,"Sunday","Monday","Tuesday","Wednesday","Thursday","Friday","Saturday")</f>
        <v>Saturday</v>
      </c>
      <c r="R3" t="str">
        <f t="shared" ref="R3:R66" si="4">IF(I3=1,"Clear",IF(I3=2,"Cloudy",IF(I3=3,"Rainy","Storm")))</f>
        <v>Clear</v>
      </c>
      <c r="S3" t="str">
        <f t="shared" ref="S3:S66" si="5">IF(F3&lt;12,"Morning",IF(F3&lt;18,"Afternoon","Night"))</f>
        <v>Morning</v>
      </c>
      <c r="T3" t="str">
        <f t="shared" ref="T3:T66" si="6">IF(J3&lt;0.3,"Cold",IF(J3&lt;0.6,"Normal","Hot"))</f>
        <v>Cold</v>
      </c>
    </row>
    <row r="4" spans="1:20">
      <c r="A4" s="1">
        <v>3</v>
      </c>
      <c r="B4" s="2">
        <v>40544</v>
      </c>
      <c r="C4" s="1">
        <v>1</v>
      </c>
      <c r="D4" s="1">
        <v>0</v>
      </c>
      <c r="E4" s="1">
        <v>1</v>
      </c>
      <c r="F4" s="1">
        <v>2</v>
      </c>
      <c r="G4" s="1" t="b">
        <v>0</v>
      </c>
      <c r="H4" s="1">
        <v>6</v>
      </c>
      <c r="I4" s="1">
        <v>1</v>
      </c>
      <c r="J4" s="1">
        <v>0.22</v>
      </c>
      <c r="M4" t="str">
        <f t="shared" si="1"/>
        <v>Unique</v>
      </c>
      <c r="N4" t="str">
        <f t="shared" si="2"/>
        <v>Spring</v>
      </c>
      <c r="O4" t="str">
        <f t="shared" si="0"/>
        <v>2011</v>
      </c>
      <c r="P4" t="str">
        <f t="shared" ref="P4:P67" si="7">IF(G3=FALSE,"Working Day","Holiday")</f>
        <v>Working Day</v>
      </c>
      <c r="Q4" t="str">
        <f t="shared" si="3"/>
        <v>Saturday</v>
      </c>
      <c r="R4" t="str">
        <f t="shared" si="4"/>
        <v>Clear</v>
      </c>
      <c r="S4" t="str">
        <f t="shared" si="5"/>
        <v>Morning</v>
      </c>
      <c r="T4" t="str">
        <f t="shared" si="6"/>
        <v>Cold</v>
      </c>
    </row>
    <row r="5" spans="1:20">
      <c r="A5" s="1">
        <v>4</v>
      </c>
      <c r="B5" s="2">
        <v>40544</v>
      </c>
      <c r="C5" s="1">
        <v>1</v>
      </c>
      <c r="D5" s="1">
        <v>0</v>
      </c>
      <c r="E5" s="1">
        <v>1</v>
      </c>
      <c r="F5" s="1">
        <v>3</v>
      </c>
      <c r="G5" s="1" t="b">
        <v>0</v>
      </c>
      <c r="H5" s="1">
        <v>6</v>
      </c>
      <c r="I5" s="1">
        <v>1</v>
      </c>
      <c r="J5" s="1">
        <v>0.24</v>
      </c>
      <c r="M5" t="str">
        <f t="shared" si="1"/>
        <v>Unique</v>
      </c>
      <c r="N5" t="str">
        <f t="shared" si="2"/>
        <v>Spring</v>
      </c>
      <c r="O5" t="str">
        <f t="shared" si="0"/>
        <v>2011</v>
      </c>
      <c r="P5" t="str">
        <f t="shared" si="7"/>
        <v>Working Day</v>
      </c>
      <c r="Q5" t="str">
        <f t="shared" si="3"/>
        <v>Saturday</v>
      </c>
      <c r="R5" t="str">
        <f t="shared" si="4"/>
        <v>Clear</v>
      </c>
      <c r="S5" t="str">
        <f t="shared" si="5"/>
        <v>Morning</v>
      </c>
      <c r="T5" t="str">
        <f t="shared" si="6"/>
        <v>Cold</v>
      </c>
    </row>
    <row r="6" spans="1:20">
      <c r="A6" s="1">
        <v>5</v>
      </c>
      <c r="B6" s="2">
        <v>40544</v>
      </c>
      <c r="C6" s="1">
        <v>1</v>
      </c>
      <c r="D6" s="1">
        <v>0</v>
      </c>
      <c r="E6" s="1">
        <v>1</v>
      </c>
      <c r="F6" s="1">
        <v>4</v>
      </c>
      <c r="G6" s="1" t="b">
        <v>0</v>
      </c>
      <c r="H6" s="1">
        <v>6</v>
      </c>
      <c r="I6" s="1">
        <v>1</v>
      </c>
      <c r="J6" s="1">
        <v>0.24</v>
      </c>
      <c r="M6" t="str">
        <f t="shared" si="1"/>
        <v>Unique</v>
      </c>
      <c r="N6" t="str">
        <f t="shared" si="2"/>
        <v>Spring</v>
      </c>
      <c r="O6" t="str">
        <f t="shared" si="0"/>
        <v>2011</v>
      </c>
      <c r="P6" t="str">
        <f t="shared" si="7"/>
        <v>Working Day</v>
      </c>
      <c r="Q6" t="str">
        <f t="shared" si="3"/>
        <v>Saturday</v>
      </c>
      <c r="R6" t="str">
        <f t="shared" si="4"/>
        <v>Clear</v>
      </c>
      <c r="S6" t="str">
        <f t="shared" si="5"/>
        <v>Morning</v>
      </c>
      <c r="T6" t="str">
        <f t="shared" si="6"/>
        <v>Cold</v>
      </c>
    </row>
    <row r="7" spans="1:20">
      <c r="A7" s="1">
        <v>6</v>
      </c>
      <c r="B7" s="2">
        <v>40544</v>
      </c>
      <c r="C7" s="1">
        <v>1</v>
      </c>
      <c r="D7" s="1">
        <v>0</v>
      </c>
      <c r="E7" s="1">
        <v>1</v>
      </c>
      <c r="F7" s="1">
        <v>5</v>
      </c>
      <c r="G7" s="1" t="b">
        <v>0</v>
      </c>
      <c r="H7" s="1">
        <v>6</v>
      </c>
      <c r="I7" s="1">
        <v>2</v>
      </c>
      <c r="J7" s="1">
        <v>0.24</v>
      </c>
      <c r="M7" t="str">
        <f t="shared" si="1"/>
        <v>Unique</v>
      </c>
      <c r="N7" t="str">
        <f t="shared" si="2"/>
        <v>Spring</v>
      </c>
      <c r="O7" t="str">
        <f t="shared" si="0"/>
        <v>2011</v>
      </c>
      <c r="P7" t="str">
        <f t="shared" si="7"/>
        <v>Working Day</v>
      </c>
      <c r="Q7" t="str">
        <f t="shared" si="3"/>
        <v>Saturday</v>
      </c>
      <c r="R7" t="str">
        <f t="shared" si="4"/>
        <v>Cloudy</v>
      </c>
      <c r="S7" t="str">
        <f t="shared" si="5"/>
        <v>Morning</v>
      </c>
      <c r="T7" t="str">
        <f t="shared" si="6"/>
        <v>Cold</v>
      </c>
    </row>
    <row r="8" spans="1:20">
      <c r="A8" s="1">
        <v>7</v>
      </c>
      <c r="B8" s="2">
        <v>40544</v>
      </c>
      <c r="C8" s="1">
        <v>1</v>
      </c>
      <c r="D8" s="1">
        <v>0</v>
      </c>
      <c r="E8" s="1">
        <v>1</v>
      </c>
      <c r="F8" s="1">
        <v>6</v>
      </c>
      <c r="G8" s="1" t="b">
        <v>0</v>
      </c>
      <c r="H8" s="1">
        <v>6</v>
      </c>
      <c r="I8" s="1">
        <v>1</v>
      </c>
      <c r="J8" s="1">
        <v>0.22</v>
      </c>
      <c r="M8" t="str">
        <f t="shared" si="1"/>
        <v>Unique</v>
      </c>
      <c r="N8" t="str">
        <f t="shared" si="2"/>
        <v>Spring</v>
      </c>
      <c r="O8" t="str">
        <f t="shared" si="0"/>
        <v>2011</v>
      </c>
      <c r="P8" t="str">
        <f t="shared" si="7"/>
        <v>Working Day</v>
      </c>
      <c r="Q8" t="str">
        <f t="shared" si="3"/>
        <v>Saturday</v>
      </c>
      <c r="R8" t="str">
        <f t="shared" si="4"/>
        <v>Clear</v>
      </c>
      <c r="S8" t="str">
        <f t="shared" si="5"/>
        <v>Morning</v>
      </c>
      <c r="T8" t="str">
        <f t="shared" si="6"/>
        <v>Cold</v>
      </c>
    </row>
    <row r="9" spans="1:20">
      <c r="A9" s="1">
        <v>8</v>
      </c>
      <c r="B9" s="2">
        <v>40544</v>
      </c>
      <c r="C9" s="1">
        <v>1</v>
      </c>
      <c r="D9" s="1">
        <v>0</v>
      </c>
      <c r="E9" s="1">
        <v>1</v>
      </c>
      <c r="F9" s="1">
        <v>7</v>
      </c>
      <c r="G9" s="1" t="b">
        <v>0</v>
      </c>
      <c r="H9" s="1">
        <v>6</v>
      </c>
      <c r="I9" s="1">
        <v>1</v>
      </c>
      <c r="J9" s="1">
        <v>0.2</v>
      </c>
      <c r="M9" t="str">
        <f t="shared" si="1"/>
        <v>Unique</v>
      </c>
      <c r="N9" t="str">
        <f t="shared" si="2"/>
        <v>Spring</v>
      </c>
      <c r="O9" t="str">
        <f t="shared" si="0"/>
        <v>2011</v>
      </c>
      <c r="P9" t="str">
        <f t="shared" si="7"/>
        <v>Working Day</v>
      </c>
      <c r="Q9" t="str">
        <f t="shared" si="3"/>
        <v>Saturday</v>
      </c>
      <c r="R9" t="str">
        <f t="shared" si="4"/>
        <v>Clear</v>
      </c>
      <c r="S9" t="str">
        <f t="shared" si="5"/>
        <v>Morning</v>
      </c>
      <c r="T9" t="str">
        <f t="shared" si="6"/>
        <v>Cold</v>
      </c>
    </row>
    <row r="10" spans="1:20">
      <c r="A10" s="1">
        <v>9</v>
      </c>
      <c r="B10" s="2">
        <v>40544</v>
      </c>
      <c r="C10" s="1">
        <v>1</v>
      </c>
      <c r="D10" s="1">
        <v>0</v>
      </c>
      <c r="E10" s="1">
        <v>1</v>
      </c>
      <c r="F10" s="1">
        <v>8</v>
      </c>
      <c r="G10" s="1" t="b">
        <v>0</v>
      </c>
      <c r="H10" s="1">
        <v>6</v>
      </c>
      <c r="I10" s="1">
        <v>1</v>
      </c>
      <c r="J10" s="1">
        <v>0.24</v>
      </c>
      <c r="M10" t="str">
        <f t="shared" si="1"/>
        <v>Unique</v>
      </c>
      <c r="N10" t="str">
        <f t="shared" si="2"/>
        <v>Spring</v>
      </c>
      <c r="O10" t="str">
        <f t="shared" si="0"/>
        <v>2011</v>
      </c>
      <c r="P10" t="str">
        <f t="shared" si="7"/>
        <v>Working Day</v>
      </c>
      <c r="Q10" t="str">
        <f t="shared" si="3"/>
        <v>Saturday</v>
      </c>
      <c r="R10" t="str">
        <f t="shared" si="4"/>
        <v>Clear</v>
      </c>
      <c r="S10" t="str">
        <f t="shared" si="5"/>
        <v>Morning</v>
      </c>
      <c r="T10" t="str">
        <f t="shared" si="6"/>
        <v>Cold</v>
      </c>
    </row>
    <row r="11" spans="1:20">
      <c r="A11" s="1">
        <v>10</v>
      </c>
      <c r="B11" s="2">
        <v>40544</v>
      </c>
      <c r="C11" s="1">
        <v>1</v>
      </c>
      <c r="D11" s="1">
        <v>0</v>
      </c>
      <c r="E11" s="1">
        <v>1</v>
      </c>
      <c r="F11" s="1">
        <v>9</v>
      </c>
      <c r="G11" s="1" t="b">
        <v>0</v>
      </c>
      <c r="H11" s="1">
        <v>6</v>
      </c>
      <c r="I11" s="1">
        <v>1</v>
      </c>
      <c r="J11" s="1">
        <v>0.32</v>
      </c>
      <c r="M11" t="str">
        <f t="shared" si="1"/>
        <v>Unique</v>
      </c>
      <c r="N11" t="str">
        <f t="shared" si="2"/>
        <v>Spring</v>
      </c>
      <c r="O11" t="str">
        <f t="shared" si="0"/>
        <v>2011</v>
      </c>
      <c r="P11" t="str">
        <f t="shared" si="7"/>
        <v>Working Day</v>
      </c>
      <c r="Q11" t="str">
        <f t="shared" si="3"/>
        <v>Saturday</v>
      </c>
      <c r="R11" t="str">
        <f t="shared" si="4"/>
        <v>Clear</v>
      </c>
      <c r="S11" t="str">
        <f t="shared" si="5"/>
        <v>Morning</v>
      </c>
      <c r="T11" t="str">
        <f t="shared" si="6"/>
        <v>Normal</v>
      </c>
    </row>
    <row r="12" spans="1:20">
      <c r="A12" s="1">
        <v>11</v>
      </c>
      <c r="B12" s="2">
        <v>40544</v>
      </c>
      <c r="C12" s="1">
        <v>1</v>
      </c>
      <c r="D12" s="1">
        <v>0</v>
      </c>
      <c r="E12" s="1">
        <v>1</v>
      </c>
      <c r="F12" s="1">
        <v>10</v>
      </c>
      <c r="G12" s="1" t="b">
        <v>0</v>
      </c>
      <c r="H12" s="1">
        <v>6</v>
      </c>
      <c r="I12" s="1">
        <v>1</v>
      </c>
      <c r="J12" s="1">
        <v>0.38</v>
      </c>
      <c r="M12" t="str">
        <f t="shared" si="1"/>
        <v>Unique</v>
      </c>
      <c r="N12" t="str">
        <f t="shared" si="2"/>
        <v>Spring</v>
      </c>
      <c r="O12" t="str">
        <f t="shared" si="0"/>
        <v>2011</v>
      </c>
      <c r="P12" t="str">
        <f t="shared" si="7"/>
        <v>Working Day</v>
      </c>
      <c r="Q12" t="str">
        <f t="shared" si="3"/>
        <v>Saturday</v>
      </c>
      <c r="R12" t="str">
        <f t="shared" si="4"/>
        <v>Clear</v>
      </c>
      <c r="S12" t="str">
        <f t="shared" si="5"/>
        <v>Morning</v>
      </c>
      <c r="T12" t="str">
        <f t="shared" si="6"/>
        <v>Normal</v>
      </c>
    </row>
    <row r="13" spans="1:20">
      <c r="A13" s="1">
        <v>12</v>
      </c>
      <c r="B13" s="2">
        <v>40544</v>
      </c>
      <c r="C13" s="1">
        <v>1</v>
      </c>
      <c r="D13" s="1">
        <v>0</v>
      </c>
      <c r="E13" s="1">
        <v>1</v>
      </c>
      <c r="F13" s="1">
        <v>11</v>
      </c>
      <c r="G13" s="1" t="b">
        <v>0</v>
      </c>
      <c r="H13" s="1">
        <v>6</v>
      </c>
      <c r="I13" s="1">
        <v>1</v>
      </c>
      <c r="J13" s="1">
        <v>0.36</v>
      </c>
      <c r="M13" t="str">
        <f t="shared" si="1"/>
        <v>Unique</v>
      </c>
      <c r="N13" t="str">
        <f t="shared" si="2"/>
        <v>Spring</v>
      </c>
      <c r="O13" t="str">
        <f t="shared" si="0"/>
        <v>2011</v>
      </c>
      <c r="P13" t="str">
        <f t="shared" si="7"/>
        <v>Working Day</v>
      </c>
      <c r="Q13" t="str">
        <f t="shared" si="3"/>
        <v>Saturday</v>
      </c>
      <c r="R13" t="str">
        <f t="shared" si="4"/>
        <v>Clear</v>
      </c>
      <c r="S13" t="str">
        <f t="shared" si="5"/>
        <v>Morning</v>
      </c>
      <c r="T13" t="str">
        <f t="shared" si="6"/>
        <v>Normal</v>
      </c>
    </row>
    <row r="14" spans="1:20">
      <c r="A14" s="1">
        <v>13</v>
      </c>
      <c r="B14" s="2">
        <v>40544</v>
      </c>
      <c r="C14" s="1">
        <v>1</v>
      </c>
      <c r="D14" s="1">
        <v>0</v>
      </c>
      <c r="E14" s="1">
        <v>1</v>
      </c>
      <c r="F14" s="1">
        <v>12</v>
      </c>
      <c r="G14" s="1" t="b">
        <v>0</v>
      </c>
      <c r="H14" s="1">
        <v>6</v>
      </c>
      <c r="I14" s="1">
        <v>1</v>
      </c>
      <c r="J14" s="1">
        <v>0.42</v>
      </c>
      <c r="M14" t="str">
        <f t="shared" si="1"/>
        <v>Unique</v>
      </c>
      <c r="N14" t="str">
        <f t="shared" si="2"/>
        <v>Spring</v>
      </c>
      <c r="O14" t="str">
        <f t="shared" si="0"/>
        <v>2011</v>
      </c>
      <c r="P14" t="str">
        <f t="shared" si="7"/>
        <v>Working Day</v>
      </c>
      <c r="Q14" t="str">
        <f t="shared" si="3"/>
        <v>Saturday</v>
      </c>
      <c r="R14" t="str">
        <f t="shared" si="4"/>
        <v>Clear</v>
      </c>
      <c r="S14" t="str">
        <f t="shared" si="5"/>
        <v>Afternoon</v>
      </c>
      <c r="T14" t="str">
        <f t="shared" si="6"/>
        <v>Normal</v>
      </c>
    </row>
    <row r="15" spans="1:20">
      <c r="A15" s="1">
        <v>14</v>
      </c>
      <c r="B15" s="2">
        <v>40544</v>
      </c>
      <c r="C15" s="1">
        <v>1</v>
      </c>
      <c r="D15" s="1">
        <v>0</v>
      </c>
      <c r="E15" s="1">
        <v>1</v>
      </c>
      <c r="F15" s="1">
        <v>13</v>
      </c>
      <c r="G15" s="1" t="b">
        <v>0</v>
      </c>
      <c r="H15" s="1">
        <v>6</v>
      </c>
      <c r="I15" s="1">
        <v>2</v>
      </c>
      <c r="J15" s="1">
        <v>0.46</v>
      </c>
      <c r="M15" t="str">
        <f t="shared" si="1"/>
        <v>Unique</v>
      </c>
      <c r="N15" t="str">
        <f t="shared" si="2"/>
        <v>Spring</v>
      </c>
      <c r="O15" t="str">
        <f t="shared" si="0"/>
        <v>2011</v>
      </c>
      <c r="P15" t="str">
        <f t="shared" si="7"/>
        <v>Working Day</v>
      </c>
      <c r="Q15" t="str">
        <f t="shared" si="3"/>
        <v>Saturday</v>
      </c>
      <c r="R15" t="str">
        <f t="shared" si="4"/>
        <v>Cloudy</v>
      </c>
      <c r="S15" t="str">
        <f t="shared" si="5"/>
        <v>Afternoon</v>
      </c>
      <c r="T15" t="str">
        <f t="shared" si="6"/>
        <v>Normal</v>
      </c>
    </row>
    <row r="16" spans="1:20">
      <c r="A16" s="1">
        <v>15</v>
      </c>
      <c r="B16" s="2">
        <v>40544</v>
      </c>
      <c r="C16" s="1">
        <v>1</v>
      </c>
      <c r="D16" s="1">
        <v>0</v>
      </c>
      <c r="E16" s="1">
        <v>1</v>
      </c>
      <c r="F16" s="1">
        <v>14</v>
      </c>
      <c r="G16" s="1" t="b">
        <v>0</v>
      </c>
      <c r="H16" s="1">
        <v>6</v>
      </c>
      <c r="I16" s="1">
        <v>2</v>
      </c>
      <c r="J16" s="1">
        <v>0.46</v>
      </c>
      <c r="M16" t="str">
        <f t="shared" si="1"/>
        <v>Unique</v>
      </c>
      <c r="N16" t="str">
        <f t="shared" si="2"/>
        <v>Spring</v>
      </c>
      <c r="O16" t="str">
        <f t="shared" si="0"/>
        <v>2011</v>
      </c>
      <c r="P16" t="str">
        <f t="shared" si="7"/>
        <v>Working Day</v>
      </c>
      <c r="Q16" t="str">
        <f t="shared" si="3"/>
        <v>Saturday</v>
      </c>
      <c r="R16" t="str">
        <f t="shared" si="4"/>
        <v>Cloudy</v>
      </c>
      <c r="S16" t="str">
        <f t="shared" si="5"/>
        <v>Afternoon</v>
      </c>
      <c r="T16" t="str">
        <f t="shared" si="6"/>
        <v>Normal</v>
      </c>
    </row>
    <row r="17" spans="1:20">
      <c r="A17" s="1">
        <v>16</v>
      </c>
      <c r="B17" s="2">
        <v>40544</v>
      </c>
      <c r="C17" s="1">
        <v>1</v>
      </c>
      <c r="D17" s="1">
        <v>0</v>
      </c>
      <c r="E17" s="1">
        <v>1</v>
      </c>
      <c r="F17" s="1">
        <v>15</v>
      </c>
      <c r="G17" s="1" t="b">
        <v>0</v>
      </c>
      <c r="H17" s="1">
        <v>6</v>
      </c>
      <c r="I17" s="1">
        <v>2</v>
      </c>
      <c r="J17" s="1">
        <v>0.44</v>
      </c>
      <c r="M17" t="str">
        <f t="shared" si="1"/>
        <v>Unique</v>
      </c>
      <c r="N17" t="str">
        <f t="shared" si="2"/>
        <v>Spring</v>
      </c>
      <c r="O17" t="str">
        <f t="shared" si="0"/>
        <v>2011</v>
      </c>
      <c r="P17" t="str">
        <f t="shared" si="7"/>
        <v>Working Day</v>
      </c>
      <c r="Q17" t="str">
        <f t="shared" si="3"/>
        <v>Saturday</v>
      </c>
      <c r="R17" t="str">
        <f t="shared" si="4"/>
        <v>Cloudy</v>
      </c>
      <c r="S17" t="str">
        <f t="shared" si="5"/>
        <v>Afternoon</v>
      </c>
      <c r="T17" t="str">
        <f t="shared" si="6"/>
        <v>Normal</v>
      </c>
    </row>
    <row r="18" spans="1:20">
      <c r="A18" s="1">
        <v>17</v>
      </c>
      <c r="B18" s="2">
        <v>40544</v>
      </c>
      <c r="C18" s="1">
        <v>1</v>
      </c>
      <c r="D18" s="1">
        <v>0</v>
      </c>
      <c r="E18" s="1">
        <v>1</v>
      </c>
      <c r="F18" s="1">
        <v>16</v>
      </c>
      <c r="G18" s="1" t="b">
        <v>0</v>
      </c>
      <c r="H18" s="1">
        <v>6</v>
      </c>
      <c r="I18" s="1">
        <v>2</v>
      </c>
      <c r="J18" s="1">
        <v>0.42</v>
      </c>
      <c r="M18" t="str">
        <f t="shared" si="1"/>
        <v>Unique</v>
      </c>
      <c r="N18" t="str">
        <f t="shared" si="2"/>
        <v>Spring</v>
      </c>
      <c r="O18" t="str">
        <f t="shared" si="0"/>
        <v>2011</v>
      </c>
      <c r="P18" t="str">
        <f t="shared" si="7"/>
        <v>Working Day</v>
      </c>
      <c r="Q18" t="str">
        <f t="shared" si="3"/>
        <v>Saturday</v>
      </c>
      <c r="R18" t="str">
        <f t="shared" si="4"/>
        <v>Cloudy</v>
      </c>
      <c r="S18" t="str">
        <f t="shared" si="5"/>
        <v>Afternoon</v>
      </c>
      <c r="T18" t="str">
        <f t="shared" si="6"/>
        <v>Normal</v>
      </c>
    </row>
    <row r="19" spans="1:20">
      <c r="A19" s="1">
        <v>18</v>
      </c>
      <c r="B19" s="2">
        <v>40544</v>
      </c>
      <c r="C19" s="1">
        <v>1</v>
      </c>
      <c r="D19" s="1">
        <v>0</v>
      </c>
      <c r="E19" s="1">
        <v>1</v>
      </c>
      <c r="F19" s="1">
        <v>17</v>
      </c>
      <c r="G19" s="1" t="b">
        <v>0</v>
      </c>
      <c r="H19" s="1">
        <v>6</v>
      </c>
      <c r="I19" s="1">
        <v>2</v>
      </c>
      <c r="J19" s="1">
        <v>0.44</v>
      </c>
      <c r="M19" t="str">
        <f t="shared" si="1"/>
        <v>Unique</v>
      </c>
      <c r="N19" t="str">
        <f t="shared" si="2"/>
        <v>Spring</v>
      </c>
      <c r="O19" t="str">
        <f t="shared" si="0"/>
        <v>2011</v>
      </c>
      <c r="P19" t="str">
        <f t="shared" si="7"/>
        <v>Working Day</v>
      </c>
      <c r="Q19" t="str">
        <f t="shared" si="3"/>
        <v>Saturday</v>
      </c>
      <c r="R19" t="str">
        <f t="shared" si="4"/>
        <v>Cloudy</v>
      </c>
      <c r="S19" t="str">
        <f t="shared" si="5"/>
        <v>Afternoon</v>
      </c>
      <c r="T19" t="str">
        <f t="shared" si="6"/>
        <v>Normal</v>
      </c>
    </row>
    <row r="20" spans="1:20">
      <c r="A20" s="1">
        <v>19</v>
      </c>
      <c r="B20" s="2">
        <v>40544</v>
      </c>
      <c r="C20" s="1">
        <v>1</v>
      </c>
      <c r="D20" s="1">
        <v>0</v>
      </c>
      <c r="E20" s="1">
        <v>1</v>
      </c>
      <c r="F20" s="1">
        <v>18</v>
      </c>
      <c r="G20" s="1" t="b">
        <v>0</v>
      </c>
      <c r="H20" s="1">
        <v>6</v>
      </c>
      <c r="I20" s="1">
        <v>3</v>
      </c>
      <c r="J20" s="1">
        <v>0.42</v>
      </c>
      <c r="M20" t="str">
        <f t="shared" si="1"/>
        <v>Unique</v>
      </c>
      <c r="N20" t="str">
        <f t="shared" si="2"/>
        <v>Spring</v>
      </c>
      <c r="O20" t="str">
        <f t="shared" si="0"/>
        <v>2011</v>
      </c>
      <c r="P20" t="str">
        <f t="shared" si="7"/>
        <v>Working Day</v>
      </c>
      <c r="Q20" t="str">
        <f t="shared" si="3"/>
        <v>Saturday</v>
      </c>
      <c r="R20" t="str">
        <f t="shared" si="4"/>
        <v>Rainy</v>
      </c>
      <c r="S20" t="str">
        <f t="shared" si="5"/>
        <v>Night</v>
      </c>
      <c r="T20" t="str">
        <f t="shared" si="6"/>
        <v>Normal</v>
      </c>
    </row>
    <row r="21" spans="1:20">
      <c r="A21" s="1">
        <v>20</v>
      </c>
      <c r="B21" s="2">
        <v>40544</v>
      </c>
      <c r="C21" s="1">
        <v>1</v>
      </c>
      <c r="D21" s="1">
        <v>0</v>
      </c>
      <c r="E21" s="1">
        <v>1</v>
      </c>
      <c r="F21" s="1">
        <v>19</v>
      </c>
      <c r="G21" s="1" t="b">
        <v>0</v>
      </c>
      <c r="H21" s="1">
        <v>6</v>
      </c>
      <c r="I21" s="1">
        <v>3</v>
      </c>
      <c r="J21" s="1">
        <v>0.42</v>
      </c>
      <c r="M21" t="str">
        <f t="shared" si="1"/>
        <v>Unique</v>
      </c>
      <c r="N21" t="str">
        <f t="shared" si="2"/>
        <v>Spring</v>
      </c>
      <c r="O21" t="str">
        <f t="shared" si="0"/>
        <v>2011</v>
      </c>
      <c r="P21" t="str">
        <f>IF(G20=FALSE,"Working Day","Holiday")</f>
        <v>Working Day</v>
      </c>
      <c r="Q21" t="str">
        <f t="shared" si="3"/>
        <v>Saturday</v>
      </c>
      <c r="R21" t="str">
        <f t="shared" si="4"/>
        <v>Rainy</v>
      </c>
      <c r="S21" t="str">
        <f t="shared" si="5"/>
        <v>Night</v>
      </c>
      <c r="T21" t="str">
        <f t="shared" si="6"/>
        <v>Normal</v>
      </c>
    </row>
    <row r="22" spans="1:20">
      <c r="A22" s="1">
        <v>21</v>
      </c>
      <c r="B22" s="2">
        <v>40544</v>
      </c>
      <c r="C22" s="1">
        <v>1</v>
      </c>
      <c r="D22" s="1">
        <v>0</v>
      </c>
      <c r="E22" s="1">
        <v>1</v>
      </c>
      <c r="F22" s="1">
        <v>20</v>
      </c>
      <c r="G22" s="1" t="b">
        <v>0</v>
      </c>
      <c r="H22" s="1">
        <v>6</v>
      </c>
      <c r="I22" s="1">
        <v>2</v>
      </c>
      <c r="J22" s="1">
        <v>0.4</v>
      </c>
      <c r="M22" t="str">
        <f t="shared" si="1"/>
        <v>Unique</v>
      </c>
      <c r="N22" t="str">
        <f t="shared" si="2"/>
        <v>Spring</v>
      </c>
      <c r="O22" t="str">
        <f t="shared" si="0"/>
        <v>2011</v>
      </c>
      <c r="P22" t="str">
        <f t="shared" si="7"/>
        <v>Working Day</v>
      </c>
      <c r="Q22" t="str">
        <f t="shared" si="3"/>
        <v>Saturday</v>
      </c>
      <c r="R22" t="str">
        <f t="shared" si="4"/>
        <v>Cloudy</v>
      </c>
      <c r="S22" t="str">
        <f t="shared" si="5"/>
        <v>Night</v>
      </c>
      <c r="T22" t="str">
        <f t="shared" si="6"/>
        <v>Normal</v>
      </c>
    </row>
    <row r="23" spans="1:20">
      <c r="A23" s="1">
        <v>22</v>
      </c>
      <c r="B23" s="2">
        <v>40544</v>
      </c>
      <c r="C23" s="1">
        <v>1</v>
      </c>
      <c r="D23" s="1">
        <v>0</v>
      </c>
      <c r="E23" s="1">
        <v>1</v>
      </c>
      <c r="F23" s="1">
        <v>21</v>
      </c>
      <c r="G23" s="1" t="b">
        <v>0</v>
      </c>
      <c r="H23" s="1">
        <v>6</v>
      </c>
      <c r="I23" s="1">
        <v>2</v>
      </c>
      <c r="J23" s="1">
        <v>0.4</v>
      </c>
      <c r="M23" t="str">
        <f t="shared" si="1"/>
        <v>Unique</v>
      </c>
      <c r="N23" t="str">
        <f t="shared" si="2"/>
        <v>Spring</v>
      </c>
      <c r="O23" t="str">
        <f t="shared" si="0"/>
        <v>2011</v>
      </c>
      <c r="P23" t="str">
        <f t="shared" si="7"/>
        <v>Working Day</v>
      </c>
      <c r="Q23" t="str">
        <f t="shared" si="3"/>
        <v>Saturday</v>
      </c>
      <c r="R23" t="str">
        <f t="shared" si="4"/>
        <v>Cloudy</v>
      </c>
      <c r="S23" t="str">
        <f t="shared" si="5"/>
        <v>Night</v>
      </c>
      <c r="T23" t="str">
        <f t="shared" si="6"/>
        <v>Normal</v>
      </c>
    </row>
    <row r="24" spans="1:20">
      <c r="A24" s="1">
        <v>23</v>
      </c>
      <c r="B24" s="2">
        <v>40544</v>
      </c>
      <c r="C24" s="1">
        <v>1</v>
      </c>
      <c r="D24" s="1">
        <v>0</v>
      </c>
      <c r="E24" s="1">
        <v>1</v>
      </c>
      <c r="F24" s="1">
        <v>22</v>
      </c>
      <c r="G24" s="1" t="b">
        <v>0</v>
      </c>
      <c r="H24" s="1">
        <v>6</v>
      </c>
      <c r="I24" s="1">
        <v>2</v>
      </c>
      <c r="J24" s="1">
        <v>0.4</v>
      </c>
      <c r="M24" t="str">
        <f t="shared" si="1"/>
        <v>Unique</v>
      </c>
      <c r="N24" t="str">
        <f t="shared" si="2"/>
        <v>Spring</v>
      </c>
      <c r="O24" t="str">
        <f t="shared" si="0"/>
        <v>2011</v>
      </c>
      <c r="P24" t="str">
        <f t="shared" si="7"/>
        <v>Working Day</v>
      </c>
      <c r="Q24" t="str">
        <f t="shared" si="3"/>
        <v>Saturday</v>
      </c>
      <c r="R24" t="str">
        <f t="shared" si="4"/>
        <v>Cloudy</v>
      </c>
      <c r="S24" t="str">
        <f t="shared" si="5"/>
        <v>Night</v>
      </c>
      <c r="T24" t="str">
        <f t="shared" si="6"/>
        <v>Normal</v>
      </c>
    </row>
    <row r="25" spans="1:20">
      <c r="A25" s="1">
        <v>24</v>
      </c>
      <c r="B25" s="2">
        <v>40544</v>
      </c>
      <c r="C25" s="1">
        <v>1</v>
      </c>
      <c r="D25" s="1">
        <v>0</v>
      </c>
      <c r="E25" s="1">
        <v>1</v>
      </c>
      <c r="F25" s="1">
        <v>23</v>
      </c>
      <c r="G25" s="1" t="b">
        <v>0</v>
      </c>
      <c r="H25" s="1">
        <v>6</v>
      </c>
      <c r="I25" s="1">
        <v>2</v>
      </c>
      <c r="J25" s="1">
        <v>0.46</v>
      </c>
      <c r="M25" t="str">
        <f t="shared" si="1"/>
        <v>Unique</v>
      </c>
      <c r="N25" t="str">
        <f t="shared" si="2"/>
        <v>Spring</v>
      </c>
      <c r="O25" t="str">
        <f t="shared" si="0"/>
        <v>2011</v>
      </c>
      <c r="P25" t="str">
        <f t="shared" si="7"/>
        <v>Working Day</v>
      </c>
      <c r="Q25" t="str">
        <f t="shared" si="3"/>
        <v>Saturday</v>
      </c>
      <c r="R25" t="str">
        <f t="shared" si="4"/>
        <v>Cloudy</v>
      </c>
      <c r="S25" t="str">
        <f t="shared" si="5"/>
        <v>Night</v>
      </c>
      <c r="T25" t="str">
        <f t="shared" si="6"/>
        <v>Normal</v>
      </c>
    </row>
    <row r="26" spans="1:20">
      <c r="A26" s="1">
        <v>25</v>
      </c>
      <c r="B26" s="2">
        <v>40545</v>
      </c>
      <c r="C26" s="1">
        <v>1</v>
      </c>
      <c r="D26" s="1">
        <v>0</v>
      </c>
      <c r="E26" s="1">
        <v>1</v>
      </c>
      <c r="F26" s="1">
        <v>0</v>
      </c>
      <c r="G26" s="1" t="b">
        <v>0</v>
      </c>
      <c r="H26" s="1">
        <v>0</v>
      </c>
      <c r="I26" s="1">
        <v>2</v>
      </c>
      <c r="J26" s="1">
        <v>0.46</v>
      </c>
      <c r="M26" t="str">
        <f t="shared" si="1"/>
        <v>Unique</v>
      </c>
      <c r="N26" t="str">
        <f t="shared" si="2"/>
        <v>Spring</v>
      </c>
      <c r="O26" t="str">
        <f t="shared" si="0"/>
        <v>2011</v>
      </c>
      <c r="P26" t="str">
        <f t="shared" si="7"/>
        <v>Working Day</v>
      </c>
      <c r="Q26" t="str">
        <f t="shared" si="3"/>
        <v>Sunday</v>
      </c>
      <c r="R26" t="str">
        <f t="shared" si="4"/>
        <v>Cloudy</v>
      </c>
      <c r="S26" t="str">
        <f t="shared" si="5"/>
        <v>Morning</v>
      </c>
      <c r="T26" t="str">
        <f t="shared" si="6"/>
        <v>Normal</v>
      </c>
    </row>
    <row r="27" spans="1:20">
      <c r="A27" s="1">
        <v>26</v>
      </c>
      <c r="B27" s="2">
        <v>40545</v>
      </c>
      <c r="C27" s="1">
        <v>1</v>
      </c>
      <c r="D27" s="1">
        <v>0</v>
      </c>
      <c r="E27" s="1">
        <v>1</v>
      </c>
      <c r="F27" s="1">
        <v>1</v>
      </c>
      <c r="G27" s="1" t="b">
        <v>0</v>
      </c>
      <c r="H27" s="1">
        <v>0</v>
      </c>
      <c r="I27" s="1">
        <v>2</v>
      </c>
      <c r="J27" s="1">
        <v>0.44</v>
      </c>
      <c r="M27" t="str">
        <f t="shared" si="1"/>
        <v>Unique</v>
      </c>
      <c r="N27" t="str">
        <f t="shared" si="2"/>
        <v>Spring</v>
      </c>
      <c r="O27" t="str">
        <f t="shared" si="0"/>
        <v>2011</v>
      </c>
      <c r="P27" t="str">
        <f t="shared" si="7"/>
        <v>Working Day</v>
      </c>
      <c r="Q27" t="str">
        <f t="shared" si="3"/>
        <v>Sunday</v>
      </c>
      <c r="R27" t="str">
        <f t="shared" si="4"/>
        <v>Cloudy</v>
      </c>
      <c r="S27" t="str">
        <f t="shared" si="5"/>
        <v>Morning</v>
      </c>
      <c r="T27" t="str">
        <f t="shared" si="6"/>
        <v>Normal</v>
      </c>
    </row>
    <row r="28" spans="1:20">
      <c r="A28" s="1">
        <v>27</v>
      </c>
      <c r="B28" s="2">
        <v>40545</v>
      </c>
      <c r="C28" s="1">
        <v>1</v>
      </c>
      <c r="D28" s="1">
        <v>0</v>
      </c>
      <c r="E28" s="1">
        <v>1</v>
      </c>
      <c r="F28" s="1">
        <v>2</v>
      </c>
      <c r="G28" s="1" t="b">
        <v>0</v>
      </c>
      <c r="H28" s="1">
        <v>0</v>
      </c>
      <c r="I28" s="1">
        <v>2</v>
      </c>
      <c r="J28" s="1">
        <v>0.42</v>
      </c>
      <c r="M28" t="str">
        <f t="shared" si="1"/>
        <v>Unique</v>
      </c>
      <c r="N28" t="str">
        <f t="shared" si="2"/>
        <v>Spring</v>
      </c>
      <c r="O28" t="str">
        <f t="shared" si="0"/>
        <v>2011</v>
      </c>
      <c r="P28" t="str">
        <f t="shared" si="7"/>
        <v>Working Day</v>
      </c>
      <c r="Q28" t="str">
        <f t="shared" si="3"/>
        <v>Sunday</v>
      </c>
      <c r="R28" t="str">
        <f t="shared" si="4"/>
        <v>Cloudy</v>
      </c>
      <c r="S28" t="str">
        <f t="shared" si="5"/>
        <v>Morning</v>
      </c>
      <c r="T28" t="str">
        <f t="shared" si="6"/>
        <v>Normal</v>
      </c>
    </row>
    <row r="29" spans="1:20">
      <c r="A29" s="1">
        <v>28</v>
      </c>
      <c r="B29" s="2">
        <v>40545</v>
      </c>
      <c r="C29" s="1">
        <v>1</v>
      </c>
      <c r="D29" s="1">
        <v>0</v>
      </c>
      <c r="E29" s="1">
        <v>1</v>
      </c>
      <c r="F29" s="1">
        <v>3</v>
      </c>
      <c r="G29" s="1" t="b">
        <v>0</v>
      </c>
      <c r="H29" s="1">
        <v>0</v>
      </c>
      <c r="I29" s="1">
        <v>2</v>
      </c>
      <c r="J29" s="1">
        <v>0.46</v>
      </c>
      <c r="M29" t="str">
        <f t="shared" si="1"/>
        <v>Unique</v>
      </c>
      <c r="N29" t="str">
        <f t="shared" si="2"/>
        <v>Spring</v>
      </c>
      <c r="O29" t="str">
        <f t="shared" si="0"/>
        <v>2011</v>
      </c>
      <c r="P29" t="str">
        <f t="shared" si="7"/>
        <v>Working Day</v>
      </c>
      <c r="Q29" t="str">
        <f t="shared" si="3"/>
        <v>Sunday</v>
      </c>
      <c r="R29" t="str">
        <f t="shared" si="4"/>
        <v>Cloudy</v>
      </c>
      <c r="S29" t="str">
        <f t="shared" si="5"/>
        <v>Morning</v>
      </c>
      <c r="T29" t="str">
        <f t="shared" si="6"/>
        <v>Normal</v>
      </c>
    </row>
    <row r="30" spans="1:20">
      <c r="A30" s="1">
        <v>29</v>
      </c>
      <c r="B30" s="2">
        <v>40545</v>
      </c>
      <c r="C30" s="1">
        <v>1</v>
      </c>
      <c r="D30" s="1">
        <v>0</v>
      </c>
      <c r="E30" s="1">
        <v>1</v>
      </c>
      <c r="F30" s="1">
        <v>4</v>
      </c>
      <c r="G30" s="1" t="b">
        <v>0</v>
      </c>
      <c r="H30" s="1">
        <v>0</v>
      </c>
      <c r="I30" s="1">
        <v>2</v>
      </c>
      <c r="J30" s="1">
        <v>0.46</v>
      </c>
      <c r="M30" t="str">
        <f t="shared" si="1"/>
        <v>Unique</v>
      </c>
      <c r="N30" t="str">
        <f t="shared" si="2"/>
        <v>Spring</v>
      </c>
      <c r="O30" t="str">
        <f t="shared" si="0"/>
        <v>2011</v>
      </c>
      <c r="P30" t="str">
        <f t="shared" si="7"/>
        <v>Working Day</v>
      </c>
      <c r="Q30" t="str">
        <f t="shared" si="3"/>
        <v>Sunday</v>
      </c>
      <c r="R30" t="str">
        <f t="shared" si="4"/>
        <v>Cloudy</v>
      </c>
      <c r="S30" t="str">
        <f t="shared" si="5"/>
        <v>Morning</v>
      </c>
      <c r="T30" t="str">
        <f t="shared" si="6"/>
        <v>Normal</v>
      </c>
    </row>
    <row r="31" spans="1:20">
      <c r="A31" s="1">
        <v>30</v>
      </c>
      <c r="B31" s="2">
        <v>40545</v>
      </c>
      <c r="C31" s="1">
        <v>1</v>
      </c>
      <c r="D31" s="1">
        <v>0</v>
      </c>
      <c r="E31" s="1">
        <v>1</v>
      </c>
      <c r="F31" s="1">
        <v>6</v>
      </c>
      <c r="G31" s="1" t="b">
        <v>0</v>
      </c>
      <c r="H31" s="1">
        <v>0</v>
      </c>
      <c r="I31" s="1">
        <v>3</v>
      </c>
      <c r="J31" s="1">
        <v>0.42</v>
      </c>
      <c r="M31" t="str">
        <f t="shared" si="1"/>
        <v>Unique</v>
      </c>
      <c r="N31" t="str">
        <f t="shared" si="2"/>
        <v>Spring</v>
      </c>
      <c r="O31" t="str">
        <f t="shared" si="0"/>
        <v>2011</v>
      </c>
      <c r="P31" t="str">
        <f t="shared" si="7"/>
        <v>Working Day</v>
      </c>
      <c r="Q31" t="str">
        <f t="shared" si="3"/>
        <v>Sunday</v>
      </c>
      <c r="R31" t="str">
        <f t="shared" si="4"/>
        <v>Rainy</v>
      </c>
      <c r="S31" t="str">
        <f t="shared" si="5"/>
        <v>Morning</v>
      </c>
      <c r="T31" t="str">
        <f t="shared" si="6"/>
        <v>Normal</v>
      </c>
    </row>
    <row r="32" spans="1:20">
      <c r="A32" s="1">
        <v>31</v>
      </c>
      <c r="B32" s="2">
        <v>40545</v>
      </c>
      <c r="C32" s="1">
        <v>1</v>
      </c>
      <c r="D32" s="1">
        <v>0</v>
      </c>
      <c r="E32" s="1">
        <v>1</v>
      </c>
      <c r="F32" s="1">
        <v>7</v>
      </c>
      <c r="G32" s="1" t="b">
        <v>0</v>
      </c>
      <c r="H32" s="1">
        <v>0</v>
      </c>
      <c r="I32" s="1">
        <v>2</v>
      </c>
      <c r="J32" s="1">
        <v>0.4</v>
      </c>
      <c r="M32" t="str">
        <f t="shared" si="1"/>
        <v>Unique</v>
      </c>
      <c r="N32" t="str">
        <f t="shared" si="2"/>
        <v>Spring</v>
      </c>
      <c r="O32" t="str">
        <f t="shared" si="0"/>
        <v>2011</v>
      </c>
      <c r="P32" t="str">
        <f t="shared" si="7"/>
        <v>Working Day</v>
      </c>
      <c r="Q32" t="str">
        <f t="shared" si="3"/>
        <v>Sunday</v>
      </c>
      <c r="R32" t="str">
        <f t="shared" si="4"/>
        <v>Cloudy</v>
      </c>
      <c r="S32" t="str">
        <f t="shared" si="5"/>
        <v>Morning</v>
      </c>
      <c r="T32" t="str">
        <f t="shared" si="6"/>
        <v>Normal</v>
      </c>
    </row>
    <row r="33" spans="1:20">
      <c r="A33" s="1">
        <v>32</v>
      </c>
      <c r="B33" s="2">
        <v>40545</v>
      </c>
      <c r="C33" s="1">
        <v>1</v>
      </c>
      <c r="D33" s="1">
        <v>0</v>
      </c>
      <c r="E33" s="1">
        <v>1</v>
      </c>
      <c r="F33" s="1">
        <v>8</v>
      </c>
      <c r="G33" s="1" t="b">
        <v>0</v>
      </c>
      <c r="H33" s="1">
        <v>0</v>
      </c>
      <c r="I33" s="1">
        <v>3</v>
      </c>
      <c r="J33" s="1">
        <v>0.4</v>
      </c>
      <c r="M33" t="str">
        <f t="shared" si="1"/>
        <v>Unique</v>
      </c>
      <c r="N33" t="str">
        <f t="shared" si="2"/>
        <v>Spring</v>
      </c>
      <c r="O33" t="str">
        <f t="shared" si="0"/>
        <v>2011</v>
      </c>
      <c r="P33" t="str">
        <f t="shared" si="7"/>
        <v>Working Day</v>
      </c>
      <c r="Q33" t="str">
        <f t="shared" si="3"/>
        <v>Sunday</v>
      </c>
      <c r="R33" t="str">
        <f t="shared" si="4"/>
        <v>Rainy</v>
      </c>
      <c r="S33" t="str">
        <f t="shared" si="5"/>
        <v>Morning</v>
      </c>
      <c r="T33" t="str">
        <f t="shared" si="6"/>
        <v>Normal</v>
      </c>
    </row>
    <row r="34" spans="1:20">
      <c r="A34" s="1">
        <v>33</v>
      </c>
      <c r="B34" s="2">
        <v>40545</v>
      </c>
      <c r="C34" s="1">
        <v>1</v>
      </c>
      <c r="D34" s="1">
        <v>0</v>
      </c>
      <c r="E34" s="1">
        <v>1</v>
      </c>
      <c r="F34" s="1">
        <v>9</v>
      </c>
      <c r="G34" s="1" t="b">
        <v>0</v>
      </c>
      <c r="H34" s="1">
        <v>0</v>
      </c>
      <c r="I34" s="1">
        <v>2</v>
      </c>
      <c r="J34" s="1">
        <v>0.38</v>
      </c>
      <c r="M34" t="str">
        <f t="shared" si="1"/>
        <v>Unique</v>
      </c>
      <c r="N34" t="str">
        <f t="shared" si="2"/>
        <v>Spring</v>
      </c>
      <c r="O34" t="str">
        <f t="shared" si="0"/>
        <v>2011</v>
      </c>
      <c r="P34" t="str">
        <f t="shared" si="7"/>
        <v>Working Day</v>
      </c>
      <c r="Q34" t="str">
        <f t="shared" si="3"/>
        <v>Sunday</v>
      </c>
      <c r="R34" t="str">
        <f t="shared" si="4"/>
        <v>Cloudy</v>
      </c>
      <c r="S34" t="str">
        <f t="shared" si="5"/>
        <v>Morning</v>
      </c>
      <c r="T34" t="str">
        <f t="shared" si="6"/>
        <v>Normal</v>
      </c>
    </row>
    <row r="35" spans="1:20">
      <c r="A35" s="1">
        <v>34</v>
      </c>
      <c r="B35" s="2">
        <v>40545</v>
      </c>
      <c r="C35" s="1">
        <v>1</v>
      </c>
      <c r="D35" s="1">
        <v>0</v>
      </c>
      <c r="E35" s="1">
        <v>1</v>
      </c>
      <c r="F35" s="1">
        <v>10</v>
      </c>
      <c r="G35" s="1" t="b">
        <v>0</v>
      </c>
      <c r="H35" s="1">
        <v>0</v>
      </c>
      <c r="I35" s="1">
        <v>2</v>
      </c>
      <c r="J35" s="1">
        <v>0.36</v>
      </c>
      <c r="M35" t="str">
        <f t="shared" si="1"/>
        <v>Unique</v>
      </c>
      <c r="N35" t="str">
        <f t="shared" si="2"/>
        <v>Spring</v>
      </c>
      <c r="O35" t="str">
        <f t="shared" si="0"/>
        <v>2011</v>
      </c>
      <c r="P35" t="str">
        <f t="shared" si="7"/>
        <v>Working Day</v>
      </c>
      <c r="Q35" t="str">
        <f t="shared" si="3"/>
        <v>Sunday</v>
      </c>
      <c r="R35" t="str">
        <f t="shared" si="4"/>
        <v>Cloudy</v>
      </c>
      <c r="S35" t="str">
        <f t="shared" si="5"/>
        <v>Morning</v>
      </c>
      <c r="T35" t="str">
        <f t="shared" si="6"/>
        <v>Normal</v>
      </c>
    </row>
    <row r="36" spans="1:20">
      <c r="A36" s="1">
        <v>35</v>
      </c>
      <c r="B36" s="2">
        <v>40545</v>
      </c>
      <c r="C36" s="1">
        <v>1</v>
      </c>
      <c r="D36" s="1">
        <v>0</v>
      </c>
      <c r="E36" s="1">
        <v>1</v>
      </c>
      <c r="F36" s="1">
        <v>11</v>
      </c>
      <c r="G36" s="1" t="b">
        <v>0</v>
      </c>
      <c r="H36" s="1">
        <v>0</v>
      </c>
      <c r="I36" s="1">
        <v>2</v>
      </c>
      <c r="J36" s="1">
        <v>0.36</v>
      </c>
      <c r="M36" t="str">
        <f t="shared" si="1"/>
        <v>Unique</v>
      </c>
      <c r="N36" t="str">
        <f t="shared" si="2"/>
        <v>Spring</v>
      </c>
      <c r="O36" t="str">
        <f t="shared" si="0"/>
        <v>2011</v>
      </c>
      <c r="P36" t="str">
        <f t="shared" si="7"/>
        <v>Working Day</v>
      </c>
      <c r="Q36" t="str">
        <f t="shared" si="3"/>
        <v>Sunday</v>
      </c>
      <c r="R36" t="str">
        <f t="shared" si="4"/>
        <v>Cloudy</v>
      </c>
      <c r="S36" t="str">
        <f t="shared" si="5"/>
        <v>Morning</v>
      </c>
      <c r="T36" t="str">
        <f t="shared" si="6"/>
        <v>Normal</v>
      </c>
    </row>
    <row r="37" spans="1:20">
      <c r="A37" s="1">
        <v>36</v>
      </c>
      <c r="B37" s="2">
        <v>40545</v>
      </c>
      <c r="C37" s="1">
        <v>1</v>
      </c>
      <c r="D37" s="1">
        <v>0</v>
      </c>
      <c r="E37" s="1">
        <v>1</v>
      </c>
      <c r="F37" s="1">
        <v>12</v>
      </c>
      <c r="G37" s="1" t="b">
        <v>0</v>
      </c>
      <c r="H37" s="1">
        <v>0</v>
      </c>
      <c r="I37" s="1">
        <v>2</v>
      </c>
      <c r="J37" s="1">
        <v>0.36</v>
      </c>
      <c r="M37" t="str">
        <f t="shared" si="1"/>
        <v>Unique</v>
      </c>
      <c r="N37" t="str">
        <f t="shared" si="2"/>
        <v>Spring</v>
      </c>
      <c r="O37" t="str">
        <f t="shared" si="0"/>
        <v>2011</v>
      </c>
      <c r="P37" t="str">
        <f t="shared" si="7"/>
        <v>Working Day</v>
      </c>
      <c r="Q37" t="str">
        <f t="shared" si="3"/>
        <v>Sunday</v>
      </c>
      <c r="R37" t="str">
        <f t="shared" si="4"/>
        <v>Cloudy</v>
      </c>
      <c r="S37" t="str">
        <f t="shared" si="5"/>
        <v>Afternoon</v>
      </c>
      <c r="T37" t="str">
        <f t="shared" si="6"/>
        <v>Normal</v>
      </c>
    </row>
    <row r="38" spans="1:20">
      <c r="A38" s="1">
        <v>37</v>
      </c>
      <c r="B38" s="2">
        <v>40545</v>
      </c>
      <c r="C38" s="1">
        <v>1</v>
      </c>
      <c r="D38" s="1">
        <v>0</v>
      </c>
      <c r="E38" s="1">
        <v>1</v>
      </c>
      <c r="F38" s="1">
        <v>13</v>
      </c>
      <c r="G38" s="1" t="b">
        <v>0</v>
      </c>
      <c r="H38" s="1">
        <v>0</v>
      </c>
      <c r="I38" s="1">
        <v>2</v>
      </c>
      <c r="J38" s="1">
        <v>0.36</v>
      </c>
      <c r="M38" t="str">
        <f t="shared" si="1"/>
        <v>Unique</v>
      </c>
      <c r="N38" t="str">
        <f t="shared" si="2"/>
        <v>Spring</v>
      </c>
      <c r="O38" t="str">
        <f t="shared" si="0"/>
        <v>2011</v>
      </c>
      <c r="P38" t="str">
        <f t="shared" si="7"/>
        <v>Working Day</v>
      </c>
      <c r="Q38" t="str">
        <f t="shared" si="3"/>
        <v>Sunday</v>
      </c>
      <c r="R38" t="str">
        <f t="shared" si="4"/>
        <v>Cloudy</v>
      </c>
      <c r="S38" t="str">
        <f t="shared" si="5"/>
        <v>Afternoon</v>
      </c>
      <c r="T38" t="str">
        <f t="shared" si="6"/>
        <v>Normal</v>
      </c>
    </row>
    <row r="39" spans="1:20">
      <c r="A39" s="1">
        <v>38</v>
      </c>
      <c r="B39" s="2">
        <v>40545</v>
      </c>
      <c r="C39" s="1">
        <v>1</v>
      </c>
      <c r="D39" s="1">
        <v>0</v>
      </c>
      <c r="E39" s="1">
        <v>1</v>
      </c>
      <c r="F39" s="1">
        <v>14</v>
      </c>
      <c r="G39" s="1" t="b">
        <v>0</v>
      </c>
      <c r="H39" s="1">
        <v>0</v>
      </c>
      <c r="I39" s="1">
        <v>3</v>
      </c>
      <c r="J39" s="1">
        <v>0.36</v>
      </c>
      <c r="M39" t="str">
        <f t="shared" si="1"/>
        <v>Unique</v>
      </c>
      <c r="N39" t="str">
        <f t="shared" si="2"/>
        <v>Spring</v>
      </c>
      <c r="O39" t="str">
        <f t="shared" si="0"/>
        <v>2011</v>
      </c>
      <c r="P39" t="str">
        <f t="shared" si="7"/>
        <v>Working Day</v>
      </c>
      <c r="Q39" t="str">
        <f t="shared" si="3"/>
        <v>Sunday</v>
      </c>
      <c r="R39" t="str">
        <f t="shared" si="4"/>
        <v>Rainy</v>
      </c>
      <c r="S39" t="str">
        <f t="shared" si="5"/>
        <v>Afternoon</v>
      </c>
      <c r="T39" t="str">
        <f t="shared" si="6"/>
        <v>Normal</v>
      </c>
    </row>
    <row r="40" spans="1:20">
      <c r="A40" s="1">
        <v>39</v>
      </c>
      <c r="B40" s="2">
        <v>40545</v>
      </c>
      <c r="C40" s="1">
        <v>1</v>
      </c>
      <c r="D40" s="1">
        <v>0</v>
      </c>
      <c r="E40" s="1">
        <v>1</v>
      </c>
      <c r="F40" s="1">
        <v>15</v>
      </c>
      <c r="G40" s="1" t="b">
        <v>0</v>
      </c>
      <c r="H40" s="1">
        <v>0</v>
      </c>
      <c r="I40" s="1">
        <v>3</v>
      </c>
      <c r="J40" s="1">
        <v>0.34</v>
      </c>
      <c r="M40" t="str">
        <f t="shared" si="1"/>
        <v>Unique</v>
      </c>
      <c r="N40" t="str">
        <f t="shared" si="2"/>
        <v>Spring</v>
      </c>
      <c r="O40" t="str">
        <f t="shared" si="0"/>
        <v>2011</v>
      </c>
      <c r="P40" t="str">
        <f t="shared" si="7"/>
        <v>Working Day</v>
      </c>
      <c r="Q40" t="str">
        <f t="shared" si="3"/>
        <v>Sunday</v>
      </c>
      <c r="R40" t="str">
        <f t="shared" si="4"/>
        <v>Rainy</v>
      </c>
      <c r="S40" t="str">
        <f t="shared" si="5"/>
        <v>Afternoon</v>
      </c>
      <c r="T40" t="str">
        <f t="shared" si="6"/>
        <v>Normal</v>
      </c>
    </row>
    <row r="41" spans="1:20">
      <c r="A41" s="1">
        <v>40</v>
      </c>
      <c r="B41" s="2">
        <v>40545</v>
      </c>
      <c r="C41" s="1">
        <v>1</v>
      </c>
      <c r="D41" s="1">
        <v>0</v>
      </c>
      <c r="E41" s="1">
        <v>1</v>
      </c>
      <c r="F41" s="1">
        <v>16</v>
      </c>
      <c r="G41" s="1" t="b">
        <v>0</v>
      </c>
      <c r="H41" s="1">
        <v>0</v>
      </c>
      <c r="I41" s="1">
        <v>3</v>
      </c>
      <c r="J41" s="1">
        <v>0.34</v>
      </c>
      <c r="M41" t="str">
        <f t="shared" si="1"/>
        <v>Unique</v>
      </c>
      <c r="N41" t="str">
        <f t="shared" si="2"/>
        <v>Spring</v>
      </c>
      <c r="O41" t="str">
        <f t="shared" si="0"/>
        <v>2011</v>
      </c>
      <c r="P41" t="str">
        <f t="shared" si="7"/>
        <v>Working Day</v>
      </c>
      <c r="Q41" t="str">
        <f t="shared" si="3"/>
        <v>Sunday</v>
      </c>
      <c r="R41" t="str">
        <f t="shared" si="4"/>
        <v>Rainy</v>
      </c>
      <c r="S41" t="str">
        <f t="shared" si="5"/>
        <v>Afternoon</v>
      </c>
      <c r="T41" t="str">
        <f t="shared" si="6"/>
        <v>Normal</v>
      </c>
    </row>
    <row r="42" spans="1:20">
      <c r="A42" s="1">
        <v>41</v>
      </c>
      <c r="B42" s="2">
        <v>40545</v>
      </c>
      <c r="C42" s="1">
        <v>1</v>
      </c>
      <c r="D42" s="1">
        <v>0</v>
      </c>
      <c r="E42" s="1">
        <v>1</v>
      </c>
      <c r="F42" s="1">
        <v>17</v>
      </c>
      <c r="G42" s="1" t="b">
        <v>0</v>
      </c>
      <c r="H42" s="1">
        <v>0</v>
      </c>
      <c r="I42" s="1">
        <v>1</v>
      </c>
      <c r="J42" s="1">
        <v>0.34</v>
      </c>
      <c r="M42" t="str">
        <f t="shared" si="1"/>
        <v>Unique</v>
      </c>
      <c r="N42" t="str">
        <f t="shared" si="2"/>
        <v>Spring</v>
      </c>
      <c r="O42" t="str">
        <f t="shared" si="0"/>
        <v>2011</v>
      </c>
      <c r="P42" t="str">
        <f t="shared" si="7"/>
        <v>Working Day</v>
      </c>
      <c r="Q42" t="str">
        <f t="shared" si="3"/>
        <v>Sunday</v>
      </c>
      <c r="R42" t="str">
        <f t="shared" si="4"/>
        <v>Clear</v>
      </c>
      <c r="S42" t="str">
        <f t="shared" si="5"/>
        <v>Afternoon</v>
      </c>
      <c r="T42" t="str">
        <f t="shared" si="6"/>
        <v>Normal</v>
      </c>
    </row>
    <row r="43" spans="1:20">
      <c r="A43" s="1">
        <v>42</v>
      </c>
      <c r="B43" s="2">
        <v>40545</v>
      </c>
      <c r="C43" s="1">
        <v>1</v>
      </c>
      <c r="D43" s="1">
        <v>0</v>
      </c>
      <c r="E43" s="1">
        <v>1</v>
      </c>
      <c r="F43" s="1">
        <v>18</v>
      </c>
      <c r="G43" s="1" t="b">
        <v>0</v>
      </c>
      <c r="H43" s="1">
        <v>0</v>
      </c>
      <c r="I43" s="1">
        <v>2</v>
      </c>
      <c r="J43" s="1">
        <v>0.36</v>
      </c>
      <c r="M43" t="str">
        <f t="shared" si="1"/>
        <v>Unique</v>
      </c>
      <c r="N43" t="str">
        <f t="shared" si="2"/>
        <v>Spring</v>
      </c>
      <c r="O43" t="str">
        <f t="shared" si="0"/>
        <v>2011</v>
      </c>
      <c r="P43" t="str">
        <f t="shared" si="7"/>
        <v>Working Day</v>
      </c>
      <c r="Q43" t="str">
        <f t="shared" si="3"/>
        <v>Sunday</v>
      </c>
      <c r="R43" t="str">
        <f t="shared" si="4"/>
        <v>Cloudy</v>
      </c>
      <c r="S43" t="str">
        <f t="shared" si="5"/>
        <v>Night</v>
      </c>
      <c r="T43" t="str">
        <f t="shared" si="6"/>
        <v>Normal</v>
      </c>
    </row>
    <row r="44" spans="1:20">
      <c r="A44" s="1">
        <v>43</v>
      </c>
      <c r="B44" s="2">
        <v>40545</v>
      </c>
      <c r="C44" s="1">
        <v>1</v>
      </c>
      <c r="D44" s="1">
        <v>0</v>
      </c>
      <c r="E44" s="1">
        <v>1</v>
      </c>
      <c r="F44" s="1">
        <v>19</v>
      </c>
      <c r="G44" s="1" t="b">
        <v>0</v>
      </c>
      <c r="H44" s="1">
        <v>0</v>
      </c>
      <c r="I44" s="1">
        <v>1</v>
      </c>
      <c r="J44" s="1">
        <v>0.32</v>
      </c>
      <c r="M44" t="str">
        <f t="shared" si="1"/>
        <v>Unique</v>
      </c>
      <c r="N44" t="str">
        <f t="shared" si="2"/>
        <v>Spring</v>
      </c>
      <c r="O44" t="str">
        <f t="shared" si="0"/>
        <v>2011</v>
      </c>
      <c r="P44" t="str">
        <f t="shared" si="7"/>
        <v>Working Day</v>
      </c>
      <c r="Q44" t="str">
        <f t="shared" si="3"/>
        <v>Sunday</v>
      </c>
      <c r="R44" t="str">
        <f t="shared" si="4"/>
        <v>Clear</v>
      </c>
      <c r="S44" t="str">
        <f t="shared" si="5"/>
        <v>Night</v>
      </c>
      <c r="T44" t="str">
        <f t="shared" si="6"/>
        <v>Normal</v>
      </c>
    </row>
    <row r="45" spans="1:20">
      <c r="A45" s="1">
        <v>44</v>
      </c>
      <c r="B45" s="2">
        <v>40545</v>
      </c>
      <c r="C45" s="1">
        <v>1</v>
      </c>
      <c r="D45" s="1">
        <v>0</v>
      </c>
      <c r="E45" s="1">
        <v>1</v>
      </c>
      <c r="F45" s="1">
        <v>20</v>
      </c>
      <c r="G45" s="1" t="b">
        <v>0</v>
      </c>
      <c r="H45" s="1">
        <v>0</v>
      </c>
      <c r="I45" s="1">
        <v>1</v>
      </c>
      <c r="J45" s="1">
        <v>0.3</v>
      </c>
      <c r="M45" t="str">
        <f t="shared" si="1"/>
        <v>Unique</v>
      </c>
      <c r="N45" t="str">
        <f t="shared" si="2"/>
        <v>Spring</v>
      </c>
      <c r="O45" t="str">
        <f t="shared" si="0"/>
        <v>2011</v>
      </c>
      <c r="P45" t="str">
        <f t="shared" si="7"/>
        <v>Working Day</v>
      </c>
      <c r="Q45" t="str">
        <f t="shared" si="3"/>
        <v>Sunday</v>
      </c>
      <c r="R45" t="str">
        <f t="shared" si="4"/>
        <v>Clear</v>
      </c>
      <c r="S45" t="str">
        <f t="shared" si="5"/>
        <v>Night</v>
      </c>
      <c r="T45" t="str">
        <f t="shared" si="6"/>
        <v>Normal</v>
      </c>
    </row>
    <row r="46" spans="1:20">
      <c r="A46" s="1">
        <v>45</v>
      </c>
      <c r="B46" s="2">
        <v>40545</v>
      </c>
      <c r="C46" s="1">
        <v>1</v>
      </c>
      <c r="D46" s="1">
        <v>0</v>
      </c>
      <c r="E46" s="1">
        <v>1</v>
      </c>
      <c r="F46" s="1">
        <v>21</v>
      </c>
      <c r="G46" s="1" t="b">
        <v>0</v>
      </c>
      <c r="H46" s="1">
        <v>0</v>
      </c>
      <c r="I46" s="1">
        <v>1</v>
      </c>
      <c r="J46" s="1">
        <v>0.26</v>
      </c>
      <c r="M46" t="str">
        <f t="shared" si="1"/>
        <v>Unique</v>
      </c>
      <c r="N46" t="str">
        <f t="shared" si="2"/>
        <v>Spring</v>
      </c>
      <c r="O46" t="str">
        <f t="shared" si="0"/>
        <v>2011</v>
      </c>
      <c r="P46" t="str">
        <f t="shared" si="7"/>
        <v>Working Day</v>
      </c>
      <c r="Q46" t="str">
        <f t="shared" si="3"/>
        <v>Sunday</v>
      </c>
      <c r="R46" t="str">
        <f t="shared" si="4"/>
        <v>Clear</v>
      </c>
      <c r="S46" t="str">
        <f t="shared" si="5"/>
        <v>Night</v>
      </c>
      <c r="T46" t="str">
        <f t="shared" si="6"/>
        <v>Cold</v>
      </c>
    </row>
    <row r="47" spans="1:20">
      <c r="A47" s="1">
        <v>46</v>
      </c>
      <c r="B47" s="2">
        <v>40545</v>
      </c>
      <c r="C47" s="1">
        <v>1</v>
      </c>
      <c r="D47" s="1">
        <v>0</v>
      </c>
      <c r="E47" s="1">
        <v>1</v>
      </c>
      <c r="F47" s="1">
        <v>22</v>
      </c>
      <c r="G47" s="1" t="b">
        <v>0</v>
      </c>
      <c r="H47" s="1">
        <v>0</v>
      </c>
      <c r="I47" s="1">
        <v>1</v>
      </c>
      <c r="J47" s="1">
        <v>0.24</v>
      </c>
      <c r="M47" t="str">
        <f t="shared" si="1"/>
        <v>Unique</v>
      </c>
      <c r="N47" t="str">
        <f t="shared" si="2"/>
        <v>Spring</v>
      </c>
      <c r="O47" t="str">
        <f t="shared" si="0"/>
        <v>2011</v>
      </c>
      <c r="P47" t="str">
        <f t="shared" si="7"/>
        <v>Working Day</v>
      </c>
      <c r="Q47" t="str">
        <f t="shared" si="3"/>
        <v>Sunday</v>
      </c>
      <c r="R47" t="str">
        <f t="shared" si="4"/>
        <v>Clear</v>
      </c>
      <c r="S47" t="str">
        <f t="shared" si="5"/>
        <v>Night</v>
      </c>
      <c r="T47" t="str">
        <f t="shared" si="6"/>
        <v>Cold</v>
      </c>
    </row>
    <row r="48" spans="1:20">
      <c r="A48" s="1">
        <v>47</v>
      </c>
      <c r="B48" s="2">
        <v>40545</v>
      </c>
      <c r="C48" s="1">
        <v>1</v>
      </c>
      <c r="D48" s="1">
        <v>0</v>
      </c>
      <c r="E48" s="1">
        <v>1</v>
      </c>
      <c r="F48" s="1">
        <v>23</v>
      </c>
      <c r="G48" s="1" t="b">
        <v>0</v>
      </c>
      <c r="H48" s="1">
        <v>0</v>
      </c>
      <c r="I48" s="1">
        <v>1</v>
      </c>
      <c r="J48" s="1">
        <v>0.22</v>
      </c>
      <c r="M48" t="str">
        <f t="shared" si="1"/>
        <v>Unique</v>
      </c>
      <c r="N48" t="str">
        <f t="shared" si="2"/>
        <v>Spring</v>
      </c>
      <c r="O48" t="str">
        <f t="shared" si="0"/>
        <v>2011</v>
      </c>
      <c r="P48" t="str">
        <f t="shared" si="7"/>
        <v>Working Day</v>
      </c>
      <c r="Q48" t="str">
        <f t="shared" si="3"/>
        <v>Sunday</v>
      </c>
      <c r="R48" t="str">
        <f t="shared" si="4"/>
        <v>Clear</v>
      </c>
      <c r="S48" t="str">
        <f t="shared" si="5"/>
        <v>Night</v>
      </c>
      <c r="T48" t="str">
        <f t="shared" si="6"/>
        <v>Cold</v>
      </c>
    </row>
    <row r="49" spans="1:20">
      <c r="A49" s="1">
        <v>48</v>
      </c>
      <c r="B49" s="2">
        <v>40546</v>
      </c>
      <c r="C49" s="1">
        <v>1</v>
      </c>
      <c r="D49" s="1">
        <v>0</v>
      </c>
      <c r="E49" s="1">
        <v>1</v>
      </c>
      <c r="F49" s="1">
        <v>0</v>
      </c>
      <c r="G49" s="1" t="b">
        <v>0</v>
      </c>
      <c r="H49" s="1">
        <v>1</v>
      </c>
      <c r="I49" s="1">
        <v>1</v>
      </c>
      <c r="J49" s="1">
        <v>0.22</v>
      </c>
      <c r="M49" t="str">
        <f t="shared" si="1"/>
        <v>Unique</v>
      </c>
      <c r="N49" t="str">
        <f t="shared" si="2"/>
        <v>Spring</v>
      </c>
      <c r="O49" t="str">
        <f t="shared" si="0"/>
        <v>2011</v>
      </c>
      <c r="P49" t="str">
        <f t="shared" si="7"/>
        <v>Working Day</v>
      </c>
      <c r="Q49" t="str">
        <f t="shared" si="3"/>
        <v>Monday</v>
      </c>
      <c r="R49" t="str">
        <f t="shared" si="4"/>
        <v>Clear</v>
      </c>
      <c r="S49" t="str">
        <f t="shared" si="5"/>
        <v>Morning</v>
      </c>
      <c r="T49" t="str">
        <f t="shared" si="6"/>
        <v>Cold</v>
      </c>
    </row>
    <row r="50" spans="1:20">
      <c r="A50" s="1">
        <v>49</v>
      </c>
      <c r="B50" s="2">
        <v>40546</v>
      </c>
      <c r="C50" s="1">
        <v>1</v>
      </c>
      <c r="D50" s="1">
        <v>0</v>
      </c>
      <c r="E50" s="1">
        <v>1</v>
      </c>
      <c r="F50" s="1">
        <v>1</v>
      </c>
      <c r="G50" s="1" t="b">
        <v>0</v>
      </c>
      <c r="H50" s="1">
        <v>1</v>
      </c>
      <c r="I50" s="1">
        <v>1</v>
      </c>
      <c r="J50" s="1">
        <v>0.2</v>
      </c>
      <c r="M50" t="str">
        <f t="shared" si="1"/>
        <v>Unique</v>
      </c>
      <c r="N50" t="str">
        <f t="shared" si="2"/>
        <v>Spring</v>
      </c>
      <c r="O50" t="str">
        <f t="shared" si="0"/>
        <v>2011</v>
      </c>
      <c r="P50" t="str">
        <f t="shared" si="7"/>
        <v>Working Day</v>
      </c>
      <c r="Q50" t="str">
        <f t="shared" si="3"/>
        <v>Monday</v>
      </c>
      <c r="R50" t="str">
        <f t="shared" si="4"/>
        <v>Clear</v>
      </c>
      <c r="S50" t="str">
        <f t="shared" si="5"/>
        <v>Morning</v>
      </c>
      <c r="T50" t="str">
        <f t="shared" si="6"/>
        <v>Cold</v>
      </c>
    </row>
    <row r="51" spans="1:20">
      <c r="A51" s="1">
        <v>50</v>
      </c>
      <c r="B51" s="2">
        <v>40546</v>
      </c>
      <c r="C51" s="1">
        <v>1</v>
      </c>
      <c r="D51" s="1">
        <v>0</v>
      </c>
      <c r="E51" s="1">
        <v>1</v>
      </c>
      <c r="F51" s="1">
        <v>4</v>
      </c>
      <c r="G51" s="1" t="b">
        <v>0</v>
      </c>
      <c r="H51" s="1">
        <v>1</v>
      </c>
      <c r="I51" s="1">
        <v>1</v>
      </c>
      <c r="J51" s="1">
        <v>0.16</v>
      </c>
      <c r="M51" t="str">
        <f t="shared" si="1"/>
        <v>Unique</v>
      </c>
      <c r="N51" t="str">
        <f t="shared" si="2"/>
        <v>Spring</v>
      </c>
      <c r="O51" t="str">
        <f t="shared" si="0"/>
        <v>2011</v>
      </c>
      <c r="P51" t="str">
        <f t="shared" si="7"/>
        <v>Working Day</v>
      </c>
      <c r="Q51" t="str">
        <f t="shared" si="3"/>
        <v>Monday</v>
      </c>
      <c r="R51" t="str">
        <f t="shared" si="4"/>
        <v>Clear</v>
      </c>
      <c r="S51" t="str">
        <f t="shared" si="5"/>
        <v>Morning</v>
      </c>
      <c r="T51" t="str">
        <f t="shared" si="6"/>
        <v>Cold</v>
      </c>
    </row>
    <row r="52" spans="1:20">
      <c r="A52" s="1">
        <v>51</v>
      </c>
      <c r="B52" s="2">
        <v>40546</v>
      </c>
      <c r="C52" s="1">
        <v>1</v>
      </c>
      <c r="D52" s="1">
        <v>0</v>
      </c>
      <c r="E52" s="1">
        <v>1</v>
      </c>
      <c r="F52" s="1">
        <v>5</v>
      </c>
      <c r="G52" s="1" t="b">
        <v>0</v>
      </c>
      <c r="H52" s="1">
        <v>1</v>
      </c>
      <c r="I52" s="1">
        <v>1</v>
      </c>
      <c r="J52" s="1">
        <v>0.16</v>
      </c>
      <c r="M52" t="str">
        <f t="shared" si="1"/>
        <v>Unique</v>
      </c>
      <c r="N52" t="str">
        <f t="shared" si="2"/>
        <v>Spring</v>
      </c>
      <c r="O52" t="str">
        <f t="shared" si="0"/>
        <v>2011</v>
      </c>
      <c r="P52" t="str">
        <f t="shared" si="7"/>
        <v>Working Day</v>
      </c>
      <c r="Q52" t="str">
        <f t="shared" si="3"/>
        <v>Monday</v>
      </c>
      <c r="R52" t="str">
        <f t="shared" si="4"/>
        <v>Clear</v>
      </c>
      <c r="S52" t="str">
        <f t="shared" si="5"/>
        <v>Morning</v>
      </c>
      <c r="T52" t="str">
        <f t="shared" si="6"/>
        <v>Cold</v>
      </c>
    </row>
    <row r="53" spans="1:20">
      <c r="A53" s="1">
        <v>52</v>
      </c>
      <c r="B53" s="2">
        <v>40546</v>
      </c>
      <c r="C53" s="1">
        <v>1</v>
      </c>
      <c r="D53" s="1">
        <v>0</v>
      </c>
      <c r="E53" s="1">
        <v>1</v>
      </c>
      <c r="F53" s="1">
        <v>6</v>
      </c>
      <c r="G53" s="1" t="b">
        <v>0</v>
      </c>
      <c r="H53" s="1">
        <v>1</v>
      </c>
      <c r="I53" s="1">
        <v>1</v>
      </c>
      <c r="J53" s="1">
        <v>0.14000000000000001</v>
      </c>
      <c r="M53" t="str">
        <f t="shared" si="1"/>
        <v>Unique</v>
      </c>
      <c r="N53" t="str">
        <f t="shared" si="2"/>
        <v>Spring</v>
      </c>
      <c r="O53" t="str">
        <f t="shared" si="0"/>
        <v>2011</v>
      </c>
      <c r="P53" t="str">
        <f t="shared" si="7"/>
        <v>Working Day</v>
      </c>
      <c r="Q53" t="str">
        <f t="shared" si="3"/>
        <v>Monday</v>
      </c>
      <c r="R53" t="str">
        <f t="shared" si="4"/>
        <v>Clear</v>
      </c>
      <c r="S53" t="str">
        <f t="shared" si="5"/>
        <v>Morning</v>
      </c>
      <c r="T53" t="str">
        <f t="shared" si="6"/>
        <v>Cold</v>
      </c>
    </row>
    <row r="54" spans="1:20">
      <c r="A54" s="1">
        <v>53</v>
      </c>
      <c r="B54" s="2">
        <v>40546</v>
      </c>
      <c r="C54" s="1">
        <v>1</v>
      </c>
      <c r="D54" s="1">
        <v>0</v>
      </c>
      <c r="E54" s="1">
        <v>1</v>
      </c>
      <c r="F54" s="1">
        <v>7</v>
      </c>
      <c r="G54" s="1" t="b">
        <v>0</v>
      </c>
      <c r="H54" s="1">
        <v>1</v>
      </c>
      <c r="I54" s="1">
        <v>1</v>
      </c>
      <c r="J54" s="1">
        <v>0.14000000000000001</v>
      </c>
      <c r="M54" t="str">
        <f t="shared" si="1"/>
        <v>Unique</v>
      </c>
      <c r="N54" t="str">
        <f t="shared" si="2"/>
        <v>Spring</v>
      </c>
      <c r="O54" t="str">
        <f t="shared" si="0"/>
        <v>2011</v>
      </c>
      <c r="P54" t="str">
        <f t="shared" si="7"/>
        <v>Working Day</v>
      </c>
      <c r="Q54" t="str">
        <f t="shared" si="3"/>
        <v>Monday</v>
      </c>
      <c r="R54" t="str">
        <f t="shared" si="4"/>
        <v>Clear</v>
      </c>
      <c r="S54" t="str">
        <f t="shared" si="5"/>
        <v>Morning</v>
      </c>
      <c r="T54" t="str">
        <f t="shared" si="6"/>
        <v>Cold</v>
      </c>
    </row>
    <row r="55" spans="1:20">
      <c r="A55" s="1">
        <v>54</v>
      </c>
      <c r="B55" s="2">
        <v>40546</v>
      </c>
      <c r="C55" s="1">
        <v>1</v>
      </c>
      <c r="D55" s="1">
        <v>0</v>
      </c>
      <c r="E55" s="1">
        <v>1</v>
      </c>
      <c r="F55" s="1">
        <v>8</v>
      </c>
      <c r="G55" s="1" t="b">
        <v>0</v>
      </c>
      <c r="H55" s="1">
        <v>1</v>
      </c>
      <c r="I55" s="1">
        <v>1</v>
      </c>
      <c r="J55" s="1">
        <v>0.14000000000000001</v>
      </c>
      <c r="M55" t="str">
        <f t="shared" si="1"/>
        <v>Unique</v>
      </c>
      <c r="N55" t="str">
        <f t="shared" si="2"/>
        <v>Spring</v>
      </c>
      <c r="O55" t="str">
        <f t="shared" si="0"/>
        <v>2011</v>
      </c>
      <c r="P55" t="str">
        <f t="shared" si="7"/>
        <v>Working Day</v>
      </c>
      <c r="Q55" t="str">
        <f t="shared" si="3"/>
        <v>Monday</v>
      </c>
      <c r="R55" t="str">
        <f t="shared" si="4"/>
        <v>Clear</v>
      </c>
      <c r="S55" t="str">
        <f t="shared" si="5"/>
        <v>Morning</v>
      </c>
      <c r="T55" t="str">
        <f t="shared" si="6"/>
        <v>Cold</v>
      </c>
    </row>
    <row r="56" spans="1:20">
      <c r="A56" s="1">
        <v>55</v>
      </c>
      <c r="B56" s="2">
        <v>40546</v>
      </c>
      <c r="C56" s="1">
        <v>1</v>
      </c>
      <c r="D56" s="1">
        <v>0</v>
      </c>
      <c r="E56" s="1">
        <v>1</v>
      </c>
      <c r="F56" s="1">
        <v>9</v>
      </c>
      <c r="G56" s="1" t="b">
        <v>0</v>
      </c>
      <c r="H56" s="1">
        <v>1</v>
      </c>
      <c r="I56" s="1">
        <v>1</v>
      </c>
      <c r="J56" s="1">
        <v>0.16</v>
      </c>
      <c r="M56" t="str">
        <f t="shared" si="1"/>
        <v>Unique</v>
      </c>
      <c r="N56" t="str">
        <f t="shared" si="2"/>
        <v>Spring</v>
      </c>
      <c r="O56" t="str">
        <f t="shared" si="0"/>
        <v>2011</v>
      </c>
      <c r="P56" t="str">
        <f t="shared" si="7"/>
        <v>Working Day</v>
      </c>
      <c r="Q56" t="str">
        <f t="shared" si="3"/>
        <v>Monday</v>
      </c>
      <c r="R56" t="str">
        <f t="shared" si="4"/>
        <v>Clear</v>
      </c>
      <c r="S56" t="str">
        <f t="shared" si="5"/>
        <v>Morning</v>
      </c>
      <c r="T56" t="str">
        <f t="shared" si="6"/>
        <v>Cold</v>
      </c>
    </row>
    <row r="57" spans="1:20">
      <c r="A57" s="1">
        <v>56</v>
      </c>
      <c r="B57" s="2">
        <v>40546</v>
      </c>
      <c r="C57" s="1">
        <v>1</v>
      </c>
      <c r="D57" s="1">
        <v>0</v>
      </c>
      <c r="E57" s="1">
        <v>1</v>
      </c>
      <c r="F57" s="1">
        <v>10</v>
      </c>
      <c r="G57" s="1" t="b">
        <v>0</v>
      </c>
      <c r="H57" s="1">
        <v>1</v>
      </c>
      <c r="I57" s="1">
        <v>1</v>
      </c>
      <c r="J57" s="1">
        <v>0.18</v>
      </c>
      <c r="M57" t="str">
        <f t="shared" si="1"/>
        <v>Unique</v>
      </c>
      <c r="N57" t="str">
        <f t="shared" si="2"/>
        <v>Spring</v>
      </c>
      <c r="O57" t="str">
        <f t="shared" si="0"/>
        <v>2011</v>
      </c>
      <c r="P57" t="str">
        <f t="shared" si="7"/>
        <v>Working Day</v>
      </c>
      <c r="Q57" t="str">
        <f t="shared" si="3"/>
        <v>Monday</v>
      </c>
      <c r="R57" t="str">
        <f t="shared" si="4"/>
        <v>Clear</v>
      </c>
      <c r="S57" t="str">
        <f t="shared" si="5"/>
        <v>Morning</v>
      </c>
      <c r="T57" t="str">
        <f t="shared" si="6"/>
        <v>Cold</v>
      </c>
    </row>
    <row r="58" spans="1:20">
      <c r="A58" s="1">
        <v>57</v>
      </c>
      <c r="B58" s="2">
        <v>40546</v>
      </c>
      <c r="C58" s="1">
        <v>1</v>
      </c>
      <c r="D58" s="1">
        <v>0</v>
      </c>
      <c r="E58" s="1">
        <v>1</v>
      </c>
      <c r="F58" s="1">
        <v>11</v>
      </c>
      <c r="G58" s="1" t="b">
        <v>0</v>
      </c>
      <c r="H58" s="1">
        <v>1</v>
      </c>
      <c r="I58" s="1">
        <v>1</v>
      </c>
      <c r="J58" s="1">
        <v>0.2</v>
      </c>
      <c r="M58" t="str">
        <f t="shared" si="1"/>
        <v>Unique</v>
      </c>
      <c r="N58" t="str">
        <f t="shared" si="2"/>
        <v>Spring</v>
      </c>
      <c r="O58" t="str">
        <f t="shared" si="0"/>
        <v>2011</v>
      </c>
      <c r="P58" t="str">
        <f t="shared" si="7"/>
        <v>Working Day</v>
      </c>
      <c r="Q58" t="str">
        <f t="shared" si="3"/>
        <v>Monday</v>
      </c>
      <c r="R58" t="str">
        <f t="shared" si="4"/>
        <v>Clear</v>
      </c>
      <c r="S58" t="str">
        <f t="shared" si="5"/>
        <v>Morning</v>
      </c>
      <c r="T58" t="str">
        <f t="shared" si="6"/>
        <v>Cold</v>
      </c>
    </row>
    <row r="59" spans="1:20">
      <c r="A59" s="1">
        <v>58</v>
      </c>
      <c r="B59" s="2">
        <v>40546</v>
      </c>
      <c r="C59" s="1">
        <v>1</v>
      </c>
      <c r="D59" s="1">
        <v>0</v>
      </c>
      <c r="E59" s="1">
        <v>1</v>
      </c>
      <c r="F59" s="1">
        <v>12</v>
      </c>
      <c r="G59" s="1" t="b">
        <v>0</v>
      </c>
      <c r="H59" s="1">
        <v>1</v>
      </c>
      <c r="I59" s="1">
        <v>1</v>
      </c>
      <c r="J59" s="1">
        <v>0.22</v>
      </c>
      <c r="M59" t="str">
        <f t="shared" si="1"/>
        <v>Unique</v>
      </c>
      <c r="N59" t="str">
        <f t="shared" si="2"/>
        <v>Spring</v>
      </c>
      <c r="O59" t="str">
        <f t="shared" si="0"/>
        <v>2011</v>
      </c>
      <c r="P59" t="str">
        <f t="shared" si="7"/>
        <v>Working Day</v>
      </c>
      <c r="Q59" t="str">
        <f t="shared" si="3"/>
        <v>Monday</v>
      </c>
      <c r="R59" t="str">
        <f t="shared" si="4"/>
        <v>Clear</v>
      </c>
      <c r="S59" t="str">
        <f t="shared" si="5"/>
        <v>Afternoon</v>
      </c>
      <c r="T59" t="str">
        <f t="shared" si="6"/>
        <v>Cold</v>
      </c>
    </row>
    <row r="60" spans="1:20">
      <c r="A60" s="1">
        <v>59</v>
      </c>
      <c r="B60" s="2">
        <v>40546</v>
      </c>
      <c r="C60" s="1">
        <v>1</v>
      </c>
      <c r="D60" s="1">
        <v>0</v>
      </c>
      <c r="E60" s="1">
        <v>1</v>
      </c>
      <c r="F60" s="1">
        <v>13</v>
      </c>
      <c r="G60" s="1" t="b">
        <v>0</v>
      </c>
      <c r="H60" s="1">
        <v>1</v>
      </c>
      <c r="I60" s="1">
        <v>1</v>
      </c>
      <c r="J60" s="1">
        <v>0.24</v>
      </c>
      <c r="M60" t="str">
        <f t="shared" si="1"/>
        <v>Unique</v>
      </c>
      <c r="N60" t="str">
        <f t="shared" si="2"/>
        <v>Spring</v>
      </c>
      <c r="O60" t="str">
        <f t="shared" si="0"/>
        <v>2011</v>
      </c>
      <c r="P60" t="str">
        <f t="shared" si="7"/>
        <v>Working Day</v>
      </c>
      <c r="Q60" t="str">
        <f t="shared" si="3"/>
        <v>Monday</v>
      </c>
      <c r="R60" t="str">
        <f t="shared" si="4"/>
        <v>Clear</v>
      </c>
      <c r="S60" t="str">
        <f t="shared" si="5"/>
        <v>Afternoon</v>
      </c>
      <c r="T60" t="str">
        <f t="shared" si="6"/>
        <v>Cold</v>
      </c>
    </row>
    <row r="61" spans="1:20">
      <c r="A61" s="1">
        <v>60</v>
      </c>
      <c r="B61" s="2">
        <v>40546</v>
      </c>
      <c r="C61" s="1">
        <v>1</v>
      </c>
      <c r="D61" s="1">
        <v>0</v>
      </c>
      <c r="E61" s="1">
        <v>1</v>
      </c>
      <c r="F61" s="1">
        <v>14</v>
      </c>
      <c r="G61" s="1" t="b">
        <v>0</v>
      </c>
      <c r="H61" s="1">
        <v>1</v>
      </c>
      <c r="I61" s="1">
        <v>1</v>
      </c>
      <c r="J61" s="1">
        <v>0.26</v>
      </c>
      <c r="M61" t="str">
        <f t="shared" si="1"/>
        <v>Unique</v>
      </c>
      <c r="N61" t="str">
        <f t="shared" si="2"/>
        <v>Spring</v>
      </c>
      <c r="O61" t="str">
        <f t="shared" si="0"/>
        <v>2011</v>
      </c>
      <c r="P61" t="str">
        <f t="shared" si="7"/>
        <v>Working Day</v>
      </c>
      <c r="Q61" t="str">
        <f t="shared" si="3"/>
        <v>Monday</v>
      </c>
      <c r="R61" t="str">
        <f t="shared" si="4"/>
        <v>Clear</v>
      </c>
      <c r="S61" t="str">
        <f t="shared" si="5"/>
        <v>Afternoon</v>
      </c>
      <c r="T61" t="str">
        <f t="shared" si="6"/>
        <v>Cold</v>
      </c>
    </row>
    <row r="62" spans="1:20">
      <c r="A62" s="1">
        <v>61</v>
      </c>
      <c r="B62" s="2">
        <v>40546</v>
      </c>
      <c r="C62" s="1">
        <v>1</v>
      </c>
      <c r="D62" s="1">
        <v>0</v>
      </c>
      <c r="E62" s="1">
        <v>1</v>
      </c>
      <c r="F62" s="1">
        <v>15</v>
      </c>
      <c r="G62" s="1" t="b">
        <v>0</v>
      </c>
      <c r="H62" s="1">
        <v>1</v>
      </c>
      <c r="I62" s="1">
        <v>1</v>
      </c>
      <c r="J62" s="1">
        <v>0.26</v>
      </c>
      <c r="M62" t="str">
        <f t="shared" si="1"/>
        <v>Unique</v>
      </c>
      <c r="N62" t="str">
        <f t="shared" si="2"/>
        <v>Spring</v>
      </c>
      <c r="O62" t="str">
        <f t="shared" si="0"/>
        <v>2011</v>
      </c>
      <c r="P62" t="str">
        <f t="shared" si="7"/>
        <v>Working Day</v>
      </c>
      <c r="Q62" t="str">
        <f t="shared" si="3"/>
        <v>Monday</v>
      </c>
      <c r="R62" t="str">
        <f t="shared" si="4"/>
        <v>Clear</v>
      </c>
      <c r="S62" t="str">
        <f t="shared" si="5"/>
        <v>Afternoon</v>
      </c>
      <c r="T62" t="str">
        <f t="shared" si="6"/>
        <v>Cold</v>
      </c>
    </row>
    <row r="63" spans="1:20">
      <c r="A63" s="1">
        <v>62</v>
      </c>
      <c r="B63" s="2">
        <v>40546</v>
      </c>
      <c r="C63" s="1">
        <v>1</v>
      </c>
      <c r="D63" s="1">
        <v>0</v>
      </c>
      <c r="E63" s="1">
        <v>1</v>
      </c>
      <c r="F63" s="1">
        <v>16</v>
      </c>
      <c r="G63" s="1" t="b">
        <v>0</v>
      </c>
      <c r="H63" s="1">
        <v>1</v>
      </c>
      <c r="I63" s="1">
        <v>1</v>
      </c>
      <c r="J63" s="1">
        <v>0.26</v>
      </c>
      <c r="M63" t="str">
        <f t="shared" si="1"/>
        <v>Unique</v>
      </c>
      <c r="N63" t="str">
        <f t="shared" si="2"/>
        <v>Spring</v>
      </c>
      <c r="O63" t="str">
        <f t="shared" si="0"/>
        <v>2011</v>
      </c>
      <c r="P63" t="str">
        <f t="shared" si="7"/>
        <v>Working Day</v>
      </c>
      <c r="Q63" t="str">
        <f t="shared" si="3"/>
        <v>Monday</v>
      </c>
      <c r="R63" t="str">
        <f t="shared" si="4"/>
        <v>Clear</v>
      </c>
      <c r="S63" t="str">
        <f t="shared" si="5"/>
        <v>Afternoon</v>
      </c>
      <c r="T63" t="str">
        <f t="shared" si="6"/>
        <v>Cold</v>
      </c>
    </row>
    <row r="64" spans="1:20">
      <c r="A64" s="1">
        <v>63</v>
      </c>
      <c r="B64" s="2">
        <v>40546</v>
      </c>
      <c r="C64" s="1">
        <v>1</v>
      </c>
      <c r="D64" s="1">
        <v>0</v>
      </c>
      <c r="E64" s="1">
        <v>1</v>
      </c>
      <c r="F64" s="1">
        <v>17</v>
      </c>
      <c r="G64" s="1" t="b">
        <v>0</v>
      </c>
      <c r="H64" s="1">
        <v>1</v>
      </c>
      <c r="I64" s="1">
        <v>1</v>
      </c>
      <c r="J64" s="1">
        <v>0.24</v>
      </c>
      <c r="M64" t="str">
        <f t="shared" si="1"/>
        <v>Unique</v>
      </c>
      <c r="N64" t="str">
        <f t="shared" si="2"/>
        <v>Spring</v>
      </c>
      <c r="O64" t="str">
        <f t="shared" si="0"/>
        <v>2011</v>
      </c>
      <c r="P64" t="str">
        <f t="shared" si="7"/>
        <v>Working Day</v>
      </c>
      <c r="Q64" t="str">
        <f t="shared" si="3"/>
        <v>Monday</v>
      </c>
      <c r="R64" t="str">
        <f t="shared" si="4"/>
        <v>Clear</v>
      </c>
      <c r="S64" t="str">
        <f t="shared" si="5"/>
        <v>Afternoon</v>
      </c>
      <c r="T64" t="str">
        <f t="shared" si="6"/>
        <v>Cold</v>
      </c>
    </row>
    <row r="65" spans="1:20">
      <c r="A65" s="1">
        <v>64</v>
      </c>
      <c r="B65" s="2">
        <v>40546</v>
      </c>
      <c r="C65" s="1">
        <v>1</v>
      </c>
      <c r="D65" s="1">
        <v>0</v>
      </c>
      <c r="E65" s="1">
        <v>1</v>
      </c>
      <c r="F65" s="1">
        <v>18</v>
      </c>
      <c r="G65" s="1" t="b">
        <v>0</v>
      </c>
      <c r="H65" s="1">
        <v>1</v>
      </c>
      <c r="I65" s="1">
        <v>1</v>
      </c>
      <c r="J65" s="1">
        <v>0.24</v>
      </c>
      <c r="M65" t="str">
        <f t="shared" si="1"/>
        <v>Unique</v>
      </c>
      <c r="N65" t="str">
        <f t="shared" si="2"/>
        <v>Spring</v>
      </c>
      <c r="O65" t="str">
        <f t="shared" si="0"/>
        <v>2011</v>
      </c>
      <c r="P65" t="str">
        <f t="shared" si="7"/>
        <v>Working Day</v>
      </c>
      <c r="Q65" t="str">
        <f t="shared" si="3"/>
        <v>Monday</v>
      </c>
      <c r="R65" t="str">
        <f t="shared" si="4"/>
        <v>Clear</v>
      </c>
      <c r="S65" t="str">
        <f t="shared" si="5"/>
        <v>Night</v>
      </c>
      <c r="T65" t="str">
        <f t="shared" si="6"/>
        <v>Cold</v>
      </c>
    </row>
    <row r="66" spans="1:20">
      <c r="A66" s="1">
        <v>65</v>
      </c>
      <c r="B66" s="2">
        <v>40546</v>
      </c>
      <c r="C66" s="1">
        <v>1</v>
      </c>
      <c r="D66" s="1">
        <v>0</v>
      </c>
      <c r="E66" s="1">
        <v>1</v>
      </c>
      <c r="F66" s="1">
        <v>19</v>
      </c>
      <c r="G66" s="1" t="b">
        <v>0</v>
      </c>
      <c r="H66" s="1">
        <v>1</v>
      </c>
      <c r="I66" s="1">
        <v>1</v>
      </c>
      <c r="J66" s="1">
        <v>0.2</v>
      </c>
      <c r="M66" t="str">
        <f t="shared" si="1"/>
        <v>Unique</v>
      </c>
      <c r="N66" t="str">
        <f t="shared" si="2"/>
        <v>Spring</v>
      </c>
      <c r="O66" t="str">
        <f t="shared" ref="O66:O129" si="8">IF(D66=0,"2011","2012")</f>
        <v>2011</v>
      </c>
      <c r="P66" t="str">
        <f t="shared" si="7"/>
        <v>Working Day</v>
      </c>
      <c r="Q66" t="str">
        <f t="shared" si="3"/>
        <v>Monday</v>
      </c>
      <c r="R66" t="str">
        <f t="shared" si="4"/>
        <v>Clear</v>
      </c>
      <c r="S66" t="str">
        <f t="shared" si="5"/>
        <v>Night</v>
      </c>
      <c r="T66" t="str">
        <f t="shared" si="6"/>
        <v>Cold</v>
      </c>
    </row>
    <row r="67" spans="1:20">
      <c r="A67" s="1">
        <v>66</v>
      </c>
      <c r="B67" s="2">
        <v>40546</v>
      </c>
      <c r="C67" s="1">
        <v>1</v>
      </c>
      <c r="D67" s="1">
        <v>0</v>
      </c>
      <c r="E67" s="1">
        <v>1</v>
      </c>
      <c r="F67" s="1">
        <v>20</v>
      </c>
      <c r="G67" s="1" t="b">
        <v>0</v>
      </c>
      <c r="H67" s="1">
        <v>1</v>
      </c>
      <c r="I67" s="1">
        <v>1</v>
      </c>
      <c r="J67" s="1">
        <v>0.2</v>
      </c>
      <c r="M67" t="str">
        <f t="shared" ref="M67:M130" si="9">IF(COUNTIF(A:A,A67)&gt;1,"Duplicate","Unique")</f>
        <v>Unique</v>
      </c>
      <c r="N67" t="str">
        <f t="shared" ref="N67:N130" si="10">IF(C67=1,"Spring",IF(C67=2,"Summer",IF(C67=3,"Fall","Winter")))</f>
        <v>Spring</v>
      </c>
      <c r="O67" t="str">
        <f t="shared" si="8"/>
        <v>2011</v>
      </c>
      <c r="P67" t="str">
        <f t="shared" si="7"/>
        <v>Working Day</v>
      </c>
      <c r="Q67" t="str">
        <f t="shared" ref="Q67:Q130" si="11">CHOOSE(H67+1,"Sunday","Monday","Tuesday","Wednesday","Thursday","Friday","Saturday")</f>
        <v>Monday</v>
      </c>
      <c r="R67" t="str">
        <f t="shared" ref="R67:R130" si="12">IF(I67=1,"Clear",IF(I67=2,"Cloudy",IF(I67=3,"Rainy","Storm")))</f>
        <v>Clear</v>
      </c>
      <c r="S67" t="str">
        <f t="shared" ref="S67:S130" si="13">IF(F67&lt;12,"Morning",IF(F67&lt;18,"Afternoon","Night"))</f>
        <v>Night</v>
      </c>
      <c r="T67" t="str">
        <f t="shared" ref="T67:T130" si="14">IF(J67&lt;0.3,"Cold",IF(J67&lt;0.6,"Normal","Hot"))</f>
        <v>Cold</v>
      </c>
    </row>
    <row r="68" spans="1:20">
      <c r="A68" s="1">
        <v>67</v>
      </c>
      <c r="B68" s="2">
        <v>40546</v>
      </c>
      <c r="C68" s="1">
        <v>1</v>
      </c>
      <c r="D68" s="1">
        <v>0</v>
      </c>
      <c r="E68" s="1">
        <v>1</v>
      </c>
      <c r="F68" s="1">
        <v>21</v>
      </c>
      <c r="G68" s="1" t="b">
        <v>0</v>
      </c>
      <c r="H68" s="1">
        <v>1</v>
      </c>
      <c r="I68" s="1">
        <v>1</v>
      </c>
      <c r="J68" s="1">
        <v>0.18</v>
      </c>
      <c r="M68" t="str">
        <f t="shared" si="9"/>
        <v>Unique</v>
      </c>
      <c r="N68" t="str">
        <f t="shared" si="10"/>
        <v>Spring</v>
      </c>
      <c r="O68" t="str">
        <f t="shared" si="8"/>
        <v>2011</v>
      </c>
      <c r="P68" t="str">
        <f t="shared" ref="P68:P131" si="15">IF(G67=FALSE,"Working Day","Holiday")</f>
        <v>Working Day</v>
      </c>
      <c r="Q68" t="str">
        <f t="shared" si="11"/>
        <v>Monday</v>
      </c>
      <c r="R68" t="str">
        <f t="shared" si="12"/>
        <v>Clear</v>
      </c>
      <c r="S68" t="str">
        <f t="shared" si="13"/>
        <v>Night</v>
      </c>
      <c r="T68" t="str">
        <f t="shared" si="14"/>
        <v>Cold</v>
      </c>
    </row>
    <row r="69" spans="1:20">
      <c r="A69" s="1">
        <v>68</v>
      </c>
      <c r="B69" s="2">
        <v>40546</v>
      </c>
      <c r="C69" s="1">
        <v>1</v>
      </c>
      <c r="D69" s="1">
        <v>0</v>
      </c>
      <c r="E69" s="1">
        <v>1</v>
      </c>
      <c r="F69" s="1">
        <v>22</v>
      </c>
      <c r="G69" s="1" t="b">
        <v>0</v>
      </c>
      <c r="H69" s="1">
        <v>1</v>
      </c>
      <c r="I69" s="1">
        <v>1</v>
      </c>
      <c r="J69" s="1">
        <v>0.14000000000000001</v>
      </c>
      <c r="M69" t="str">
        <f t="shared" si="9"/>
        <v>Unique</v>
      </c>
      <c r="N69" t="str">
        <f t="shared" si="10"/>
        <v>Spring</v>
      </c>
      <c r="O69" t="str">
        <f t="shared" si="8"/>
        <v>2011</v>
      </c>
      <c r="P69" t="str">
        <f t="shared" si="15"/>
        <v>Working Day</v>
      </c>
      <c r="Q69" t="str">
        <f t="shared" si="11"/>
        <v>Monday</v>
      </c>
      <c r="R69" t="str">
        <f t="shared" si="12"/>
        <v>Clear</v>
      </c>
      <c r="S69" t="str">
        <f t="shared" si="13"/>
        <v>Night</v>
      </c>
      <c r="T69" t="str">
        <f t="shared" si="14"/>
        <v>Cold</v>
      </c>
    </row>
    <row r="70" spans="1:20">
      <c r="A70" s="1">
        <v>69</v>
      </c>
      <c r="B70" s="2">
        <v>40546</v>
      </c>
      <c r="C70" s="1">
        <v>1</v>
      </c>
      <c r="D70" s="1">
        <v>0</v>
      </c>
      <c r="E70" s="1">
        <v>1</v>
      </c>
      <c r="F70" s="1">
        <v>23</v>
      </c>
      <c r="G70" s="1" t="b">
        <v>0</v>
      </c>
      <c r="H70" s="1">
        <v>1</v>
      </c>
      <c r="I70" s="1">
        <v>1</v>
      </c>
      <c r="J70" s="1">
        <v>0.18</v>
      </c>
      <c r="M70" t="str">
        <f t="shared" si="9"/>
        <v>Unique</v>
      </c>
      <c r="N70" t="str">
        <f t="shared" si="10"/>
        <v>Spring</v>
      </c>
      <c r="O70" t="str">
        <f t="shared" si="8"/>
        <v>2011</v>
      </c>
      <c r="P70" t="str">
        <f t="shared" si="15"/>
        <v>Working Day</v>
      </c>
      <c r="Q70" t="str">
        <f t="shared" si="11"/>
        <v>Monday</v>
      </c>
      <c r="R70" t="str">
        <f t="shared" si="12"/>
        <v>Clear</v>
      </c>
      <c r="S70" t="str">
        <f t="shared" si="13"/>
        <v>Night</v>
      </c>
      <c r="T70" t="str">
        <f t="shared" si="14"/>
        <v>Cold</v>
      </c>
    </row>
    <row r="71" spans="1:20">
      <c r="A71" s="1">
        <v>70</v>
      </c>
      <c r="B71" s="2">
        <v>40547</v>
      </c>
      <c r="C71" s="1">
        <v>1</v>
      </c>
      <c r="D71" s="1">
        <v>0</v>
      </c>
      <c r="E71" s="1">
        <v>1</v>
      </c>
      <c r="F71" s="1">
        <v>0</v>
      </c>
      <c r="G71" s="1" t="b">
        <v>0</v>
      </c>
      <c r="H71" s="1">
        <v>2</v>
      </c>
      <c r="I71" s="1">
        <v>1</v>
      </c>
      <c r="J71" s="1">
        <v>0.16</v>
      </c>
      <c r="M71" t="str">
        <f t="shared" si="9"/>
        <v>Unique</v>
      </c>
      <c r="N71" t="str">
        <f t="shared" si="10"/>
        <v>Spring</v>
      </c>
      <c r="O71" t="str">
        <f t="shared" si="8"/>
        <v>2011</v>
      </c>
      <c r="P71" t="str">
        <f t="shared" si="15"/>
        <v>Working Day</v>
      </c>
      <c r="Q71" t="str">
        <f t="shared" si="11"/>
        <v>Tuesday</v>
      </c>
      <c r="R71" t="str">
        <f t="shared" si="12"/>
        <v>Clear</v>
      </c>
      <c r="S71" t="str">
        <f t="shared" si="13"/>
        <v>Morning</v>
      </c>
      <c r="T71" t="str">
        <f t="shared" si="14"/>
        <v>Cold</v>
      </c>
    </row>
    <row r="72" spans="1:20">
      <c r="A72" s="1">
        <v>71</v>
      </c>
      <c r="B72" s="2">
        <v>40547</v>
      </c>
      <c r="C72" s="1">
        <v>1</v>
      </c>
      <c r="D72" s="1">
        <v>0</v>
      </c>
      <c r="E72" s="1">
        <v>1</v>
      </c>
      <c r="F72" s="1">
        <v>1</v>
      </c>
      <c r="G72" s="1" t="b">
        <v>0</v>
      </c>
      <c r="H72" s="1">
        <v>2</v>
      </c>
      <c r="I72" s="1">
        <v>1</v>
      </c>
      <c r="J72" s="1">
        <v>0.16</v>
      </c>
      <c r="M72" t="str">
        <f t="shared" si="9"/>
        <v>Unique</v>
      </c>
      <c r="N72" t="str">
        <f t="shared" si="10"/>
        <v>Spring</v>
      </c>
      <c r="O72" t="str">
        <f t="shared" si="8"/>
        <v>2011</v>
      </c>
      <c r="P72" t="str">
        <f t="shared" si="15"/>
        <v>Working Day</v>
      </c>
      <c r="Q72" t="str">
        <f t="shared" si="11"/>
        <v>Tuesday</v>
      </c>
      <c r="R72" t="str">
        <f t="shared" si="12"/>
        <v>Clear</v>
      </c>
      <c r="S72" t="str">
        <f t="shared" si="13"/>
        <v>Morning</v>
      </c>
      <c r="T72" t="str">
        <f t="shared" si="14"/>
        <v>Cold</v>
      </c>
    </row>
    <row r="73" spans="1:20">
      <c r="A73" s="1">
        <v>72</v>
      </c>
      <c r="B73" s="2">
        <v>40547</v>
      </c>
      <c r="C73" s="1">
        <v>1</v>
      </c>
      <c r="D73" s="1">
        <v>0</v>
      </c>
      <c r="E73" s="1">
        <v>1</v>
      </c>
      <c r="F73" s="1">
        <v>2</v>
      </c>
      <c r="G73" s="1" t="b">
        <v>0</v>
      </c>
      <c r="H73" s="1">
        <v>2</v>
      </c>
      <c r="I73" s="1">
        <v>1</v>
      </c>
      <c r="J73" s="1">
        <v>0.14000000000000001</v>
      </c>
      <c r="M73" t="str">
        <f t="shared" si="9"/>
        <v>Unique</v>
      </c>
      <c r="N73" t="str">
        <f t="shared" si="10"/>
        <v>Spring</v>
      </c>
      <c r="O73" t="str">
        <f t="shared" si="8"/>
        <v>2011</v>
      </c>
      <c r="P73" t="str">
        <f t="shared" si="15"/>
        <v>Working Day</v>
      </c>
      <c r="Q73" t="str">
        <f t="shared" si="11"/>
        <v>Tuesday</v>
      </c>
      <c r="R73" t="str">
        <f t="shared" si="12"/>
        <v>Clear</v>
      </c>
      <c r="S73" t="str">
        <f t="shared" si="13"/>
        <v>Morning</v>
      </c>
      <c r="T73" t="str">
        <f t="shared" si="14"/>
        <v>Cold</v>
      </c>
    </row>
    <row r="74" spans="1:20">
      <c r="A74" s="1">
        <v>73</v>
      </c>
      <c r="B74" s="2">
        <v>40547</v>
      </c>
      <c r="C74" s="1">
        <v>1</v>
      </c>
      <c r="D74" s="1">
        <v>0</v>
      </c>
      <c r="E74" s="1">
        <v>1</v>
      </c>
      <c r="F74" s="1">
        <v>4</v>
      </c>
      <c r="G74" s="1" t="b">
        <v>0</v>
      </c>
      <c r="H74" s="1">
        <v>2</v>
      </c>
      <c r="I74" s="1">
        <v>1</v>
      </c>
      <c r="J74" s="1">
        <v>0.14000000000000001</v>
      </c>
      <c r="M74" t="str">
        <f t="shared" si="9"/>
        <v>Unique</v>
      </c>
      <c r="N74" t="str">
        <f t="shared" si="10"/>
        <v>Spring</v>
      </c>
      <c r="O74" t="str">
        <f t="shared" si="8"/>
        <v>2011</v>
      </c>
      <c r="P74" t="str">
        <f t="shared" si="15"/>
        <v>Working Day</v>
      </c>
      <c r="Q74" t="str">
        <f t="shared" si="11"/>
        <v>Tuesday</v>
      </c>
      <c r="R74" t="str">
        <f t="shared" si="12"/>
        <v>Clear</v>
      </c>
      <c r="S74" t="str">
        <f t="shared" si="13"/>
        <v>Morning</v>
      </c>
      <c r="T74" t="str">
        <f t="shared" si="14"/>
        <v>Cold</v>
      </c>
    </row>
    <row r="75" spans="1:20">
      <c r="A75" s="1">
        <v>74</v>
      </c>
      <c r="B75" s="2">
        <v>40547</v>
      </c>
      <c r="C75" s="1">
        <v>1</v>
      </c>
      <c r="D75" s="1">
        <v>0</v>
      </c>
      <c r="E75" s="1">
        <v>1</v>
      </c>
      <c r="F75" s="1">
        <v>5</v>
      </c>
      <c r="G75" s="1" t="b">
        <v>0</v>
      </c>
      <c r="H75" s="1">
        <v>2</v>
      </c>
      <c r="I75" s="1">
        <v>1</v>
      </c>
      <c r="J75" s="1">
        <v>0.12</v>
      </c>
      <c r="M75" t="str">
        <f t="shared" si="9"/>
        <v>Unique</v>
      </c>
      <c r="N75" t="str">
        <f t="shared" si="10"/>
        <v>Spring</v>
      </c>
      <c r="O75" t="str">
        <f t="shared" si="8"/>
        <v>2011</v>
      </c>
      <c r="P75" t="str">
        <f t="shared" si="15"/>
        <v>Working Day</v>
      </c>
      <c r="Q75" t="str">
        <f t="shared" si="11"/>
        <v>Tuesday</v>
      </c>
      <c r="R75" t="str">
        <f t="shared" si="12"/>
        <v>Clear</v>
      </c>
      <c r="S75" t="str">
        <f t="shared" si="13"/>
        <v>Morning</v>
      </c>
      <c r="T75" t="str">
        <f t="shared" si="14"/>
        <v>Cold</v>
      </c>
    </row>
    <row r="76" spans="1:20">
      <c r="A76" s="1">
        <v>75</v>
      </c>
      <c r="B76" s="2">
        <v>40547</v>
      </c>
      <c r="C76" s="1">
        <v>1</v>
      </c>
      <c r="D76" s="1">
        <v>0</v>
      </c>
      <c r="E76" s="1">
        <v>1</v>
      </c>
      <c r="F76" s="1">
        <v>6</v>
      </c>
      <c r="G76" s="1" t="b">
        <v>0</v>
      </c>
      <c r="H76" s="1">
        <v>2</v>
      </c>
      <c r="I76" s="1">
        <v>1</v>
      </c>
      <c r="J76" s="1">
        <v>0.12</v>
      </c>
      <c r="M76" t="str">
        <f t="shared" si="9"/>
        <v>Unique</v>
      </c>
      <c r="N76" t="str">
        <f t="shared" si="10"/>
        <v>Spring</v>
      </c>
      <c r="O76" t="str">
        <f t="shared" si="8"/>
        <v>2011</v>
      </c>
      <c r="P76" t="str">
        <f t="shared" si="15"/>
        <v>Working Day</v>
      </c>
      <c r="Q76" t="str">
        <f t="shared" si="11"/>
        <v>Tuesday</v>
      </c>
      <c r="R76" t="str">
        <f t="shared" si="12"/>
        <v>Clear</v>
      </c>
      <c r="S76" t="str">
        <f t="shared" si="13"/>
        <v>Morning</v>
      </c>
      <c r="T76" t="str">
        <f t="shared" si="14"/>
        <v>Cold</v>
      </c>
    </row>
    <row r="77" spans="1:20">
      <c r="A77" s="1">
        <v>76</v>
      </c>
      <c r="B77" s="2">
        <v>40547</v>
      </c>
      <c r="C77" s="1">
        <v>1</v>
      </c>
      <c r="D77" s="1">
        <v>0</v>
      </c>
      <c r="E77" s="1">
        <v>1</v>
      </c>
      <c r="F77" s="1">
        <v>7</v>
      </c>
      <c r="G77" s="1" t="b">
        <v>0</v>
      </c>
      <c r="H77" s="1">
        <v>2</v>
      </c>
      <c r="I77" s="1">
        <v>1</v>
      </c>
      <c r="J77" s="1">
        <v>0.12</v>
      </c>
      <c r="M77" t="str">
        <f t="shared" si="9"/>
        <v>Unique</v>
      </c>
      <c r="N77" t="str">
        <f t="shared" si="10"/>
        <v>Spring</v>
      </c>
      <c r="O77" t="str">
        <f t="shared" si="8"/>
        <v>2011</v>
      </c>
      <c r="P77" t="str">
        <f t="shared" si="15"/>
        <v>Working Day</v>
      </c>
      <c r="Q77" t="str">
        <f t="shared" si="11"/>
        <v>Tuesday</v>
      </c>
      <c r="R77" t="str">
        <f t="shared" si="12"/>
        <v>Clear</v>
      </c>
      <c r="S77" t="str">
        <f t="shared" si="13"/>
        <v>Morning</v>
      </c>
      <c r="T77" t="str">
        <f t="shared" si="14"/>
        <v>Cold</v>
      </c>
    </row>
    <row r="78" spans="1:20">
      <c r="A78" s="1">
        <v>77</v>
      </c>
      <c r="B78" s="2">
        <v>40547</v>
      </c>
      <c r="C78" s="1">
        <v>1</v>
      </c>
      <c r="D78" s="1">
        <v>0</v>
      </c>
      <c r="E78" s="1">
        <v>1</v>
      </c>
      <c r="F78" s="1">
        <v>8</v>
      </c>
      <c r="G78" s="1" t="b">
        <v>0</v>
      </c>
      <c r="H78" s="1">
        <v>2</v>
      </c>
      <c r="I78" s="1">
        <v>1</v>
      </c>
      <c r="J78" s="1">
        <v>0.14000000000000001</v>
      </c>
      <c r="M78" t="str">
        <f t="shared" si="9"/>
        <v>Unique</v>
      </c>
      <c r="N78" t="str">
        <f t="shared" si="10"/>
        <v>Spring</v>
      </c>
      <c r="O78" t="str">
        <f t="shared" si="8"/>
        <v>2011</v>
      </c>
      <c r="P78" t="str">
        <f t="shared" si="15"/>
        <v>Working Day</v>
      </c>
      <c r="Q78" t="str">
        <f t="shared" si="11"/>
        <v>Tuesday</v>
      </c>
      <c r="R78" t="str">
        <f t="shared" si="12"/>
        <v>Clear</v>
      </c>
      <c r="S78" t="str">
        <f t="shared" si="13"/>
        <v>Morning</v>
      </c>
      <c r="T78" t="str">
        <f t="shared" si="14"/>
        <v>Cold</v>
      </c>
    </row>
    <row r="79" spans="1:20">
      <c r="A79" s="1">
        <v>78</v>
      </c>
      <c r="B79" s="2">
        <v>40547</v>
      </c>
      <c r="C79" s="1">
        <v>1</v>
      </c>
      <c r="D79" s="1">
        <v>0</v>
      </c>
      <c r="E79" s="1">
        <v>1</v>
      </c>
      <c r="F79" s="1">
        <v>9</v>
      </c>
      <c r="G79" s="1" t="b">
        <v>0</v>
      </c>
      <c r="H79" s="1">
        <v>2</v>
      </c>
      <c r="I79" s="1">
        <v>1</v>
      </c>
      <c r="J79" s="1">
        <v>0.16</v>
      </c>
      <c r="M79" t="str">
        <f t="shared" si="9"/>
        <v>Unique</v>
      </c>
      <c r="N79" t="str">
        <f t="shared" si="10"/>
        <v>Spring</v>
      </c>
      <c r="O79" t="str">
        <f t="shared" si="8"/>
        <v>2011</v>
      </c>
      <c r="P79" t="str">
        <f t="shared" si="15"/>
        <v>Working Day</v>
      </c>
      <c r="Q79" t="str">
        <f t="shared" si="11"/>
        <v>Tuesday</v>
      </c>
      <c r="R79" t="str">
        <f t="shared" si="12"/>
        <v>Clear</v>
      </c>
      <c r="S79" t="str">
        <f t="shared" si="13"/>
        <v>Morning</v>
      </c>
      <c r="T79" t="str">
        <f t="shared" si="14"/>
        <v>Cold</v>
      </c>
    </row>
    <row r="80" spans="1:20">
      <c r="A80" s="1">
        <v>79</v>
      </c>
      <c r="B80" s="2">
        <v>40547</v>
      </c>
      <c r="C80" s="1">
        <v>1</v>
      </c>
      <c r="D80" s="1">
        <v>0</v>
      </c>
      <c r="E80" s="1">
        <v>1</v>
      </c>
      <c r="F80" s="1">
        <v>10</v>
      </c>
      <c r="G80" s="1" t="b">
        <v>0</v>
      </c>
      <c r="H80" s="1">
        <v>2</v>
      </c>
      <c r="I80" s="1">
        <v>2</v>
      </c>
      <c r="J80" s="1">
        <v>0.16</v>
      </c>
      <c r="M80" t="str">
        <f t="shared" si="9"/>
        <v>Unique</v>
      </c>
      <c r="N80" t="str">
        <f t="shared" si="10"/>
        <v>Spring</v>
      </c>
      <c r="O80" t="str">
        <f t="shared" si="8"/>
        <v>2011</v>
      </c>
      <c r="P80" t="str">
        <f t="shared" si="15"/>
        <v>Working Day</v>
      </c>
      <c r="Q80" t="str">
        <f t="shared" si="11"/>
        <v>Tuesday</v>
      </c>
      <c r="R80" t="str">
        <f t="shared" si="12"/>
        <v>Cloudy</v>
      </c>
      <c r="S80" t="str">
        <f t="shared" si="13"/>
        <v>Morning</v>
      </c>
      <c r="T80" t="str">
        <f t="shared" si="14"/>
        <v>Cold</v>
      </c>
    </row>
    <row r="81" spans="1:20">
      <c r="A81" s="1">
        <v>80</v>
      </c>
      <c r="B81" s="2">
        <v>40547</v>
      </c>
      <c r="C81" s="1">
        <v>1</v>
      </c>
      <c r="D81" s="1">
        <v>0</v>
      </c>
      <c r="E81" s="1">
        <v>1</v>
      </c>
      <c r="F81" s="1">
        <v>11</v>
      </c>
      <c r="G81" s="1" t="b">
        <v>0</v>
      </c>
      <c r="H81" s="1">
        <v>2</v>
      </c>
      <c r="I81" s="1">
        <v>1</v>
      </c>
      <c r="J81" s="1">
        <v>0.22</v>
      </c>
      <c r="M81" t="str">
        <f t="shared" si="9"/>
        <v>Unique</v>
      </c>
      <c r="N81" t="str">
        <f t="shared" si="10"/>
        <v>Spring</v>
      </c>
      <c r="O81" t="str">
        <f t="shared" si="8"/>
        <v>2011</v>
      </c>
      <c r="P81" t="str">
        <f t="shared" si="15"/>
        <v>Working Day</v>
      </c>
      <c r="Q81" t="str">
        <f t="shared" si="11"/>
        <v>Tuesday</v>
      </c>
      <c r="R81" t="str">
        <f t="shared" si="12"/>
        <v>Clear</v>
      </c>
      <c r="S81" t="str">
        <f t="shared" si="13"/>
        <v>Morning</v>
      </c>
      <c r="T81" t="str">
        <f t="shared" si="14"/>
        <v>Cold</v>
      </c>
    </row>
    <row r="82" spans="1:20">
      <c r="A82" s="1">
        <v>81</v>
      </c>
      <c r="B82" s="2">
        <v>40547</v>
      </c>
      <c r="C82" s="1">
        <v>1</v>
      </c>
      <c r="D82" s="1">
        <v>0</v>
      </c>
      <c r="E82" s="1">
        <v>1</v>
      </c>
      <c r="F82" s="1">
        <v>12</v>
      </c>
      <c r="G82" s="1" t="b">
        <v>0</v>
      </c>
      <c r="H82" s="1">
        <v>2</v>
      </c>
      <c r="I82" s="1">
        <v>1</v>
      </c>
      <c r="J82" s="1">
        <v>0.22</v>
      </c>
      <c r="M82" t="str">
        <f t="shared" si="9"/>
        <v>Unique</v>
      </c>
      <c r="N82" t="str">
        <f t="shared" si="10"/>
        <v>Spring</v>
      </c>
      <c r="O82" t="str">
        <f t="shared" si="8"/>
        <v>2011</v>
      </c>
      <c r="P82" t="str">
        <f t="shared" si="15"/>
        <v>Working Day</v>
      </c>
      <c r="Q82" t="str">
        <f t="shared" si="11"/>
        <v>Tuesday</v>
      </c>
      <c r="R82" t="str">
        <f t="shared" si="12"/>
        <v>Clear</v>
      </c>
      <c r="S82" t="str">
        <f t="shared" si="13"/>
        <v>Afternoon</v>
      </c>
      <c r="T82" t="str">
        <f t="shared" si="14"/>
        <v>Cold</v>
      </c>
    </row>
    <row r="83" spans="1:20">
      <c r="A83" s="1">
        <v>82</v>
      </c>
      <c r="B83" s="2">
        <v>40547</v>
      </c>
      <c r="C83" s="1">
        <v>1</v>
      </c>
      <c r="D83" s="1">
        <v>0</v>
      </c>
      <c r="E83" s="1">
        <v>1</v>
      </c>
      <c r="F83" s="1">
        <v>13</v>
      </c>
      <c r="G83" s="1" t="b">
        <v>0</v>
      </c>
      <c r="H83" s="1">
        <v>2</v>
      </c>
      <c r="I83" s="1">
        <v>1</v>
      </c>
      <c r="J83" s="1">
        <v>0.24</v>
      </c>
      <c r="M83" t="str">
        <f t="shared" si="9"/>
        <v>Unique</v>
      </c>
      <c r="N83" t="str">
        <f t="shared" si="10"/>
        <v>Spring</v>
      </c>
      <c r="O83" t="str">
        <f t="shared" si="8"/>
        <v>2011</v>
      </c>
      <c r="P83" t="str">
        <f t="shared" si="15"/>
        <v>Working Day</v>
      </c>
      <c r="Q83" t="str">
        <f t="shared" si="11"/>
        <v>Tuesday</v>
      </c>
      <c r="R83" t="str">
        <f t="shared" si="12"/>
        <v>Clear</v>
      </c>
      <c r="S83" t="str">
        <f t="shared" si="13"/>
        <v>Afternoon</v>
      </c>
      <c r="T83" t="str">
        <f t="shared" si="14"/>
        <v>Cold</v>
      </c>
    </row>
    <row r="84" spans="1:20">
      <c r="A84" s="1">
        <v>83</v>
      </c>
      <c r="B84" s="2">
        <v>40547</v>
      </c>
      <c r="C84" s="1">
        <v>1</v>
      </c>
      <c r="D84" s="1">
        <v>0</v>
      </c>
      <c r="E84" s="1">
        <v>1</v>
      </c>
      <c r="F84" s="1">
        <v>14</v>
      </c>
      <c r="G84" s="1" t="b">
        <v>0</v>
      </c>
      <c r="H84" s="1">
        <v>2</v>
      </c>
      <c r="I84" s="1">
        <v>1</v>
      </c>
      <c r="J84" s="1">
        <v>0.26</v>
      </c>
      <c r="M84" t="str">
        <f t="shared" si="9"/>
        <v>Unique</v>
      </c>
      <c r="N84" t="str">
        <f t="shared" si="10"/>
        <v>Spring</v>
      </c>
      <c r="O84" t="str">
        <f t="shared" si="8"/>
        <v>2011</v>
      </c>
      <c r="P84" t="str">
        <f t="shared" si="15"/>
        <v>Working Day</v>
      </c>
      <c r="Q84" t="str">
        <f t="shared" si="11"/>
        <v>Tuesday</v>
      </c>
      <c r="R84" t="str">
        <f t="shared" si="12"/>
        <v>Clear</v>
      </c>
      <c r="S84" t="str">
        <f t="shared" si="13"/>
        <v>Afternoon</v>
      </c>
      <c r="T84" t="str">
        <f t="shared" si="14"/>
        <v>Cold</v>
      </c>
    </row>
    <row r="85" spans="1:20">
      <c r="A85" s="1">
        <v>84</v>
      </c>
      <c r="B85" s="2">
        <v>40547</v>
      </c>
      <c r="C85" s="1">
        <v>1</v>
      </c>
      <c r="D85" s="1">
        <v>0</v>
      </c>
      <c r="E85" s="1">
        <v>1</v>
      </c>
      <c r="F85" s="1">
        <v>15</v>
      </c>
      <c r="G85" s="1" t="b">
        <v>0</v>
      </c>
      <c r="H85" s="1">
        <v>2</v>
      </c>
      <c r="I85" s="1">
        <v>1</v>
      </c>
      <c r="J85" s="1">
        <v>0.28000000000000003</v>
      </c>
      <c r="M85" t="str">
        <f t="shared" si="9"/>
        <v>Unique</v>
      </c>
      <c r="N85" t="str">
        <f t="shared" si="10"/>
        <v>Spring</v>
      </c>
      <c r="O85" t="str">
        <f t="shared" si="8"/>
        <v>2011</v>
      </c>
      <c r="P85" t="str">
        <f t="shared" si="15"/>
        <v>Working Day</v>
      </c>
      <c r="Q85" t="str">
        <f t="shared" si="11"/>
        <v>Tuesday</v>
      </c>
      <c r="R85" t="str">
        <f t="shared" si="12"/>
        <v>Clear</v>
      </c>
      <c r="S85" t="str">
        <f t="shared" si="13"/>
        <v>Afternoon</v>
      </c>
      <c r="T85" t="str">
        <f t="shared" si="14"/>
        <v>Cold</v>
      </c>
    </row>
    <row r="86" spans="1:20">
      <c r="A86" s="1">
        <v>85</v>
      </c>
      <c r="B86" s="2">
        <v>40547</v>
      </c>
      <c r="C86" s="1">
        <v>1</v>
      </c>
      <c r="D86" s="1">
        <v>0</v>
      </c>
      <c r="E86" s="1">
        <v>1</v>
      </c>
      <c r="F86" s="1">
        <v>16</v>
      </c>
      <c r="G86" s="1" t="b">
        <v>0</v>
      </c>
      <c r="H86" s="1">
        <v>2</v>
      </c>
      <c r="I86" s="1">
        <v>1</v>
      </c>
      <c r="J86" s="1">
        <v>0.3</v>
      </c>
      <c r="M86" t="str">
        <f t="shared" si="9"/>
        <v>Unique</v>
      </c>
      <c r="N86" t="str">
        <f t="shared" si="10"/>
        <v>Spring</v>
      </c>
      <c r="O86" t="str">
        <f t="shared" si="8"/>
        <v>2011</v>
      </c>
      <c r="P86" t="str">
        <f t="shared" si="15"/>
        <v>Working Day</v>
      </c>
      <c r="Q86" t="str">
        <f t="shared" si="11"/>
        <v>Tuesday</v>
      </c>
      <c r="R86" t="str">
        <f t="shared" si="12"/>
        <v>Clear</v>
      </c>
      <c r="S86" t="str">
        <f t="shared" si="13"/>
        <v>Afternoon</v>
      </c>
      <c r="T86" t="str">
        <f t="shared" si="14"/>
        <v>Normal</v>
      </c>
    </row>
    <row r="87" spans="1:20">
      <c r="A87" s="1">
        <v>86</v>
      </c>
      <c r="B87" s="2">
        <v>40547</v>
      </c>
      <c r="C87" s="1">
        <v>1</v>
      </c>
      <c r="D87" s="1">
        <v>0</v>
      </c>
      <c r="E87" s="1">
        <v>1</v>
      </c>
      <c r="F87" s="1">
        <v>17</v>
      </c>
      <c r="G87" s="1" t="b">
        <v>0</v>
      </c>
      <c r="H87" s="1">
        <v>2</v>
      </c>
      <c r="I87" s="1">
        <v>1</v>
      </c>
      <c r="J87" s="1">
        <v>0.28000000000000003</v>
      </c>
      <c r="M87" t="str">
        <f t="shared" si="9"/>
        <v>Unique</v>
      </c>
      <c r="N87" t="str">
        <f t="shared" si="10"/>
        <v>Spring</v>
      </c>
      <c r="O87" t="str">
        <f t="shared" si="8"/>
        <v>2011</v>
      </c>
      <c r="P87" t="str">
        <f t="shared" si="15"/>
        <v>Working Day</v>
      </c>
      <c r="Q87" t="str">
        <f t="shared" si="11"/>
        <v>Tuesday</v>
      </c>
      <c r="R87" t="str">
        <f t="shared" si="12"/>
        <v>Clear</v>
      </c>
      <c r="S87" t="str">
        <f t="shared" si="13"/>
        <v>Afternoon</v>
      </c>
      <c r="T87" t="str">
        <f t="shared" si="14"/>
        <v>Cold</v>
      </c>
    </row>
    <row r="88" spans="1:20">
      <c r="A88" s="1">
        <v>87</v>
      </c>
      <c r="B88" s="2">
        <v>40547</v>
      </c>
      <c r="C88" s="1">
        <v>1</v>
      </c>
      <c r="D88" s="1">
        <v>0</v>
      </c>
      <c r="E88" s="1">
        <v>1</v>
      </c>
      <c r="F88" s="1">
        <v>18</v>
      </c>
      <c r="G88" s="1" t="b">
        <v>0</v>
      </c>
      <c r="H88" s="1">
        <v>2</v>
      </c>
      <c r="I88" s="1">
        <v>1</v>
      </c>
      <c r="J88" s="1">
        <v>0.26</v>
      </c>
      <c r="M88" t="str">
        <f t="shared" si="9"/>
        <v>Unique</v>
      </c>
      <c r="N88" t="str">
        <f t="shared" si="10"/>
        <v>Spring</v>
      </c>
      <c r="O88" t="str">
        <f t="shared" si="8"/>
        <v>2011</v>
      </c>
      <c r="P88" t="str">
        <f t="shared" si="15"/>
        <v>Working Day</v>
      </c>
      <c r="Q88" t="str">
        <f t="shared" si="11"/>
        <v>Tuesday</v>
      </c>
      <c r="R88" t="str">
        <f t="shared" si="12"/>
        <v>Clear</v>
      </c>
      <c r="S88" t="str">
        <f t="shared" si="13"/>
        <v>Night</v>
      </c>
      <c r="T88" t="str">
        <f t="shared" si="14"/>
        <v>Cold</v>
      </c>
    </row>
    <row r="89" spans="1:20">
      <c r="A89" s="1">
        <v>88</v>
      </c>
      <c r="B89" s="2">
        <v>40547</v>
      </c>
      <c r="C89" s="1">
        <v>1</v>
      </c>
      <c r="D89" s="1">
        <v>0</v>
      </c>
      <c r="E89" s="1">
        <v>1</v>
      </c>
      <c r="F89" s="1">
        <v>19</v>
      </c>
      <c r="G89" s="1" t="b">
        <v>0</v>
      </c>
      <c r="H89" s="1">
        <v>2</v>
      </c>
      <c r="I89" s="1">
        <v>1</v>
      </c>
      <c r="J89" s="1">
        <v>0.24</v>
      </c>
      <c r="M89" t="str">
        <f t="shared" si="9"/>
        <v>Unique</v>
      </c>
      <c r="N89" t="str">
        <f t="shared" si="10"/>
        <v>Spring</v>
      </c>
      <c r="O89" t="str">
        <f t="shared" si="8"/>
        <v>2011</v>
      </c>
      <c r="P89" t="str">
        <f t="shared" si="15"/>
        <v>Working Day</v>
      </c>
      <c r="Q89" t="str">
        <f t="shared" si="11"/>
        <v>Tuesday</v>
      </c>
      <c r="R89" t="str">
        <f t="shared" si="12"/>
        <v>Clear</v>
      </c>
      <c r="S89" t="str">
        <f t="shared" si="13"/>
        <v>Night</v>
      </c>
      <c r="T89" t="str">
        <f t="shared" si="14"/>
        <v>Cold</v>
      </c>
    </row>
    <row r="90" spans="1:20">
      <c r="A90" s="1">
        <v>89</v>
      </c>
      <c r="B90" s="2">
        <v>40547</v>
      </c>
      <c r="C90" s="1">
        <v>1</v>
      </c>
      <c r="D90" s="1">
        <v>0</v>
      </c>
      <c r="E90" s="1">
        <v>1</v>
      </c>
      <c r="F90" s="1">
        <v>20</v>
      </c>
      <c r="G90" s="1" t="b">
        <v>0</v>
      </c>
      <c r="H90" s="1">
        <v>2</v>
      </c>
      <c r="I90" s="1">
        <v>1</v>
      </c>
      <c r="J90" s="1">
        <v>0.24</v>
      </c>
      <c r="M90" t="str">
        <f t="shared" si="9"/>
        <v>Unique</v>
      </c>
      <c r="N90" t="str">
        <f t="shared" si="10"/>
        <v>Spring</v>
      </c>
      <c r="O90" t="str">
        <f t="shared" si="8"/>
        <v>2011</v>
      </c>
      <c r="P90" t="str">
        <f t="shared" si="15"/>
        <v>Working Day</v>
      </c>
      <c r="Q90" t="str">
        <f t="shared" si="11"/>
        <v>Tuesday</v>
      </c>
      <c r="R90" t="str">
        <f t="shared" si="12"/>
        <v>Clear</v>
      </c>
      <c r="S90" t="str">
        <f t="shared" si="13"/>
        <v>Night</v>
      </c>
      <c r="T90" t="str">
        <f t="shared" si="14"/>
        <v>Cold</v>
      </c>
    </row>
    <row r="91" spans="1:20">
      <c r="A91" s="1">
        <v>90</v>
      </c>
      <c r="B91" s="2">
        <v>40547</v>
      </c>
      <c r="C91" s="1">
        <v>1</v>
      </c>
      <c r="D91" s="1">
        <v>0</v>
      </c>
      <c r="E91" s="1">
        <v>1</v>
      </c>
      <c r="F91" s="1">
        <v>21</v>
      </c>
      <c r="G91" s="1" t="b">
        <v>0</v>
      </c>
      <c r="H91" s="1">
        <v>2</v>
      </c>
      <c r="I91" s="1">
        <v>1</v>
      </c>
      <c r="J91" s="1">
        <v>0.22</v>
      </c>
      <c r="M91" t="str">
        <f t="shared" si="9"/>
        <v>Unique</v>
      </c>
      <c r="N91" t="str">
        <f t="shared" si="10"/>
        <v>Spring</v>
      </c>
      <c r="O91" t="str">
        <f t="shared" si="8"/>
        <v>2011</v>
      </c>
      <c r="P91" t="str">
        <f t="shared" si="15"/>
        <v>Working Day</v>
      </c>
      <c r="Q91" t="str">
        <f t="shared" si="11"/>
        <v>Tuesday</v>
      </c>
      <c r="R91" t="str">
        <f t="shared" si="12"/>
        <v>Clear</v>
      </c>
      <c r="S91" t="str">
        <f t="shared" si="13"/>
        <v>Night</v>
      </c>
      <c r="T91" t="str">
        <f t="shared" si="14"/>
        <v>Cold</v>
      </c>
    </row>
    <row r="92" spans="1:20">
      <c r="A92" s="1">
        <v>91</v>
      </c>
      <c r="B92" s="2">
        <v>40547</v>
      </c>
      <c r="C92" s="1">
        <v>1</v>
      </c>
      <c r="D92" s="1">
        <v>0</v>
      </c>
      <c r="E92" s="1">
        <v>1</v>
      </c>
      <c r="F92" s="1">
        <v>22</v>
      </c>
      <c r="G92" s="1" t="b">
        <v>0</v>
      </c>
      <c r="H92" s="1">
        <v>2</v>
      </c>
      <c r="I92" s="1">
        <v>1</v>
      </c>
      <c r="J92" s="1">
        <v>0.22</v>
      </c>
      <c r="M92" t="str">
        <f t="shared" si="9"/>
        <v>Unique</v>
      </c>
      <c r="N92" t="str">
        <f t="shared" si="10"/>
        <v>Spring</v>
      </c>
      <c r="O92" t="str">
        <f t="shared" si="8"/>
        <v>2011</v>
      </c>
      <c r="P92" t="str">
        <f t="shared" si="15"/>
        <v>Working Day</v>
      </c>
      <c r="Q92" t="str">
        <f t="shared" si="11"/>
        <v>Tuesday</v>
      </c>
      <c r="R92" t="str">
        <f t="shared" si="12"/>
        <v>Clear</v>
      </c>
      <c r="S92" t="str">
        <f t="shared" si="13"/>
        <v>Night</v>
      </c>
      <c r="T92" t="str">
        <f t="shared" si="14"/>
        <v>Cold</v>
      </c>
    </row>
    <row r="93" spans="1:20">
      <c r="A93" s="1">
        <v>92</v>
      </c>
      <c r="B93" s="2">
        <v>40547</v>
      </c>
      <c r="C93" s="1">
        <v>1</v>
      </c>
      <c r="D93" s="1">
        <v>0</v>
      </c>
      <c r="E93" s="1">
        <v>1</v>
      </c>
      <c r="F93" s="1">
        <v>23</v>
      </c>
      <c r="G93" s="1" t="b">
        <v>0</v>
      </c>
      <c r="H93" s="1">
        <v>2</v>
      </c>
      <c r="I93" s="1">
        <v>1</v>
      </c>
      <c r="J93" s="1">
        <v>0.2</v>
      </c>
      <c r="M93" t="str">
        <f t="shared" si="9"/>
        <v>Unique</v>
      </c>
      <c r="N93" t="str">
        <f t="shared" si="10"/>
        <v>Spring</v>
      </c>
      <c r="O93" t="str">
        <f t="shared" si="8"/>
        <v>2011</v>
      </c>
      <c r="P93" t="str">
        <f t="shared" si="15"/>
        <v>Working Day</v>
      </c>
      <c r="Q93" t="str">
        <f t="shared" si="11"/>
        <v>Tuesday</v>
      </c>
      <c r="R93" t="str">
        <f t="shared" si="12"/>
        <v>Clear</v>
      </c>
      <c r="S93" t="str">
        <f t="shared" si="13"/>
        <v>Night</v>
      </c>
      <c r="T93" t="str">
        <f t="shared" si="14"/>
        <v>Cold</v>
      </c>
    </row>
    <row r="94" spans="1:20">
      <c r="A94" s="1">
        <v>93</v>
      </c>
      <c r="B94" s="2">
        <v>40548</v>
      </c>
      <c r="C94" s="1">
        <v>1</v>
      </c>
      <c r="D94" s="1">
        <v>0</v>
      </c>
      <c r="E94" s="1">
        <v>1</v>
      </c>
      <c r="F94" s="1">
        <v>0</v>
      </c>
      <c r="G94" s="1" t="b">
        <v>0</v>
      </c>
      <c r="H94" s="1">
        <v>3</v>
      </c>
      <c r="I94" s="1">
        <v>1</v>
      </c>
      <c r="J94" s="1">
        <v>0.2</v>
      </c>
      <c r="M94" t="str">
        <f t="shared" si="9"/>
        <v>Unique</v>
      </c>
      <c r="N94" t="str">
        <f t="shared" si="10"/>
        <v>Spring</v>
      </c>
      <c r="O94" t="str">
        <f t="shared" si="8"/>
        <v>2011</v>
      </c>
      <c r="P94" t="str">
        <f t="shared" si="15"/>
        <v>Working Day</v>
      </c>
      <c r="Q94" t="str">
        <f t="shared" si="11"/>
        <v>Wednesday</v>
      </c>
      <c r="R94" t="str">
        <f t="shared" si="12"/>
        <v>Clear</v>
      </c>
      <c r="S94" t="str">
        <f t="shared" si="13"/>
        <v>Morning</v>
      </c>
      <c r="T94" t="str">
        <f t="shared" si="14"/>
        <v>Cold</v>
      </c>
    </row>
    <row r="95" spans="1:20">
      <c r="A95" s="1">
        <v>94</v>
      </c>
      <c r="B95" s="2">
        <v>40548</v>
      </c>
      <c r="C95" s="1">
        <v>1</v>
      </c>
      <c r="D95" s="1">
        <v>0</v>
      </c>
      <c r="E95" s="1">
        <v>1</v>
      </c>
      <c r="F95" s="1">
        <v>1</v>
      </c>
      <c r="G95" s="1" t="b">
        <v>0</v>
      </c>
      <c r="H95" s="1">
        <v>3</v>
      </c>
      <c r="I95" s="1">
        <v>1</v>
      </c>
      <c r="J95" s="1">
        <v>0.16</v>
      </c>
      <c r="M95" t="str">
        <f t="shared" si="9"/>
        <v>Unique</v>
      </c>
      <c r="N95" t="str">
        <f t="shared" si="10"/>
        <v>Spring</v>
      </c>
      <c r="O95" t="str">
        <f t="shared" si="8"/>
        <v>2011</v>
      </c>
      <c r="P95" t="str">
        <f t="shared" si="15"/>
        <v>Working Day</v>
      </c>
      <c r="Q95" t="str">
        <f t="shared" si="11"/>
        <v>Wednesday</v>
      </c>
      <c r="R95" t="str">
        <f t="shared" si="12"/>
        <v>Clear</v>
      </c>
      <c r="S95" t="str">
        <f t="shared" si="13"/>
        <v>Morning</v>
      </c>
      <c r="T95" t="str">
        <f t="shared" si="14"/>
        <v>Cold</v>
      </c>
    </row>
    <row r="96" spans="1:20">
      <c r="A96" s="1">
        <v>95</v>
      </c>
      <c r="B96" s="2">
        <v>40548</v>
      </c>
      <c r="C96" s="1">
        <v>1</v>
      </c>
      <c r="D96" s="1">
        <v>0</v>
      </c>
      <c r="E96" s="1">
        <v>1</v>
      </c>
      <c r="F96" s="1">
        <v>2</v>
      </c>
      <c r="G96" s="1" t="b">
        <v>0</v>
      </c>
      <c r="H96" s="1">
        <v>3</v>
      </c>
      <c r="I96" s="1">
        <v>1</v>
      </c>
      <c r="J96" s="1">
        <v>0.16</v>
      </c>
      <c r="M96" t="str">
        <f t="shared" si="9"/>
        <v>Unique</v>
      </c>
      <c r="N96" t="str">
        <f t="shared" si="10"/>
        <v>Spring</v>
      </c>
      <c r="O96" t="str">
        <f t="shared" si="8"/>
        <v>2011</v>
      </c>
      <c r="P96" t="str">
        <f t="shared" si="15"/>
        <v>Working Day</v>
      </c>
      <c r="Q96" t="str">
        <f t="shared" si="11"/>
        <v>Wednesday</v>
      </c>
      <c r="R96" t="str">
        <f t="shared" si="12"/>
        <v>Clear</v>
      </c>
      <c r="S96" t="str">
        <f t="shared" si="13"/>
        <v>Morning</v>
      </c>
      <c r="T96" t="str">
        <f t="shared" si="14"/>
        <v>Cold</v>
      </c>
    </row>
    <row r="97" spans="1:20">
      <c r="A97" s="1">
        <v>96</v>
      </c>
      <c r="B97" s="2">
        <v>40548</v>
      </c>
      <c r="C97" s="1">
        <v>1</v>
      </c>
      <c r="D97" s="1">
        <v>0</v>
      </c>
      <c r="E97" s="1">
        <v>1</v>
      </c>
      <c r="F97" s="1">
        <v>4</v>
      </c>
      <c r="G97" s="1" t="b">
        <v>0</v>
      </c>
      <c r="H97" s="1">
        <v>3</v>
      </c>
      <c r="I97" s="1">
        <v>1</v>
      </c>
      <c r="J97" s="1">
        <v>0.24</v>
      </c>
      <c r="M97" t="str">
        <f t="shared" si="9"/>
        <v>Unique</v>
      </c>
      <c r="N97" t="str">
        <f t="shared" si="10"/>
        <v>Spring</v>
      </c>
      <c r="O97" t="str">
        <f t="shared" si="8"/>
        <v>2011</v>
      </c>
      <c r="P97" t="str">
        <f t="shared" si="15"/>
        <v>Working Day</v>
      </c>
      <c r="Q97" t="str">
        <f t="shared" si="11"/>
        <v>Wednesday</v>
      </c>
      <c r="R97" t="str">
        <f t="shared" si="12"/>
        <v>Clear</v>
      </c>
      <c r="S97" t="str">
        <f t="shared" si="13"/>
        <v>Morning</v>
      </c>
      <c r="T97" t="str">
        <f t="shared" si="14"/>
        <v>Cold</v>
      </c>
    </row>
    <row r="98" spans="1:20">
      <c r="A98" s="1">
        <v>97</v>
      </c>
      <c r="B98" s="2">
        <v>40548</v>
      </c>
      <c r="C98" s="1">
        <v>1</v>
      </c>
      <c r="D98" s="1">
        <v>0</v>
      </c>
      <c r="E98" s="1">
        <v>1</v>
      </c>
      <c r="F98" s="1">
        <v>5</v>
      </c>
      <c r="G98" s="1" t="b">
        <v>0</v>
      </c>
      <c r="H98" s="1">
        <v>3</v>
      </c>
      <c r="I98" s="1">
        <v>1</v>
      </c>
      <c r="J98" s="1">
        <v>0.22</v>
      </c>
      <c r="M98" t="str">
        <f t="shared" si="9"/>
        <v>Unique</v>
      </c>
      <c r="N98" t="str">
        <f t="shared" si="10"/>
        <v>Spring</v>
      </c>
      <c r="O98" t="str">
        <f t="shared" si="8"/>
        <v>2011</v>
      </c>
      <c r="P98" t="str">
        <f t="shared" si="15"/>
        <v>Working Day</v>
      </c>
      <c r="Q98" t="str">
        <f t="shared" si="11"/>
        <v>Wednesday</v>
      </c>
      <c r="R98" t="str">
        <f t="shared" si="12"/>
        <v>Clear</v>
      </c>
      <c r="S98" t="str">
        <f t="shared" si="13"/>
        <v>Morning</v>
      </c>
      <c r="T98" t="str">
        <f t="shared" si="14"/>
        <v>Cold</v>
      </c>
    </row>
    <row r="99" spans="1:20">
      <c r="A99" s="1">
        <v>98</v>
      </c>
      <c r="B99" s="2">
        <v>40548</v>
      </c>
      <c r="C99" s="1">
        <v>1</v>
      </c>
      <c r="D99" s="1">
        <v>0</v>
      </c>
      <c r="E99" s="1">
        <v>1</v>
      </c>
      <c r="F99" s="1">
        <v>6</v>
      </c>
      <c r="G99" s="1" t="b">
        <v>0</v>
      </c>
      <c r="H99" s="1">
        <v>3</v>
      </c>
      <c r="I99" s="1">
        <v>1</v>
      </c>
      <c r="J99" s="1">
        <v>0.2</v>
      </c>
      <c r="M99" t="str">
        <f t="shared" si="9"/>
        <v>Unique</v>
      </c>
      <c r="N99" t="str">
        <f t="shared" si="10"/>
        <v>Spring</v>
      </c>
      <c r="O99" t="str">
        <f t="shared" si="8"/>
        <v>2011</v>
      </c>
      <c r="P99" t="str">
        <f t="shared" si="15"/>
        <v>Working Day</v>
      </c>
      <c r="Q99" t="str">
        <f t="shared" si="11"/>
        <v>Wednesday</v>
      </c>
      <c r="R99" t="str">
        <f t="shared" si="12"/>
        <v>Clear</v>
      </c>
      <c r="S99" t="str">
        <f t="shared" si="13"/>
        <v>Morning</v>
      </c>
      <c r="T99" t="str">
        <f t="shared" si="14"/>
        <v>Cold</v>
      </c>
    </row>
    <row r="100" spans="1:20">
      <c r="A100" s="1">
        <v>99</v>
      </c>
      <c r="B100" s="2">
        <v>40548</v>
      </c>
      <c r="C100" s="1">
        <v>1</v>
      </c>
      <c r="D100" s="1">
        <v>0</v>
      </c>
      <c r="E100" s="1">
        <v>1</v>
      </c>
      <c r="F100" s="1">
        <v>7</v>
      </c>
      <c r="G100" s="1" t="b">
        <v>0</v>
      </c>
      <c r="H100" s="1">
        <v>3</v>
      </c>
      <c r="I100" s="1">
        <v>1</v>
      </c>
      <c r="J100" s="1">
        <v>0.18</v>
      </c>
      <c r="M100" t="str">
        <f t="shared" si="9"/>
        <v>Unique</v>
      </c>
      <c r="N100" t="str">
        <f t="shared" si="10"/>
        <v>Spring</v>
      </c>
      <c r="O100" t="str">
        <f t="shared" si="8"/>
        <v>2011</v>
      </c>
      <c r="P100" t="str">
        <f t="shared" si="15"/>
        <v>Working Day</v>
      </c>
      <c r="Q100" t="str">
        <f t="shared" si="11"/>
        <v>Wednesday</v>
      </c>
      <c r="R100" t="str">
        <f t="shared" si="12"/>
        <v>Clear</v>
      </c>
      <c r="S100" t="str">
        <f t="shared" si="13"/>
        <v>Morning</v>
      </c>
      <c r="T100" t="str">
        <f t="shared" si="14"/>
        <v>Cold</v>
      </c>
    </row>
    <row r="101" spans="1:20">
      <c r="A101" s="1">
        <v>100</v>
      </c>
      <c r="B101" s="2">
        <v>40548</v>
      </c>
      <c r="C101" s="1">
        <v>1</v>
      </c>
      <c r="D101" s="1">
        <v>0</v>
      </c>
      <c r="E101" s="1">
        <v>1</v>
      </c>
      <c r="F101" s="1">
        <v>8</v>
      </c>
      <c r="G101" s="1" t="b">
        <v>0</v>
      </c>
      <c r="H101" s="1">
        <v>3</v>
      </c>
      <c r="I101" s="1">
        <v>1</v>
      </c>
      <c r="J101" s="1">
        <v>0.2</v>
      </c>
      <c r="M101" t="str">
        <f t="shared" si="9"/>
        <v>Unique</v>
      </c>
      <c r="N101" t="str">
        <f t="shared" si="10"/>
        <v>Spring</v>
      </c>
      <c r="O101" t="str">
        <f t="shared" si="8"/>
        <v>2011</v>
      </c>
      <c r="P101" t="str">
        <f t="shared" si="15"/>
        <v>Working Day</v>
      </c>
      <c r="Q101" t="str">
        <f t="shared" si="11"/>
        <v>Wednesday</v>
      </c>
      <c r="R101" t="str">
        <f t="shared" si="12"/>
        <v>Clear</v>
      </c>
      <c r="S101" t="str">
        <f t="shared" si="13"/>
        <v>Morning</v>
      </c>
      <c r="T101" t="str">
        <f t="shared" si="14"/>
        <v>Cold</v>
      </c>
    </row>
    <row r="102" spans="1:20">
      <c r="A102" s="1">
        <v>101</v>
      </c>
      <c r="B102" s="2">
        <v>40548</v>
      </c>
      <c r="C102" s="1">
        <v>1</v>
      </c>
      <c r="D102" s="1">
        <v>0</v>
      </c>
      <c r="E102" s="1">
        <v>1</v>
      </c>
      <c r="F102" s="1">
        <v>9</v>
      </c>
      <c r="G102" s="1" t="b">
        <v>0</v>
      </c>
      <c r="H102" s="1">
        <v>3</v>
      </c>
      <c r="I102" s="1">
        <v>1</v>
      </c>
      <c r="J102" s="1">
        <v>0.22</v>
      </c>
      <c r="M102" t="str">
        <f t="shared" si="9"/>
        <v>Unique</v>
      </c>
      <c r="N102" t="str">
        <f t="shared" si="10"/>
        <v>Spring</v>
      </c>
      <c r="O102" t="str">
        <f t="shared" si="8"/>
        <v>2011</v>
      </c>
      <c r="P102" t="str">
        <f t="shared" si="15"/>
        <v>Working Day</v>
      </c>
      <c r="Q102" t="str">
        <f t="shared" si="11"/>
        <v>Wednesday</v>
      </c>
      <c r="R102" t="str">
        <f t="shared" si="12"/>
        <v>Clear</v>
      </c>
      <c r="S102" t="str">
        <f t="shared" si="13"/>
        <v>Morning</v>
      </c>
      <c r="T102" t="str">
        <f t="shared" si="14"/>
        <v>Cold</v>
      </c>
    </row>
    <row r="103" spans="1:20">
      <c r="A103" s="1">
        <v>102</v>
      </c>
      <c r="B103" s="2">
        <v>40548</v>
      </c>
      <c r="C103" s="1">
        <v>1</v>
      </c>
      <c r="D103" s="1">
        <v>0</v>
      </c>
      <c r="E103" s="1">
        <v>1</v>
      </c>
      <c r="F103" s="1">
        <v>10</v>
      </c>
      <c r="G103" s="1" t="b">
        <v>0</v>
      </c>
      <c r="H103" s="1">
        <v>3</v>
      </c>
      <c r="I103" s="1">
        <v>1</v>
      </c>
      <c r="J103" s="1">
        <v>0.22</v>
      </c>
      <c r="M103" t="str">
        <f t="shared" si="9"/>
        <v>Unique</v>
      </c>
      <c r="N103" t="str">
        <f t="shared" si="10"/>
        <v>Spring</v>
      </c>
      <c r="O103" t="str">
        <f t="shared" si="8"/>
        <v>2011</v>
      </c>
      <c r="P103" t="str">
        <f t="shared" si="15"/>
        <v>Working Day</v>
      </c>
      <c r="Q103" t="str">
        <f t="shared" si="11"/>
        <v>Wednesday</v>
      </c>
      <c r="R103" t="str">
        <f t="shared" si="12"/>
        <v>Clear</v>
      </c>
      <c r="S103" t="str">
        <f t="shared" si="13"/>
        <v>Morning</v>
      </c>
      <c r="T103" t="str">
        <f t="shared" si="14"/>
        <v>Cold</v>
      </c>
    </row>
    <row r="104" spans="1:20">
      <c r="A104" s="1">
        <v>103</v>
      </c>
      <c r="B104" s="2">
        <v>40548</v>
      </c>
      <c r="C104" s="1">
        <v>1</v>
      </c>
      <c r="D104" s="1">
        <v>0</v>
      </c>
      <c r="E104" s="1">
        <v>1</v>
      </c>
      <c r="F104" s="1">
        <v>11</v>
      </c>
      <c r="G104" s="1" t="b">
        <v>0</v>
      </c>
      <c r="H104" s="1">
        <v>3</v>
      </c>
      <c r="I104" s="1">
        <v>1</v>
      </c>
      <c r="J104" s="1">
        <v>0.26</v>
      </c>
      <c r="M104" t="str">
        <f t="shared" si="9"/>
        <v>Unique</v>
      </c>
      <c r="N104" t="str">
        <f t="shared" si="10"/>
        <v>Spring</v>
      </c>
      <c r="O104" t="str">
        <f t="shared" si="8"/>
        <v>2011</v>
      </c>
      <c r="P104" t="str">
        <f t="shared" si="15"/>
        <v>Working Day</v>
      </c>
      <c r="Q104" t="str">
        <f t="shared" si="11"/>
        <v>Wednesday</v>
      </c>
      <c r="R104" t="str">
        <f t="shared" si="12"/>
        <v>Clear</v>
      </c>
      <c r="S104" t="str">
        <f t="shared" si="13"/>
        <v>Morning</v>
      </c>
      <c r="T104" t="str">
        <f t="shared" si="14"/>
        <v>Cold</v>
      </c>
    </row>
    <row r="105" spans="1:20">
      <c r="A105" s="1">
        <v>104</v>
      </c>
      <c r="B105" s="2">
        <v>40548</v>
      </c>
      <c r="C105" s="1">
        <v>1</v>
      </c>
      <c r="D105" s="1">
        <v>0</v>
      </c>
      <c r="E105" s="1">
        <v>1</v>
      </c>
      <c r="F105" s="1">
        <v>12</v>
      </c>
      <c r="G105" s="1" t="b">
        <v>0</v>
      </c>
      <c r="H105" s="1">
        <v>3</v>
      </c>
      <c r="I105" s="1">
        <v>1</v>
      </c>
      <c r="J105" s="1">
        <v>0.26</v>
      </c>
      <c r="M105" t="str">
        <f t="shared" si="9"/>
        <v>Unique</v>
      </c>
      <c r="N105" t="str">
        <f t="shared" si="10"/>
        <v>Spring</v>
      </c>
      <c r="O105" t="str">
        <f t="shared" si="8"/>
        <v>2011</v>
      </c>
      <c r="P105" t="str">
        <f t="shared" si="15"/>
        <v>Working Day</v>
      </c>
      <c r="Q105" t="str">
        <f t="shared" si="11"/>
        <v>Wednesday</v>
      </c>
      <c r="R105" t="str">
        <f t="shared" si="12"/>
        <v>Clear</v>
      </c>
      <c r="S105" t="str">
        <f t="shared" si="13"/>
        <v>Afternoon</v>
      </c>
      <c r="T105" t="str">
        <f t="shared" si="14"/>
        <v>Cold</v>
      </c>
    </row>
    <row r="106" spans="1:20">
      <c r="A106" s="1">
        <v>105</v>
      </c>
      <c r="B106" s="2">
        <v>40548</v>
      </c>
      <c r="C106" s="1">
        <v>1</v>
      </c>
      <c r="D106" s="1">
        <v>0</v>
      </c>
      <c r="E106" s="1">
        <v>1</v>
      </c>
      <c r="F106" s="1">
        <v>13</v>
      </c>
      <c r="G106" s="1" t="b">
        <v>0</v>
      </c>
      <c r="H106" s="1">
        <v>3</v>
      </c>
      <c r="I106" s="1">
        <v>1</v>
      </c>
      <c r="J106" s="1">
        <v>0.28000000000000003</v>
      </c>
      <c r="M106" t="str">
        <f t="shared" si="9"/>
        <v>Unique</v>
      </c>
      <c r="N106" t="str">
        <f t="shared" si="10"/>
        <v>Spring</v>
      </c>
      <c r="O106" t="str">
        <f t="shared" si="8"/>
        <v>2011</v>
      </c>
      <c r="P106" t="str">
        <f t="shared" si="15"/>
        <v>Working Day</v>
      </c>
      <c r="Q106" t="str">
        <f t="shared" si="11"/>
        <v>Wednesday</v>
      </c>
      <c r="R106" t="str">
        <f t="shared" si="12"/>
        <v>Clear</v>
      </c>
      <c r="S106" t="str">
        <f t="shared" si="13"/>
        <v>Afternoon</v>
      </c>
      <c r="T106" t="str">
        <f t="shared" si="14"/>
        <v>Cold</v>
      </c>
    </row>
    <row r="107" spans="1:20">
      <c r="A107" s="1">
        <v>106</v>
      </c>
      <c r="B107" s="2">
        <v>40548</v>
      </c>
      <c r="C107" s="1">
        <v>1</v>
      </c>
      <c r="D107" s="1">
        <v>0</v>
      </c>
      <c r="E107" s="1">
        <v>1</v>
      </c>
      <c r="F107" s="1">
        <v>14</v>
      </c>
      <c r="G107" s="1" t="b">
        <v>0</v>
      </c>
      <c r="H107" s="1">
        <v>3</v>
      </c>
      <c r="I107" s="1">
        <v>1</v>
      </c>
      <c r="J107" s="1">
        <v>0.3</v>
      </c>
      <c r="M107" t="str">
        <f t="shared" si="9"/>
        <v>Unique</v>
      </c>
      <c r="N107" t="str">
        <f t="shared" si="10"/>
        <v>Spring</v>
      </c>
      <c r="O107" t="str">
        <f t="shared" si="8"/>
        <v>2011</v>
      </c>
      <c r="P107" t="str">
        <f t="shared" si="15"/>
        <v>Working Day</v>
      </c>
      <c r="Q107" t="str">
        <f t="shared" si="11"/>
        <v>Wednesday</v>
      </c>
      <c r="R107" t="str">
        <f t="shared" si="12"/>
        <v>Clear</v>
      </c>
      <c r="S107" t="str">
        <f t="shared" si="13"/>
        <v>Afternoon</v>
      </c>
      <c r="T107" t="str">
        <f t="shared" si="14"/>
        <v>Normal</v>
      </c>
    </row>
    <row r="108" spans="1:20">
      <c r="A108" s="1">
        <v>107</v>
      </c>
      <c r="B108" s="2">
        <v>40548</v>
      </c>
      <c r="C108" s="1">
        <v>1</v>
      </c>
      <c r="D108" s="1">
        <v>0</v>
      </c>
      <c r="E108" s="1">
        <v>1</v>
      </c>
      <c r="F108" s="1">
        <v>15</v>
      </c>
      <c r="G108" s="1" t="b">
        <v>0</v>
      </c>
      <c r="H108" s="1">
        <v>3</v>
      </c>
      <c r="I108" s="1">
        <v>1</v>
      </c>
      <c r="J108" s="1">
        <v>0.3</v>
      </c>
      <c r="M108" t="str">
        <f t="shared" si="9"/>
        <v>Unique</v>
      </c>
      <c r="N108" t="str">
        <f t="shared" si="10"/>
        <v>Spring</v>
      </c>
      <c r="O108" t="str">
        <f t="shared" si="8"/>
        <v>2011</v>
      </c>
      <c r="P108" t="str">
        <f t="shared" si="15"/>
        <v>Working Day</v>
      </c>
      <c r="Q108" t="str">
        <f t="shared" si="11"/>
        <v>Wednesday</v>
      </c>
      <c r="R108" t="str">
        <f t="shared" si="12"/>
        <v>Clear</v>
      </c>
      <c r="S108" t="str">
        <f t="shared" si="13"/>
        <v>Afternoon</v>
      </c>
      <c r="T108" t="str">
        <f t="shared" si="14"/>
        <v>Normal</v>
      </c>
    </row>
    <row r="109" spans="1:20">
      <c r="A109" s="1">
        <v>108</v>
      </c>
      <c r="B109" s="2">
        <v>40548</v>
      </c>
      <c r="C109" s="1">
        <v>1</v>
      </c>
      <c r="D109" s="1">
        <v>0</v>
      </c>
      <c r="E109" s="1">
        <v>1</v>
      </c>
      <c r="F109" s="1">
        <v>16</v>
      </c>
      <c r="G109" s="1" t="b">
        <v>0</v>
      </c>
      <c r="H109" s="1">
        <v>3</v>
      </c>
      <c r="I109" s="1">
        <v>1</v>
      </c>
      <c r="J109" s="1">
        <v>0.3</v>
      </c>
      <c r="M109" t="str">
        <f t="shared" si="9"/>
        <v>Unique</v>
      </c>
      <c r="N109" t="str">
        <f t="shared" si="10"/>
        <v>Spring</v>
      </c>
      <c r="O109" t="str">
        <f t="shared" si="8"/>
        <v>2011</v>
      </c>
      <c r="P109" t="str">
        <f t="shared" si="15"/>
        <v>Working Day</v>
      </c>
      <c r="Q109" t="str">
        <f t="shared" si="11"/>
        <v>Wednesday</v>
      </c>
      <c r="R109" t="str">
        <f t="shared" si="12"/>
        <v>Clear</v>
      </c>
      <c r="S109" t="str">
        <f t="shared" si="13"/>
        <v>Afternoon</v>
      </c>
      <c r="T109" t="str">
        <f t="shared" si="14"/>
        <v>Normal</v>
      </c>
    </row>
    <row r="110" spans="1:20">
      <c r="A110" s="1">
        <v>109</v>
      </c>
      <c r="B110" s="2">
        <v>40548</v>
      </c>
      <c r="C110" s="1">
        <v>1</v>
      </c>
      <c r="D110" s="1">
        <v>0</v>
      </c>
      <c r="E110" s="1">
        <v>1</v>
      </c>
      <c r="F110" s="1">
        <v>17</v>
      </c>
      <c r="G110" s="1" t="b">
        <v>0</v>
      </c>
      <c r="H110" s="1">
        <v>3</v>
      </c>
      <c r="I110" s="1">
        <v>1</v>
      </c>
      <c r="J110" s="1">
        <v>0.24</v>
      </c>
      <c r="M110" t="str">
        <f t="shared" si="9"/>
        <v>Unique</v>
      </c>
      <c r="N110" t="str">
        <f t="shared" si="10"/>
        <v>Spring</v>
      </c>
      <c r="O110" t="str">
        <f t="shared" si="8"/>
        <v>2011</v>
      </c>
      <c r="P110" t="str">
        <f t="shared" si="15"/>
        <v>Working Day</v>
      </c>
      <c r="Q110" t="str">
        <f t="shared" si="11"/>
        <v>Wednesday</v>
      </c>
      <c r="R110" t="str">
        <f t="shared" si="12"/>
        <v>Clear</v>
      </c>
      <c r="S110" t="str">
        <f t="shared" si="13"/>
        <v>Afternoon</v>
      </c>
      <c r="T110" t="str">
        <f t="shared" si="14"/>
        <v>Cold</v>
      </c>
    </row>
    <row r="111" spans="1:20">
      <c r="A111" s="1">
        <v>110</v>
      </c>
      <c r="B111" s="2">
        <v>40548</v>
      </c>
      <c r="C111" s="1">
        <v>1</v>
      </c>
      <c r="D111" s="1">
        <v>0</v>
      </c>
      <c r="E111" s="1">
        <v>1</v>
      </c>
      <c r="F111" s="1">
        <v>18</v>
      </c>
      <c r="G111" s="1" t="b">
        <v>0</v>
      </c>
      <c r="H111" s="1">
        <v>3</v>
      </c>
      <c r="I111" s="1">
        <v>1</v>
      </c>
      <c r="J111" s="1">
        <v>0.24</v>
      </c>
      <c r="M111" t="str">
        <f t="shared" si="9"/>
        <v>Unique</v>
      </c>
      <c r="N111" t="str">
        <f t="shared" si="10"/>
        <v>Spring</v>
      </c>
      <c r="O111" t="str">
        <f t="shared" si="8"/>
        <v>2011</v>
      </c>
      <c r="P111" t="str">
        <f t="shared" si="15"/>
        <v>Working Day</v>
      </c>
      <c r="Q111" t="str">
        <f t="shared" si="11"/>
        <v>Wednesday</v>
      </c>
      <c r="R111" t="str">
        <f t="shared" si="12"/>
        <v>Clear</v>
      </c>
      <c r="S111" t="str">
        <f t="shared" si="13"/>
        <v>Night</v>
      </c>
      <c r="T111" t="str">
        <f t="shared" si="14"/>
        <v>Cold</v>
      </c>
    </row>
    <row r="112" spans="1:20">
      <c r="A112" s="1">
        <v>111</v>
      </c>
      <c r="B112" s="2">
        <v>40548</v>
      </c>
      <c r="C112" s="1">
        <v>1</v>
      </c>
      <c r="D112" s="1">
        <v>0</v>
      </c>
      <c r="E112" s="1">
        <v>1</v>
      </c>
      <c r="F112" s="1">
        <v>19</v>
      </c>
      <c r="G112" s="1" t="b">
        <v>0</v>
      </c>
      <c r="H112" s="1">
        <v>3</v>
      </c>
      <c r="I112" s="1">
        <v>1</v>
      </c>
      <c r="J112" s="1">
        <v>0.24</v>
      </c>
      <c r="M112" t="str">
        <f t="shared" si="9"/>
        <v>Unique</v>
      </c>
      <c r="N112" t="str">
        <f t="shared" si="10"/>
        <v>Spring</v>
      </c>
      <c r="O112" t="str">
        <f t="shared" si="8"/>
        <v>2011</v>
      </c>
      <c r="P112" t="str">
        <f t="shared" si="15"/>
        <v>Working Day</v>
      </c>
      <c r="Q112" t="str">
        <f t="shared" si="11"/>
        <v>Wednesday</v>
      </c>
      <c r="R112" t="str">
        <f t="shared" si="12"/>
        <v>Clear</v>
      </c>
      <c r="S112" t="str">
        <f t="shared" si="13"/>
        <v>Night</v>
      </c>
      <c r="T112" t="str">
        <f t="shared" si="14"/>
        <v>Cold</v>
      </c>
    </row>
    <row r="113" spans="1:20">
      <c r="A113" s="1">
        <v>112</v>
      </c>
      <c r="B113" s="2">
        <v>40548</v>
      </c>
      <c r="C113" s="1">
        <v>1</v>
      </c>
      <c r="D113" s="1">
        <v>0</v>
      </c>
      <c r="E113" s="1">
        <v>1</v>
      </c>
      <c r="F113" s="1">
        <v>20</v>
      </c>
      <c r="G113" s="1" t="b">
        <v>0</v>
      </c>
      <c r="H113" s="1">
        <v>3</v>
      </c>
      <c r="I113" s="1">
        <v>1</v>
      </c>
      <c r="J113" s="1">
        <v>0.22</v>
      </c>
      <c r="M113" t="str">
        <f t="shared" si="9"/>
        <v>Unique</v>
      </c>
      <c r="N113" t="str">
        <f t="shared" si="10"/>
        <v>Spring</v>
      </c>
      <c r="O113" t="str">
        <f t="shared" si="8"/>
        <v>2011</v>
      </c>
      <c r="P113" t="str">
        <f t="shared" si="15"/>
        <v>Working Day</v>
      </c>
      <c r="Q113" t="str">
        <f t="shared" si="11"/>
        <v>Wednesday</v>
      </c>
      <c r="R113" t="str">
        <f t="shared" si="12"/>
        <v>Clear</v>
      </c>
      <c r="S113" t="str">
        <f t="shared" si="13"/>
        <v>Night</v>
      </c>
      <c r="T113" t="str">
        <f t="shared" si="14"/>
        <v>Cold</v>
      </c>
    </row>
    <row r="114" spans="1:20">
      <c r="A114" s="1">
        <v>113</v>
      </c>
      <c r="B114" s="2">
        <v>40548</v>
      </c>
      <c r="C114" s="1">
        <v>1</v>
      </c>
      <c r="D114" s="1">
        <v>0</v>
      </c>
      <c r="E114" s="1">
        <v>1</v>
      </c>
      <c r="F114" s="1">
        <v>21</v>
      </c>
      <c r="G114" s="1" t="b">
        <v>0</v>
      </c>
      <c r="H114" s="1">
        <v>3</v>
      </c>
      <c r="I114" s="1">
        <v>1</v>
      </c>
      <c r="J114" s="1">
        <v>0.2</v>
      </c>
      <c r="M114" t="str">
        <f t="shared" si="9"/>
        <v>Unique</v>
      </c>
      <c r="N114" t="str">
        <f t="shared" si="10"/>
        <v>Spring</v>
      </c>
      <c r="O114" t="str">
        <f t="shared" si="8"/>
        <v>2011</v>
      </c>
      <c r="P114" t="str">
        <f t="shared" si="15"/>
        <v>Working Day</v>
      </c>
      <c r="Q114" t="str">
        <f t="shared" si="11"/>
        <v>Wednesday</v>
      </c>
      <c r="R114" t="str">
        <f t="shared" si="12"/>
        <v>Clear</v>
      </c>
      <c r="S114" t="str">
        <f t="shared" si="13"/>
        <v>Night</v>
      </c>
      <c r="T114" t="str">
        <f t="shared" si="14"/>
        <v>Cold</v>
      </c>
    </row>
    <row r="115" spans="1:20">
      <c r="A115" s="1">
        <v>114</v>
      </c>
      <c r="B115" s="2">
        <v>40548</v>
      </c>
      <c r="C115" s="1">
        <v>1</v>
      </c>
      <c r="D115" s="1">
        <v>0</v>
      </c>
      <c r="E115" s="1">
        <v>1</v>
      </c>
      <c r="F115" s="1">
        <v>22</v>
      </c>
      <c r="G115" s="1" t="b">
        <v>0</v>
      </c>
      <c r="H115" s="1">
        <v>3</v>
      </c>
      <c r="I115" s="1">
        <v>1</v>
      </c>
      <c r="J115" s="1">
        <v>0.18</v>
      </c>
      <c r="M115" t="str">
        <f t="shared" si="9"/>
        <v>Unique</v>
      </c>
      <c r="N115" t="str">
        <f t="shared" si="10"/>
        <v>Spring</v>
      </c>
      <c r="O115" t="str">
        <f t="shared" si="8"/>
        <v>2011</v>
      </c>
      <c r="P115" t="str">
        <f t="shared" si="15"/>
        <v>Working Day</v>
      </c>
      <c r="Q115" t="str">
        <f t="shared" si="11"/>
        <v>Wednesday</v>
      </c>
      <c r="R115" t="str">
        <f t="shared" si="12"/>
        <v>Clear</v>
      </c>
      <c r="S115" t="str">
        <f t="shared" si="13"/>
        <v>Night</v>
      </c>
      <c r="T115" t="str">
        <f t="shared" si="14"/>
        <v>Cold</v>
      </c>
    </row>
    <row r="116" spans="1:20">
      <c r="A116" s="1">
        <v>115</v>
      </c>
      <c r="B116" s="2">
        <v>40548</v>
      </c>
      <c r="C116" s="1">
        <v>1</v>
      </c>
      <c r="D116" s="1">
        <v>0</v>
      </c>
      <c r="E116" s="1">
        <v>1</v>
      </c>
      <c r="F116" s="1">
        <v>23</v>
      </c>
      <c r="G116" s="1" t="b">
        <v>0</v>
      </c>
      <c r="H116" s="1">
        <v>3</v>
      </c>
      <c r="I116" s="1">
        <v>1</v>
      </c>
      <c r="J116" s="1">
        <v>0.2</v>
      </c>
      <c r="M116" t="str">
        <f t="shared" si="9"/>
        <v>Unique</v>
      </c>
      <c r="N116" t="str">
        <f t="shared" si="10"/>
        <v>Spring</v>
      </c>
      <c r="O116" t="str">
        <f t="shared" si="8"/>
        <v>2011</v>
      </c>
      <c r="P116" t="str">
        <f t="shared" si="15"/>
        <v>Working Day</v>
      </c>
      <c r="Q116" t="str">
        <f t="shared" si="11"/>
        <v>Wednesday</v>
      </c>
      <c r="R116" t="str">
        <f t="shared" si="12"/>
        <v>Clear</v>
      </c>
      <c r="S116" t="str">
        <f t="shared" si="13"/>
        <v>Night</v>
      </c>
      <c r="T116" t="str">
        <f t="shared" si="14"/>
        <v>Cold</v>
      </c>
    </row>
    <row r="117" spans="1:20">
      <c r="A117" s="1">
        <v>116</v>
      </c>
      <c r="B117" s="2">
        <v>40549</v>
      </c>
      <c r="C117" s="1">
        <v>1</v>
      </c>
      <c r="D117" s="1">
        <v>0</v>
      </c>
      <c r="E117" s="1">
        <v>1</v>
      </c>
      <c r="F117" s="1">
        <v>0</v>
      </c>
      <c r="G117" s="1" t="b">
        <v>0</v>
      </c>
      <c r="H117" s="1">
        <v>4</v>
      </c>
      <c r="I117" s="1">
        <v>1</v>
      </c>
      <c r="J117" s="1">
        <v>0.18</v>
      </c>
      <c r="M117" t="str">
        <f t="shared" si="9"/>
        <v>Unique</v>
      </c>
      <c r="N117" t="str">
        <f t="shared" si="10"/>
        <v>Spring</v>
      </c>
      <c r="O117" t="str">
        <f t="shared" si="8"/>
        <v>2011</v>
      </c>
      <c r="P117" t="str">
        <f t="shared" si="15"/>
        <v>Working Day</v>
      </c>
      <c r="Q117" t="str">
        <f t="shared" si="11"/>
        <v>Thursday</v>
      </c>
      <c r="R117" t="str">
        <f t="shared" si="12"/>
        <v>Clear</v>
      </c>
      <c r="S117" t="str">
        <f t="shared" si="13"/>
        <v>Morning</v>
      </c>
      <c r="T117" t="str">
        <f t="shared" si="14"/>
        <v>Cold</v>
      </c>
    </row>
    <row r="118" spans="1:20">
      <c r="A118" s="1">
        <v>117</v>
      </c>
      <c r="B118" s="2">
        <v>40549</v>
      </c>
      <c r="C118" s="1">
        <v>1</v>
      </c>
      <c r="D118" s="1">
        <v>0</v>
      </c>
      <c r="E118" s="1">
        <v>1</v>
      </c>
      <c r="F118" s="1">
        <v>1</v>
      </c>
      <c r="G118" s="1" t="b">
        <v>0</v>
      </c>
      <c r="H118" s="1">
        <v>4</v>
      </c>
      <c r="I118" s="1">
        <v>1</v>
      </c>
      <c r="J118" s="1">
        <v>0.16</v>
      </c>
      <c r="M118" t="str">
        <f t="shared" si="9"/>
        <v>Unique</v>
      </c>
      <c r="N118" t="str">
        <f t="shared" si="10"/>
        <v>Spring</v>
      </c>
      <c r="O118" t="str">
        <f t="shared" si="8"/>
        <v>2011</v>
      </c>
      <c r="P118" t="str">
        <f t="shared" si="15"/>
        <v>Working Day</v>
      </c>
      <c r="Q118" t="str">
        <f t="shared" si="11"/>
        <v>Thursday</v>
      </c>
      <c r="R118" t="str">
        <f t="shared" si="12"/>
        <v>Clear</v>
      </c>
      <c r="S118" t="str">
        <f t="shared" si="13"/>
        <v>Morning</v>
      </c>
      <c r="T118" t="str">
        <f t="shared" si="14"/>
        <v>Cold</v>
      </c>
    </row>
    <row r="119" spans="1:20">
      <c r="A119" s="1">
        <v>118</v>
      </c>
      <c r="B119" s="2">
        <v>40549</v>
      </c>
      <c r="C119" s="1">
        <v>1</v>
      </c>
      <c r="D119" s="1">
        <v>0</v>
      </c>
      <c r="E119" s="1">
        <v>1</v>
      </c>
      <c r="F119" s="1">
        <v>2</v>
      </c>
      <c r="G119" s="1" t="b">
        <v>0</v>
      </c>
      <c r="H119" s="1">
        <v>4</v>
      </c>
      <c r="I119" s="1">
        <v>1</v>
      </c>
      <c r="J119" s="1">
        <v>0.16</v>
      </c>
      <c r="M119" t="str">
        <f t="shared" si="9"/>
        <v>Unique</v>
      </c>
      <c r="N119" t="str">
        <f t="shared" si="10"/>
        <v>Spring</v>
      </c>
      <c r="O119" t="str">
        <f t="shared" si="8"/>
        <v>2011</v>
      </c>
      <c r="P119" t="str">
        <f t="shared" si="15"/>
        <v>Working Day</v>
      </c>
      <c r="Q119" t="str">
        <f t="shared" si="11"/>
        <v>Thursday</v>
      </c>
      <c r="R119" t="str">
        <f t="shared" si="12"/>
        <v>Clear</v>
      </c>
      <c r="S119" t="str">
        <f t="shared" si="13"/>
        <v>Morning</v>
      </c>
      <c r="T119" t="str">
        <f t="shared" si="14"/>
        <v>Cold</v>
      </c>
    </row>
    <row r="120" spans="1:20">
      <c r="A120" s="1">
        <v>119</v>
      </c>
      <c r="B120" s="2">
        <v>40549</v>
      </c>
      <c r="C120" s="1">
        <v>1</v>
      </c>
      <c r="D120" s="1">
        <v>0</v>
      </c>
      <c r="E120" s="1">
        <v>1</v>
      </c>
      <c r="F120" s="1">
        <v>4</v>
      </c>
      <c r="G120" s="1" t="b">
        <v>0</v>
      </c>
      <c r="H120" s="1">
        <v>4</v>
      </c>
      <c r="I120" s="1">
        <v>2</v>
      </c>
      <c r="J120" s="1">
        <v>0.16</v>
      </c>
      <c r="M120" t="str">
        <f t="shared" si="9"/>
        <v>Unique</v>
      </c>
      <c r="N120" t="str">
        <f t="shared" si="10"/>
        <v>Spring</v>
      </c>
      <c r="O120" t="str">
        <f t="shared" si="8"/>
        <v>2011</v>
      </c>
      <c r="P120" t="str">
        <f t="shared" si="15"/>
        <v>Working Day</v>
      </c>
      <c r="Q120" t="str">
        <f t="shared" si="11"/>
        <v>Thursday</v>
      </c>
      <c r="R120" t="str">
        <f t="shared" si="12"/>
        <v>Cloudy</v>
      </c>
      <c r="S120" t="str">
        <f t="shared" si="13"/>
        <v>Morning</v>
      </c>
      <c r="T120" t="str">
        <f t="shared" si="14"/>
        <v>Cold</v>
      </c>
    </row>
    <row r="121" spans="1:20">
      <c r="A121" s="1">
        <v>120</v>
      </c>
      <c r="B121" s="2">
        <v>40549</v>
      </c>
      <c r="C121" s="1">
        <v>1</v>
      </c>
      <c r="D121" s="1">
        <v>0</v>
      </c>
      <c r="E121" s="1">
        <v>1</v>
      </c>
      <c r="F121" s="1">
        <v>5</v>
      </c>
      <c r="G121" s="1" t="b">
        <v>0</v>
      </c>
      <c r="H121" s="1">
        <v>4</v>
      </c>
      <c r="I121" s="1">
        <v>2</v>
      </c>
      <c r="J121" s="1">
        <v>0.14000000000000001</v>
      </c>
      <c r="M121" t="str">
        <f t="shared" si="9"/>
        <v>Unique</v>
      </c>
      <c r="N121" t="str">
        <f t="shared" si="10"/>
        <v>Spring</v>
      </c>
      <c r="O121" t="str">
        <f t="shared" si="8"/>
        <v>2011</v>
      </c>
      <c r="P121" t="str">
        <f t="shared" si="15"/>
        <v>Working Day</v>
      </c>
      <c r="Q121" t="str">
        <f t="shared" si="11"/>
        <v>Thursday</v>
      </c>
      <c r="R121" t="str">
        <f t="shared" si="12"/>
        <v>Cloudy</v>
      </c>
      <c r="S121" t="str">
        <f t="shared" si="13"/>
        <v>Morning</v>
      </c>
      <c r="T121" t="str">
        <f t="shared" si="14"/>
        <v>Cold</v>
      </c>
    </row>
    <row r="122" spans="1:20">
      <c r="A122" s="1">
        <v>121</v>
      </c>
      <c r="B122" s="2">
        <v>40549</v>
      </c>
      <c r="C122" s="1">
        <v>1</v>
      </c>
      <c r="D122" s="1">
        <v>0</v>
      </c>
      <c r="E122" s="1">
        <v>1</v>
      </c>
      <c r="F122" s="1">
        <v>6</v>
      </c>
      <c r="G122" s="1" t="b">
        <v>0</v>
      </c>
      <c r="H122" s="1">
        <v>4</v>
      </c>
      <c r="I122" s="1">
        <v>2</v>
      </c>
      <c r="J122" s="1">
        <v>0.14000000000000001</v>
      </c>
      <c r="M122" t="str">
        <f t="shared" si="9"/>
        <v>Unique</v>
      </c>
      <c r="N122" t="str">
        <f t="shared" si="10"/>
        <v>Spring</v>
      </c>
      <c r="O122" t="str">
        <f t="shared" si="8"/>
        <v>2011</v>
      </c>
      <c r="P122" t="str">
        <f t="shared" si="15"/>
        <v>Working Day</v>
      </c>
      <c r="Q122" t="str">
        <f t="shared" si="11"/>
        <v>Thursday</v>
      </c>
      <c r="R122" t="str">
        <f t="shared" si="12"/>
        <v>Cloudy</v>
      </c>
      <c r="S122" t="str">
        <f t="shared" si="13"/>
        <v>Morning</v>
      </c>
      <c r="T122" t="str">
        <f t="shared" si="14"/>
        <v>Cold</v>
      </c>
    </row>
    <row r="123" spans="1:20">
      <c r="A123" s="1">
        <v>122</v>
      </c>
      <c r="B123" s="2">
        <v>40549</v>
      </c>
      <c r="C123" s="1">
        <v>1</v>
      </c>
      <c r="D123" s="1">
        <v>0</v>
      </c>
      <c r="E123" s="1">
        <v>1</v>
      </c>
      <c r="F123" s="1">
        <v>7</v>
      </c>
      <c r="G123" s="1" t="b">
        <v>0</v>
      </c>
      <c r="H123" s="1">
        <v>4</v>
      </c>
      <c r="I123" s="1">
        <v>2</v>
      </c>
      <c r="J123" s="1">
        <v>0.16</v>
      </c>
      <c r="M123" t="str">
        <f t="shared" si="9"/>
        <v>Unique</v>
      </c>
      <c r="N123" t="str">
        <f t="shared" si="10"/>
        <v>Spring</v>
      </c>
      <c r="O123" t="str">
        <f t="shared" si="8"/>
        <v>2011</v>
      </c>
      <c r="P123" t="str">
        <f t="shared" si="15"/>
        <v>Working Day</v>
      </c>
      <c r="Q123" t="str">
        <f t="shared" si="11"/>
        <v>Thursday</v>
      </c>
      <c r="R123" t="str">
        <f t="shared" si="12"/>
        <v>Cloudy</v>
      </c>
      <c r="S123" t="str">
        <f t="shared" si="13"/>
        <v>Morning</v>
      </c>
      <c r="T123" t="str">
        <f t="shared" si="14"/>
        <v>Cold</v>
      </c>
    </row>
    <row r="124" spans="1:20">
      <c r="A124" s="1">
        <v>123</v>
      </c>
      <c r="B124" s="2">
        <v>40549</v>
      </c>
      <c r="C124" s="1">
        <v>1</v>
      </c>
      <c r="D124" s="1">
        <v>0</v>
      </c>
      <c r="E124" s="1">
        <v>1</v>
      </c>
      <c r="F124" s="1">
        <v>8</v>
      </c>
      <c r="G124" s="1" t="b">
        <v>0</v>
      </c>
      <c r="H124" s="1">
        <v>4</v>
      </c>
      <c r="I124" s="1">
        <v>1</v>
      </c>
      <c r="J124" s="1">
        <v>0.16</v>
      </c>
      <c r="M124" t="str">
        <f t="shared" si="9"/>
        <v>Unique</v>
      </c>
      <c r="N124" t="str">
        <f t="shared" si="10"/>
        <v>Spring</v>
      </c>
      <c r="O124" t="str">
        <f t="shared" si="8"/>
        <v>2011</v>
      </c>
      <c r="P124" t="str">
        <f t="shared" si="15"/>
        <v>Working Day</v>
      </c>
      <c r="Q124" t="str">
        <f t="shared" si="11"/>
        <v>Thursday</v>
      </c>
      <c r="R124" t="str">
        <f t="shared" si="12"/>
        <v>Clear</v>
      </c>
      <c r="S124" t="str">
        <f t="shared" si="13"/>
        <v>Morning</v>
      </c>
      <c r="T124" t="str">
        <f t="shared" si="14"/>
        <v>Cold</v>
      </c>
    </row>
    <row r="125" spans="1:20">
      <c r="A125" s="1">
        <v>124</v>
      </c>
      <c r="B125" s="2">
        <v>40549</v>
      </c>
      <c r="C125" s="1">
        <v>1</v>
      </c>
      <c r="D125" s="1">
        <v>0</v>
      </c>
      <c r="E125" s="1">
        <v>1</v>
      </c>
      <c r="F125" s="1">
        <v>9</v>
      </c>
      <c r="G125" s="1" t="b">
        <v>0</v>
      </c>
      <c r="H125" s="1">
        <v>4</v>
      </c>
      <c r="I125" s="1">
        <v>2</v>
      </c>
      <c r="J125" s="1">
        <v>0.18</v>
      </c>
      <c r="M125" t="str">
        <f t="shared" si="9"/>
        <v>Unique</v>
      </c>
      <c r="N125" t="str">
        <f t="shared" si="10"/>
        <v>Spring</v>
      </c>
      <c r="O125" t="str">
        <f t="shared" si="8"/>
        <v>2011</v>
      </c>
      <c r="P125" t="str">
        <f t="shared" si="15"/>
        <v>Working Day</v>
      </c>
      <c r="Q125" t="str">
        <f t="shared" si="11"/>
        <v>Thursday</v>
      </c>
      <c r="R125" t="str">
        <f t="shared" si="12"/>
        <v>Cloudy</v>
      </c>
      <c r="S125" t="str">
        <f t="shared" si="13"/>
        <v>Morning</v>
      </c>
      <c r="T125" t="str">
        <f t="shared" si="14"/>
        <v>Cold</v>
      </c>
    </row>
    <row r="126" spans="1:20">
      <c r="A126" s="1">
        <v>125</v>
      </c>
      <c r="B126" s="2">
        <v>40549</v>
      </c>
      <c r="C126" s="1">
        <v>1</v>
      </c>
      <c r="D126" s="1">
        <v>0</v>
      </c>
      <c r="E126" s="1">
        <v>1</v>
      </c>
      <c r="F126" s="1">
        <v>10</v>
      </c>
      <c r="G126" s="1" t="b">
        <v>0</v>
      </c>
      <c r="H126" s="1">
        <v>4</v>
      </c>
      <c r="I126" s="1">
        <v>1</v>
      </c>
      <c r="J126" s="1">
        <v>0.2</v>
      </c>
      <c r="M126" t="str">
        <f t="shared" si="9"/>
        <v>Unique</v>
      </c>
      <c r="N126" t="str">
        <f t="shared" si="10"/>
        <v>Spring</v>
      </c>
      <c r="O126" t="str">
        <f t="shared" si="8"/>
        <v>2011</v>
      </c>
      <c r="P126" t="str">
        <f t="shared" si="15"/>
        <v>Working Day</v>
      </c>
      <c r="Q126" t="str">
        <f t="shared" si="11"/>
        <v>Thursday</v>
      </c>
      <c r="R126" t="str">
        <f t="shared" si="12"/>
        <v>Clear</v>
      </c>
      <c r="S126" t="str">
        <f t="shared" si="13"/>
        <v>Morning</v>
      </c>
      <c r="T126" t="str">
        <f t="shared" si="14"/>
        <v>Cold</v>
      </c>
    </row>
    <row r="127" spans="1:20">
      <c r="A127" s="1">
        <v>126</v>
      </c>
      <c r="B127" s="2">
        <v>40549</v>
      </c>
      <c r="C127" s="1">
        <v>1</v>
      </c>
      <c r="D127" s="1">
        <v>0</v>
      </c>
      <c r="E127" s="1">
        <v>1</v>
      </c>
      <c r="F127" s="1">
        <v>11</v>
      </c>
      <c r="G127" s="1" t="b">
        <v>0</v>
      </c>
      <c r="H127" s="1">
        <v>4</v>
      </c>
      <c r="I127" s="1">
        <v>1</v>
      </c>
      <c r="J127" s="1">
        <v>0.22</v>
      </c>
      <c r="M127" t="str">
        <f t="shared" si="9"/>
        <v>Unique</v>
      </c>
      <c r="N127" t="str">
        <f t="shared" si="10"/>
        <v>Spring</v>
      </c>
      <c r="O127" t="str">
        <f t="shared" si="8"/>
        <v>2011</v>
      </c>
      <c r="P127" t="str">
        <f t="shared" si="15"/>
        <v>Working Day</v>
      </c>
      <c r="Q127" t="str">
        <f t="shared" si="11"/>
        <v>Thursday</v>
      </c>
      <c r="R127" t="str">
        <f t="shared" si="12"/>
        <v>Clear</v>
      </c>
      <c r="S127" t="str">
        <f t="shared" si="13"/>
        <v>Morning</v>
      </c>
      <c r="T127" t="str">
        <f t="shared" si="14"/>
        <v>Cold</v>
      </c>
    </row>
    <row r="128" spans="1:20">
      <c r="A128" s="1">
        <v>127</v>
      </c>
      <c r="B128" s="2">
        <v>40549</v>
      </c>
      <c r="C128" s="1">
        <v>1</v>
      </c>
      <c r="D128" s="1">
        <v>0</v>
      </c>
      <c r="E128" s="1">
        <v>1</v>
      </c>
      <c r="F128" s="1">
        <v>12</v>
      </c>
      <c r="G128" s="1" t="b">
        <v>0</v>
      </c>
      <c r="H128" s="1">
        <v>4</v>
      </c>
      <c r="I128" s="1">
        <v>1</v>
      </c>
      <c r="J128" s="1">
        <v>0.26</v>
      </c>
      <c r="M128" t="str">
        <f t="shared" si="9"/>
        <v>Unique</v>
      </c>
      <c r="N128" t="str">
        <f t="shared" si="10"/>
        <v>Spring</v>
      </c>
      <c r="O128" t="str">
        <f t="shared" si="8"/>
        <v>2011</v>
      </c>
      <c r="P128" t="str">
        <f t="shared" si="15"/>
        <v>Working Day</v>
      </c>
      <c r="Q128" t="str">
        <f t="shared" si="11"/>
        <v>Thursday</v>
      </c>
      <c r="R128" t="str">
        <f t="shared" si="12"/>
        <v>Clear</v>
      </c>
      <c r="S128" t="str">
        <f t="shared" si="13"/>
        <v>Afternoon</v>
      </c>
      <c r="T128" t="str">
        <f t="shared" si="14"/>
        <v>Cold</v>
      </c>
    </row>
    <row r="129" spans="1:20">
      <c r="A129" s="1">
        <v>128</v>
      </c>
      <c r="B129" s="2">
        <v>40549</v>
      </c>
      <c r="C129" s="1">
        <v>1</v>
      </c>
      <c r="D129" s="1">
        <v>0</v>
      </c>
      <c r="E129" s="1">
        <v>1</v>
      </c>
      <c r="F129" s="1">
        <v>13</v>
      </c>
      <c r="G129" s="1" t="b">
        <v>0</v>
      </c>
      <c r="H129" s="1">
        <v>4</v>
      </c>
      <c r="I129" s="1">
        <v>1</v>
      </c>
      <c r="J129" s="1">
        <v>0.26</v>
      </c>
      <c r="M129" t="str">
        <f t="shared" si="9"/>
        <v>Unique</v>
      </c>
      <c r="N129" t="str">
        <f t="shared" si="10"/>
        <v>Spring</v>
      </c>
      <c r="O129" t="str">
        <f t="shared" si="8"/>
        <v>2011</v>
      </c>
      <c r="P129" t="str">
        <f t="shared" si="15"/>
        <v>Working Day</v>
      </c>
      <c r="Q129" t="str">
        <f t="shared" si="11"/>
        <v>Thursday</v>
      </c>
      <c r="R129" t="str">
        <f t="shared" si="12"/>
        <v>Clear</v>
      </c>
      <c r="S129" t="str">
        <f t="shared" si="13"/>
        <v>Afternoon</v>
      </c>
      <c r="T129" t="str">
        <f t="shared" si="14"/>
        <v>Cold</v>
      </c>
    </row>
    <row r="130" spans="1:20">
      <c r="A130" s="1">
        <v>129</v>
      </c>
      <c r="B130" s="2">
        <v>40549</v>
      </c>
      <c r="C130" s="1">
        <v>1</v>
      </c>
      <c r="D130" s="1">
        <v>0</v>
      </c>
      <c r="E130" s="1">
        <v>1</v>
      </c>
      <c r="F130" s="1">
        <v>14</v>
      </c>
      <c r="G130" s="1" t="b">
        <v>0</v>
      </c>
      <c r="H130" s="1">
        <v>4</v>
      </c>
      <c r="I130" s="1">
        <v>1</v>
      </c>
      <c r="J130" s="1">
        <v>0.28000000000000003</v>
      </c>
      <c r="M130" t="str">
        <f t="shared" si="9"/>
        <v>Unique</v>
      </c>
      <c r="N130" t="str">
        <f t="shared" si="10"/>
        <v>Spring</v>
      </c>
      <c r="O130" t="str">
        <f t="shared" ref="O130:O193" si="16">IF(D130=0,"2011","2012")</f>
        <v>2011</v>
      </c>
      <c r="P130" t="str">
        <f t="shared" si="15"/>
        <v>Working Day</v>
      </c>
      <c r="Q130" t="str">
        <f t="shared" si="11"/>
        <v>Thursday</v>
      </c>
      <c r="R130" t="str">
        <f t="shared" si="12"/>
        <v>Clear</v>
      </c>
      <c r="S130" t="str">
        <f t="shared" si="13"/>
        <v>Afternoon</v>
      </c>
      <c r="T130" t="str">
        <f t="shared" si="14"/>
        <v>Cold</v>
      </c>
    </row>
    <row r="131" spans="1:20">
      <c r="A131" s="1">
        <v>130</v>
      </c>
      <c r="B131" s="2">
        <v>40549</v>
      </c>
      <c r="C131" s="1">
        <v>1</v>
      </c>
      <c r="D131" s="1">
        <v>0</v>
      </c>
      <c r="E131" s="1">
        <v>1</v>
      </c>
      <c r="F131" s="1">
        <v>15</v>
      </c>
      <c r="G131" s="1" t="b">
        <v>0</v>
      </c>
      <c r="H131" s="1">
        <v>4</v>
      </c>
      <c r="I131" s="1">
        <v>1</v>
      </c>
      <c r="J131" s="1">
        <v>0.28000000000000003</v>
      </c>
      <c r="M131" t="str">
        <f t="shared" ref="M131:M194" si="17">IF(COUNTIF(A:A,A131)&gt;1,"Duplicate","Unique")</f>
        <v>Unique</v>
      </c>
      <c r="N131" t="str">
        <f t="shared" ref="N131:N194" si="18">IF(C131=1,"Spring",IF(C131=2,"Summer",IF(C131=3,"Fall","Winter")))</f>
        <v>Spring</v>
      </c>
      <c r="O131" t="str">
        <f t="shared" si="16"/>
        <v>2011</v>
      </c>
      <c r="P131" t="str">
        <f t="shared" si="15"/>
        <v>Working Day</v>
      </c>
      <c r="Q131" t="str">
        <f t="shared" ref="Q131:Q194" si="19">CHOOSE(H131+1,"Sunday","Monday","Tuesday","Wednesday","Thursday","Friday","Saturday")</f>
        <v>Thursday</v>
      </c>
      <c r="R131" t="str">
        <f t="shared" ref="R131:R194" si="20">IF(I131=1,"Clear",IF(I131=2,"Cloudy",IF(I131=3,"Rainy","Storm")))</f>
        <v>Clear</v>
      </c>
      <c r="S131" t="str">
        <f t="shared" ref="S131:S194" si="21">IF(F131&lt;12,"Morning",IF(F131&lt;18,"Afternoon","Night"))</f>
        <v>Afternoon</v>
      </c>
      <c r="T131" t="str">
        <f t="shared" ref="T131:T194" si="22">IF(J131&lt;0.3,"Cold",IF(J131&lt;0.6,"Normal","Hot"))</f>
        <v>Cold</v>
      </c>
    </row>
    <row r="132" spans="1:20">
      <c r="A132" s="1">
        <v>131</v>
      </c>
      <c r="B132" s="2">
        <v>40549</v>
      </c>
      <c r="C132" s="1">
        <v>1</v>
      </c>
      <c r="D132" s="1">
        <v>0</v>
      </c>
      <c r="E132" s="1">
        <v>1</v>
      </c>
      <c r="F132" s="1">
        <v>16</v>
      </c>
      <c r="G132" s="1" t="b">
        <v>0</v>
      </c>
      <c r="H132" s="1">
        <v>4</v>
      </c>
      <c r="I132" s="1">
        <v>1</v>
      </c>
      <c r="J132" s="1">
        <v>0.26</v>
      </c>
      <c r="M132" t="str">
        <f t="shared" si="17"/>
        <v>Unique</v>
      </c>
      <c r="N132" t="str">
        <f t="shared" si="18"/>
        <v>Spring</v>
      </c>
      <c r="O132" t="str">
        <f t="shared" si="16"/>
        <v>2011</v>
      </c>
      <c r="P132" t="str">
        <f t="shared" ref="P132:P195" si="23">IF(G131=FALSE,"Working Day","Holiday")</f>
        <v>Working Day</v>
      </c>
      <c r="Q132" t="str">
        <f t="shared" si="19"/>
        <v>Thursday</v>
      </c>
      <c r="R132" t="str">
        <f t="shared" si="20"/>
        <v>Clear</v>
      </c>
      <c r="S132" t="str">
        <f t="shared" si="21"/>
        <v>Afternoon</v>
      </c>
      <c r="T132" t="str">
        <f t="shared" si="22"/>
        <v>Cold</v>
      </c>
    </row>
    <row r="133" spans="1:20">
      <c r="A133" s="1">
        <v>132</v>
      </c>
      <c r="B133" s="2">
        <v>40549</v>
      </c>
      <c r="C133" s="1">
        <v>1</v>
      </c>
      <c r="D133" s="1">
        <v>0</v>
      </c>
      <c r="E133" s="1">
        <v>1</v>
      </c>
      <c r="F133" s="1">
        <v>17</v>
      </c>
      <c r="G133" s="1" t="b">
        <v>0</v>
      </c>
      <c r="H133" s="1">
        <v>4</v>
      </c>
      <c r="I133" s="1">
        <v>1</v>
      </c>
      <c r="J133" s="1">
        <v>0.22</v>
      </c>
      <c r="M133" t="str">
        <f t="shared" si="17"/>
        <v>Unique</v>
      </c>
      <c r="N133" t="str">
        <f t="shared" si="18"/>
        <v>Spring</v>
      </c>
      <c r="O133" t="str">
        <f t="shared" si="16"/>
        <v>2011</v>
      </c>
      <c r="P133" t="str">
        <f t="shared" si="23"/>
        <v>Working Day</v>
      </c>
      <c r="Q133" t="str">
        <f t="shared" si="19"/>
        <v>Thursday</v>
      </c>
      <c r="R133" t="str">
        <f t="shared" si="20"/>
        <v>Clear</v>
      </c>
      <c r="S133" t="str">
        <f t="shared" si="21"/>
        <v>Afternoon</v>
      </c>
      <c r="T133" t="str">
        <f t="shared" si="22"/>
        <v>Cold</v>
      </c>
    </row>
    <row r="134" spans="1:20">
      <c r="A134" s="1">
        <v>133</v>
      </c>
      <c r="B134" s="2">
        <v>40549</v>
      </c>
      <c r="C134" s="1">
        <v>1</v>
      </c>
      <c r="D134" s="1">
        <v>0</v>
      </c>
      <c r="E134" s="1">
        <v>1</v>
      </c>
      <c r="F134" s="1">
        <v>18</v>
      </c>
      <c r="G134" s="1" t="b">
        <v>0</v>
      </c>
      <c r="H134" s="1">
        <v>4</v>
      </c>
      <c r="I134" s="1">
        <v>1</v>
      </c>
      <c r="J134" s="1">
        <v>0.22</v>
      </c>
      <c r="M134" t="str">
        <f t="shared" si="17"/>
        <v>Unique</v>
      </c>
      <c r="N134" t="str">
        <f t="shared" si="18"/>
        <v>Spring</v>
      </c>
      <c r="O134" t="str">
        <f t="shared" si="16"/>
        <v>2011</v>
      </c>
      <c r="P134" t="str">
        <f t="shared" si="23"/>
        <v>Working Day</v>
      </c>
      <c r="Q134" t="str">
        <f t="shared" si="19"/>
        <v>Thursday</v>
      </c>
      <c r="R134" t="str">
        <f t="shared" si="20"/>
        <v>Clear</v>
      </c>
      <c r="S134" t="str">
        <f t="shared" si="21"/>
        <v>Night</v>
      </c>
      <c r="T134" t="str">
        <f t="shared" si="22"/>
        <v>Cold</v>
      </c>
    </row>
    <row r="135" spans="1:20">
      <c r="A135" s="1">
        <v>134</v>
      </c>
      <c r="B135" s="2">
        <v>40549</v>
      </c>
      <c r="C135" s="1">
        <v>1</v>
      </c>
      <c r="D135" s="1">
        <v>0</v>
      </c>
      <c r="E135" s="1">
        <v>1</v>
      </c>
      <c r="F135" s="1">
        <v>19</v>
      </c>
      <c r="G135" s="1" t="b">
        <v>0</v>
      </c>
      <c r="H135" s="1">
        <v>4</v>
      </c>
      <c r="I135" s="1">
        <v>1</v>
      </c>
      <c r="J135" s="1">
        <v>0.22</v>
      </c>
      <c r="M135" t="str">
        <f t="shared" si="17"/>
        <v>Unique</v>
      </c>
      <c r="N135" t="str">
        <f t="shared" si="18"/>
        <v>Spring</v>
      </c>
      <c r="O135" t="str">
        <f t="shared" si="16"/>
        <v>2011</v>
      </c>
      <c r="P135" t="str">
        <f t="shared" si="23"/>
        <v>Working Day</v>
      </c>
      <c r="Q135" t="str">
        <f t="shared" si="19"/>
        <v>Thursday</v>
      </c>
      <c r="R135" t="str">
        <f t="shared" si="20"/>
        <v>Clear</v>
      </c>
      <c r="S135" t="str">
        <f t="shared" si="21"/>
        <v>Night</v>
      </c>
      <c r="T135" t="str">
        <f t="shared" si="22"/>
        <v>Cold</v>
      </c>
    </row>
    <row r="136" spans="1:20">
      <c r="A136" s="1">
        <v>135</v>
      </c>
      <c r="B136" s="2">
        <v>40549</v>
      </c>
      <c r="C136" s="1">
        <v>1</v>
      </c>
      <c r="D136" s="1">
        <v>0</v>
      </c>
      <c r="E136" s="1">
        <v>1</v>
      </c>
      <c r="F136" s="1">
        <v>20</v>
      </c>
      <c r="G136" s="1" t="b">
        <v>0</v>
      </c>
      <c r="H136" s="1">
        <v>4</v>
      </c>
      <c r="I136" s="1">
        <v>1</v>
      </c>
      <c r="J136" s="1">
        <v>0.2</v>
      </c>
      <c r="M136" t="str">
        <f t="shared" si="17"/>
        <v>Unique</v>
      </c>
      <c r="N136" t="str">
        <f t="shared" si="18"/>
        <v>Spring</v>
      </c>
      <c r="O136" t="str">
        <f t="shared" si="16"/>
        <v>2011</v>
      </c>
      <c r="P136" t="str">
        <f t="shared" si="23"/>
        <v>Working Day</v>
      </c>
      <c r="Q136" t="str">
        <f t="shared" si="19"/>
        <v>Thursday</v>
      </c>
      <c r="R136" t="str">
        <f t="shared" si="20"/>
        <v>Clear</v>
      </c>
      <c r="S136" t="str">
        <f t="shared" si="21"/>
        <v>Night</v>
      </c>
      <c r="T136" t="str">
        <f t="shared" si="22"/>
        <v>Cold</v>
      </c>
    </row>
    <row r="137" spans="1:20">
      <c r="A137" s="1">
        <v>136</v>
      </c>
      <c r="B137" s="2">
        <v>40549</v>
      </c>
      <c r="C137" s="1">
        <v>1</v>
      </c>
      <c r="D137" s="1">
        <v>0</v>
      </c>
      <c r="E137" s="1">
        <v>1</v>
      </c>
      <c r="F137" s="1">
        <v>21</v>
      </c>
      <c r="G137" s="1" t="b">
        <v>0</v>
      </c>
      <c r="H137" s="1">
        <v>4</v>
      </c>
      <c r="I137" s="1">
        <v>2</v>
      </c>
      <c r="J137" s="1">
        <v>0.22</v>
      </c>
      <c r="M137" t="str">
        <f t="shared" si="17"/>
        <v>Unique</v>
      </c>
      <c r="N137" t="str">
        <f t="shared" si="18"/>
        <v>Spring</v>
      </c>
      <c r="O137" t="str">
        <f t="shared" si="16"/>
        <v>2011</v>
      </c>
      <c r="P137" t="str">
        <f t="shared" si="23"/>
        <v>Working Day</v>
      </c>
      <c r="Q137" t="str">
        <f t="shared" si="19"/>
        <v>Thursday</v>
      </c>
      <c r="R137" t="str">
        <f t="shared" si="20"/>
        <v>Cloudy</v>
      </c>
      <c r="S137" t="str">
        <f t="shared" si="21"/>
        <v>Night</v>
      </c>
      <c r="T137" t="str">
        <f t="shared" si="22"/>
        <v>Cold</v>
      </c>
    </row>
    <row r="138" spans="1:20">
      <c r="A138" s="1">
        <v>137</v>
      </c>
      <c r="B138" s="2">
        <v>40549</v>
      </c>
      <c r="C138" s="1">
        <v>1</v>
      </c>
      <c r="D138" s="1">
        <v>0</v>
      </c>
      <c r="E138" s="1">
        <v>1</v>
      </c>
      <c r="F138" s="1">
        <v>22</v>
      </c>
      <c r="G138" s="1" t="b">
        <v>0</v>
      </c>
      <c r="H138" s="1">
        <v>4</v>
      </c>
      <c r="I138" s="1">
        <v>2</v>
      </c>
      <c r="J138" s="1">
        <v>0.22</v>
      </c>
      <c r="M138" t="str">
        <f t="shared" si="17"/>
        <v>Unique</v>
      </c>
      <c r="N138" t="str">
        <f t="shared" si="18"/>
        <v>Spring</v>
      </c>
      <c r="O138" t="str">
        <f t="shared" si="16"/>
        <v>2011</v>
      </c>
      <c r="P138" t="str">
        <f t="shared" si="23"/>
        <v>Working Day</v>
      </c>
      <c r="Q138" t="str">
        <f t="shared" si="19"/>
        <v>Thursday</v>
      </c>
      <c r="R138" t="str">
        <f t="shared" si="20"/>
        <v>Cloudy</v>
      </c>
      <c r="S138" t="str">
        <f t="shared" si="21"/>
        <v>Night</v>
      </c>
      <c r="T138" t="str">
        <f t="shared" si="22"/>
        <v>Cold</v>
      </c>
    </row>
    <row r="139" spans="1:20">
      <c r="A139" s="1">
        <v>138</v>
      </c>
      <c r="B139" s="2">
        <v>40549</v>
      </c>
      <c r="C139" s="1">
        <v>1</v>
      </c>
      <c r="D139" s="1">
        <v>0</v>
      </c>
      <c r="E139" s="1">
        <v>1</v>
      </c>
      <c r="F139" s="1">
        <v>23</v>
      </c>
      <c r="G139" s="1" t="b">
        <v>0</v>
      </c>
      <c r="H139" s="1">
        <v>4</v>
      </c>
      <c r="I139" s="1">
        <v>2</v>
      </c>
      <c r="J139" s="1">
        <v>0.2</v>
      </c>
      <c r="M139" t="str">
        <f t="shared" si="17"/>
        <v>Unique</v>
      </c>
      <c r="N139" t="str">
        <f t="shared" si="18"/>
        <v>Spring</v>
      </c>
      <c r="O139" t="str">
        <f t="shared" si="16"/>
        <v>2011</v>
      </c>
      <c r="P139" t="str">
        <f t="shared" si="23"/>
        <v>Working Day</v>
      </c>
      <c r="Q139" t="str">
        <f t="shared" si="19"/>
        <v>Thursday</v>
      </c>
      <c r="R139" t="str">
        <f t="shared" si="20"/>
        <v>Cloudy</v>
      </c>
      <c r="S139" t="str">
        <f t="shared" si="21"/>
        <v>Night</v>
      </c>
      <c r="T139" t="str">
        <f t="shared" si="22"/>
        <v>Cold</v>
      </c>
    </row>
    <row r="140" spans="1:20">
      <c r="A140" s="1">
        <v>139</v>
      </c>
      <c r="B140" s="2">
        <v>40550</v>
      </c>
      <c r="C140" s="1">
        <v>1</v>
      </c>
      <c r="D140" s="1">
        <v>0</v>
      </c>
      <c r="E140" s="1">
        <v>1</v>
      </c>
      <c r="F140" s="1">
        <v>0</v>
      </c>
      <c r="G140" s="1" t="b">
        <v>0</v>
      </c>
      <c r="H140" s="1">
        <v>5</v>
      </c>
      <c r="I140" s="1">
        <v>2</v>
      </c>
      <c r="J140" s="1">
        <v>0.2</v>
      </c>
      <c r="M140" t="str">
        <f t="shared" si="17"/>
        <v>Unique</v>
      </c>
      <c r="N140" t="str">
        <f t="shared" si="18"/>
        <v>Spring</v>
      </c>
      <c r="O140" t="str">
        <f t="shared" si="16"/>
        <v>2011</v>
      </c>
      <c r="P140" t="str">
        <f t="shared" si="23"/>
        <v>Working Day</v>
      </c>
      <c r="Q140" t="str">
        <f t="shared" si="19"/>
        <v>Friday</v>
      </c>
      <c r="R140" t="str">
        <f t="shared" si="20"/>
        <v>Cloudy</v>
      </c>
      <c r="S140" t="str">
        <f t="shared" si="21"/>
        <v>Morning</v>
      </c>
      <c r="T140" t="str">
        <f t="shared" si="22"/>
        <v>Cold</v>
      </c>
    </row>
    <row r="141" spans="1:20">
      <c r="A141" s="1">
        <v>140</v>
      </c>
      <c r="B141" s="2">
        <v>40550</v>
      </c>
      <c r="C141" s="1">
        <v>1</v>
      </c>
      <c r="D141" s="1">
        <v>0</v>
      </c>
      <c r="E141" s="1">
        <v>1</v>
      </c>
      <c r="F141" s="1">
        <v>1</v>
      </c>
      <c r="G141" s="1" t="b">
        <v>0</v>
      </c>
      <c r="H141" s="1">
        <v>5</v>
      </c>
      <c r="I141" s="1">
        <v>2</v>
      </c>
      <c r="J141" s="1">
        <v>0.2</v>
      </c>
      <c r="M141" t="str">
        <f t="shared" si="17"/>
        <v>Unique</v>
      </c>
      <c r="N141" t="str">
        <f t="shared" si="18"/>
        <v>Spring</v>
      </c>
      <c r="O141" t="str">
        <f t="shared" si="16"/>
        <v>2011</v>
      </c>
      <c r="P141" t="str">
        <f t="shared" si="23"/>
        <v>Working Day</v>
      </c>
      <c r="Q141" t="str">
        <f t="shared" si="19"/>
        <v>Friday</v>
      </c>
      <c r="R141" t="str">
        <f t="shared" si="20"/>
        <v>Cloudy</v>
      </c>
      <c r="S141" t="str">
        <f t="shared" si="21"/>
        <v>Morning</v>
      </c>
      <c r="T141" t="str">
        <f t="shared" si="22"/>
        <v>Cold</v>
      </c>
    </row>
    <row r="142" spans="1:20">
      <c r="A142" s="1">
        <v>141</v>
      </c>
      <c r="B142" s="2">
        <v>40550</v>
      </c>
      <c r="C142" s="1">
        <v>1</v>
      </c>
      <c r="D142" s="1">
        <v>0</v>
      </c>
      <c r="E142" s="1">
        <v>1</v>
      </c>
      <c r="F142" s="1">
        <v>2</v>
      </c>
      <c r="G142" s="1" t="b">
        <v>0</v>
      </c>
      <c r="H142" s="1">
        <v>5</v>
      </c>
      <c r="I142" s="1">
        <v>2</v>
      </c>
      <c r="J142" s="1">
        <v>0.2</v>
      </c>
      <c r="M142" t="str">
        <f t="shared" si="17"/>
        <v>Unique</v>
      </c>
      <c r="N142" t="str">
        <f t="shared" si="18"/>
        <v>Spring</v>
      </c>
      <c r="O142" t="str">
        <f t="shared" si="16"/>
        <v>2011</v>
      </c>
      <c r="P142" t="str">
        <f t="shared" si="23"/>
        <v>Working Day</v>
      </c>
      <c r="Q142" t="str">
        <f t="shared" si="19"/>
        <v>Friday</v>
      </c>
      <c r="R142" t="str">
        <f t="shared" si="20"/>
        <v>Cloudy</v>
      </c>
      <c r="S142" t="str">
        <f t="shared" si="21"/>
        <v>Morning</v>
      </c>
      <c r="T142" t="str">
        <f t="shared" si="22"/>
        <v>Cold</v>
      </c>
    </row>
    <row r="143" spans="1:20">
      <c r="A143" s="1">
        <v>142</v>
      </c>
      <c r="B143" s="2">
        <v>40550</v>
      </c>
      <c r="C143" s="1">
        <v>1</v>
      </c>
      <c r="D143" s="1">
        <v>0</v>
      </c>
      <c r="E143" s="1">
        <v>1</v>
      </c>
      <c r="F143" s="1">
        <v>4</v>
      </c>
      <c r="G143" s="1" t="b">
        <v>0</v>
      </c>
      <c r="H143" s="1">
        <v>5</v>
      </c>
      <c r="I143" s="1">
        <v>2</v>
      </c>
      <c r="J143" s="1">
        <v>0.2</v>
      </c>
      <c r="M143" t="str">
        <f t="shared" si="17"/>
        <v>Unique</v>
      </c>
      <c r="N143" t="str">
        <f t="shared" si="18"/>
        <v>Spring</v>
      </c>
      <c r="O143" t="str">
        <f t="shared" si="16"/>
        <v>2011</v>
      </c>
      <c r="P143" t="str">
        <f t="shared" si="23"/>
        <v>Working Day</v>
      </c>
      <c r="Q143" t="str">
        <f t="shared" si="19"/>
        <v>Friday</v>
      </c>
      <c r="R143" t="str">
        <f t="shared" si="20"/>
        <v>Cloudy</v>
      </c>
      <c r="S143" t="str">
        <f t="shared" si="21"/>
        <v>Morning</v>
      </c>
      <c r="T143" t="str">
        <f t="shared" si="22"/>
        <v>Cold</v>
      </c>
    </row>
    <row r="144" spans="1:20">
      <c r="A144" s="1">
        <v>143</v>
      </c>
      <c r="B144" s="2">
        <v>40550</v>
      </c>
      <c r="C144" s="1">
        <v>1</v>
      </c>
      <c r="D144" s="1">
        <v>0</v>
      </c>
      <c r="E144" s="1">
        <v>1</v>
      </c>
      <c r="F144" s="1">
        <v>5</v>
      </c>
      <c r="G144" s="1" t="b">
        <v>0</v>
      </c>
      <c r="H144" s="1">
        <v>5</v>
      </c>
      <c r="I144" s="1">
        <v>3</v>
      </c>
      <c r="J144" s="1">
        <v>0.22</v>
      </c>
      <c r="M144" t="str">
        <f t="shared" si="17"/>
        <v>Unique</v>
      </c>
      <c r="N144" t="str">
        <f t="shared" si="18"/>
        <v>Spring</v>
      </c>
      <c r="O144" t="str">
        <f t="shared" si="16"/>
        <v>2011</v>
      </c>
      <c r="P144" t="str">
        <f t="shared" si="23"/>
        <v>Working Day</v>
      </c>
      <c r="Q144" t="str">
        <f t="shared" si="19"/>
        <v>Friday</v>
      </c>
      <c r="R144" t="str">
        <f t="shared" si="20"/>
        <v>Rainy</v>
      </c>
      <c r="S144" t="str">
        <f t="shared" si="21"/>
        <v>Morning</v>
      </c>
      <c r="T144" t="str">
        <f t="shared" si="22"/>
        <v>Cold</v>
      </c>
    </row>
    <row r="145" spans="1:20">
      <c r="A145" s="1">
        <v>144</v>
      </c>
      <c r="B145" s="2">
        <v>40550</v>
      </c>
      <c r="C145" s="1">
        <v>1</v>
      </c>
      <c r="D145" s="1">
        <v>0</v>
      </c>
      <c r="E145" s="1">
        <v>1</v>
      </c>
      <c r="F145" s="1">
        <v>6</v>
      </c>
      <c r="G145" s="1" t="b">
        <v>0</v>
      </c>
      <c r="H145" s="1">
        <v>5</v>
      </c>
      <c r="I145" s="1">
        <v>2</v>
      </c>
      <c r="J145" s="1">
        <v>0.2</v>
      </c>
      <c r="M145" t="str">
        <f t="shared" si="17"/>
        <v>Unique</v>
      </c>
      <c r="N145" t="str">
        <f t="shared" si="18"/>
        <v>Spring</v>
      </c>
      <c r="O145" t="str">
        <f t="shared" si="16"/>
        <v>2011</v>
      </c>
      <c r="P145" t="str">
        <f t="shared" si="23"/>
        <v>Working Day</v>
      </c>
      <c r="Q145" t="str">
        <f t="shared" si="19"/>
        <v>Friday</v>
      </c>
      <c r="R145" t="str">
        <f t="shared" si="20"/>
        <v>Cloudy</v>
      </c>
      <c r="S145" t="str">
        <f t="shared" si="21"/>
        <v>Morning</v>
      </c>
      <c r="T145" t="str">
        <f t="shared" si="22"/>
        <v>Cold</v>
      </c>
    </row>
    <row r="146" spans="1:20">
      <c r="A146" s="1">
        <v>145</v>
      </c>
      <c r="B146" s="2">
        <v>40550</v>
      </c>
      <c r="C146" s="1">
        <v>1</v>
      </c>
      <c r="D146" s="1">
        <v>0</v>
      </c>
      <c r="E146" s="1">
        <v>1</v>
      </c>
      <c r="F146" s="1">
        <v>7</v>
      </c>
      <c r="G146" s="1" t="b">
        <v>0</v>
      </c>
      <c r="H146" s="1">
        <v>5</v>
      </c>
      <c r="I146" s="1">
        <v>1</v>
      </c>
      <c r="J146" s="1">
        <v>0.2</v>
      </c>
      <c r="M146" t="str">
        <f t="shared" si="17"/>
        <v>Unique</v>
      </c>
      <c r="N146" t="str">
        <f t="shared" si="18"/>
        <v>Spring</v>
      </c>
      <c r="O146" t="str">
        <f t="shared" si="16"/>
        <v>2011</v>
      </c>
      <c r="P146" t="str">
        <f t="shared" si="23"/>
        <v>Working Day</v>
      </c>
      <c r="Q146" t="str">
        <f t="shared" si="19"/>
        <v>Friday</v>
      </c>
      <c r="R146" t="str">
        <f t="shared" si="20"/>
        <v>Clear</v>
      </c>
      <c r="S146" t="str">
        <f t="shared" si="21"/>
        <v>Morning</v>
      </c>
      <c r="T146" t="str">
        <f t="shared" si="22"/>
        <v>Cold</v>
      </c>
    </row>
    <row r="147" spans="1:20">
      <c r="A147" s="1">
        <v>146</v>
      </c>
      <c r="B147" s="2">
        <v>40550</v>
      </c>
      <c r="C147" s="1">
        <v>1</v>
      </c>
      <c r="D147" s="1">
        <v>0</v>
      </c>
      <c r="E147" s="1">
        <v>1</v>
      </c>
      <c r="F147" s="1">
        <v>8</v>
      </c>
      <c r="G147" s="1" t="b">
        <v>0</v>
      </c>
      <c r="H147" s="1">
        <v>5</v>
      </c>
      <c r="I147" s="1">
        <v>1</v>
      </c>
      <c r="J147" s="1">
        <v>0.2</v>
      </c>
      <c r="M147" t="str">
        <f t="shared" si="17"/>
        <v>Unique</v>
      </c>
      <c r="N147" t="str">
        <f t="shared" si="18"/>
        <v>Spring</v>
      </c>
      <c r="O147" t="str">
        <f t="shared" si="16"/>
        <v>2011</v>
      </c>
      <c r="P147" t="str">
        <f t="shared" si="23"/>
        <v>Working Day</v>
      </c>
      <c r="Q147" t="str">
        <f t="shared" si="19"/>
        <v>Friday</v>
      </c>
      <c r="R147" t="str">
        <f t="shared" si="20"/>
        <v>Clear</v>
      </c>
      <c r="S147" t="str">
        <f t="shared" si="21"/>
        <v>Morning</v>
      </c>
      <c r="T147" t="str">
        <f t="shared" si="22"/>
        <v>Cold</v>
      </c>
    </row>
    <row r="148" spans="1:20">
      <c r="A148" s="1">
        <v>147</v>
      </c>
      <c r="B148" s="2">
        <v>40550</v>
      </c>
      <c r="C148" s="1">
        <v>1</v>
      </c>
      <c r="D148" s="1">
        <v>0</v>
      </c>
      <c r="E148" s="1">
        <v>1</v>
      </c>
      <c r="F148" s="1">
        <v>9</v>
      </c>
      <c r="G148" s="1" t="b">
        <v>0</v>
      </c>
      <c r="H148" s="1">
        <v>5</v>
      </c>
      <c r="I148" s="1">
        <v>1</v>
      </c>
      <c r="J148" s="1">
        <v>0.2</v>
      </c>
      <c r="M148" t="str">
        <f t="shared" si="17"/>
        <v>Unique</v>
      </c>
      <c r="N148" t="str">
        <f t="shared" si="18"/>
        <v>Spring</v>
      </c>
      <c r="O148" t="str">
        <f t="shared" si="16"/>
        <v>2011</v>
      </c>
      <c r="P148" t="str">
        <f t="shared" si="23"/>
        <v>Working Day</v>
      </c>
      <c r="Q148" t="str">
        <f t="shared" si="19"/>
        <v>Friday</v>
      </c>
      <c r="R148" t="str">
        <f t="shared" si="20"/>
        <v>Clear</v>
      </c>
      <c r="S148" t="str">
        <f t="shared" si="21"/>
        <v>Morning</v>
      </c>
      <c r="T148" t="str">
        <f t="shared" si="22"/>
        <v>Cold</v>
      </c>
    </row>
    <row r="149" spans="1:20">
      <c r="A149" s="1">
        <v>148</v>
      </c>
      <c r="B149" s="2">
        <v>40550</v>
      </c>
      <c r="C149" s="1">
        <v>1</v>
      </c>
      <c r="D149" s="1">
        <v>0</v>
      </c>
      <c r="E149" s="1">
        <v>1</v>
      </c>
      <c r="F149" s="1">
        <v>10</v>
      </c>
      <c r="G149" s="1" t="b">
        <v>0</v>
      </c>
      <c r="H149" s="1">
        <v>5</v>
      </c>
      <c r="I149" s="1">
        <v>1</v>
      </c>
      <c r="J149" s="1">
        <v>0.22</v>
      </c>
      <c r="M149" t="str">
        <f t="shared" si="17"/>
        <v>Unique</v>
      </c>
      <c r="N149" t="str">
        <f t="shared" si="18"/>
        <v>Spring</v>
      </c>
      <c r="O149" t="str">
        <f t="shared" si="16"/>
        <v>2011</v>
      </c>
      <c r="P149" t="str">
        <f t="shared" si="23"/>
        <v>Working Day</v>
      </c>
      <c r="Q149" t="str">
        <f t="shared" si="19"/>
        <v>Friday</v>
      </c>
      <c r="R149" t="str">
        <f t="shared" si="20"/>
        <v>Clear</v>
      </c>
      <c r="S149" t="str">
        <f t="shared" si="21"/>
        <v>Morning</v>
      </c>
      <c r="T149" t="str">
        <f t="shared" si="22"/>
        <v>Cold</v>
      </c>
    </row>
    <row r="150" spans="1:20">
      <c r="A150" s="1">
        <v>149</v>
      </c>
      <c r="B150" s="2">
        <v>40550</v>
      </c>
      <c r="C150" s="1">
        <v>1</v>
      </c>
      <c r="D150" s="1">
        <v>0</v>
      </c>
      <c r="E150" s="1">
        <v>1</v>
      </c>
      <c r="F150" s="1">
        <v>11</v>
      </c>
      <c r="G150" s="1" t="b">
        <v>0</v>
      </c>
      <c r="H150" s="1">
        <v>5</v>
      </c>
      <c r="I150" s="1">
        <v>2</v>
      </c>
      <c r="J150" s="1">
        <v>0.2</v>
      </c>
      <c r="M150" t="str">
        <f t="shared" si="17"/>
        <v>Unique</v>
      </c>
      <c r="N150" t="str">
        <f t="shared" si="18"/>
        <v>Spring</v>
      </c>
      <c r="O150" t="str">
        <f t="shared" si="16"/>
        <v>2011</v>
      </c>
      <c r="P150" t="str">
        <f t="shared" si="23"/>
        <v>Working Day</v>
      </c>
      <c r="Q150" t="str">
        <f t="shared" si="19"/>
        <v>Friday</v>
      </c>
      <c r="R150" t="str">
        <f t="shared" si="20"/>
        <v>Cloudy</v>
      </c>
      <c r="S150" t="str">
        <f t="shared" si="21"/>
        <v>Morning</v>
      </c>
      <c r="T150" t="str">
        <f t="shared" si="22"/>
        <v>Cold</v>
      </c>
    </row>
    <row r="151" spans="1:20">
      <c r="A151" s="1">
        <v>150</v>
      </c>
      <c r="B151" s="2">
        <v>40550</v>
      </c>
      <c r="C151" s="1">
        <v>1</v>
      </c>
      <c r="D151" s="1">
        <v>0</v>
      </c>
      <c r="E151" s="1">
        <v>1</v>
      </c>
      <c r="F151" s="1">
        <v>12</v>
      </c>
      <c r="G151" s="1" t="b">
        <v>0</v>
      </c>
      <c r="H151" s="1">
        <v>5</v>
      </c>
      <c r="I151" s="1">
        <v>2</v>
      </c>
      <c r="J151" s="1">
        <v>0.2</v>
      </c>
      <c r="M151" t="str">
        <f t="shared" si="17"/>
        <v>Unique</v>
      </c>
      <c r="N151" t="str">
        <f t="shared" si="18"/>
        <v>Spring</v>
      </c>
      <c r="O151" t="str">
        <f t="shared" si="16"/>
        <v>2011</v>
      </c>
      <c r="P151" t="str">
        <f t="shared" si="23"/>
        <v>Working Day</v>
      </c>
      <c r="Q151" t="str">
        <f t="shared" si="19"/>
        <v>Friday</v>
      </c>
      <c r="R151" t="str">
        <f t="shared" si="20"/>
        <v>Cloudy</v>
      </c>
      <c r="S151" t="str">
        <f t="shared" si="21"/>
        <v>Afternoon</v>
      </c>
      <c r="T151" t="str">
        <f t="shared" si="22"/>
        <v>Cold</v>
      </c>
    </row>
    <row r="152" spans="1:20">
      <c r="A152" s="1">
        <v>151</v>
      </c>
      <c r="B152" s="2">
        <v>40550</v>
      </c>
      <c r="C152" s="1">
        <v>1</v>
      </c>
      <c r="D152" s="1">
        <v>0</v>
      </c>
      <c r="E152" s="1">
        <v>1</v>
      </c>
      <c r="F152" s="1">
        <v>13</v>
      </c>
      <c r="G152" s="1" t="b">
        <v>0</v>
      </c>
      <c r="H152" s="1">
        <v>5</v>
      </c>
      <c r="I152" s="1">
        <v>2</v>
      </c>
      <c r="J152" s="1">
        <v>0.2</v>
      </c>
      <c r="M152" t="str">
        <f t="shared" si="17"/>
        <v>Unique</v>
      </c>
      <c r="N152" t="str">
        <f t="shared" si="18"/>
        <v>Spring</v>
      </c>
      <c r="O152" t="str">
        <f t="shared" si="16"/>
        <v>2011</v>
      </c>
      <c r="P152" t="str">
        <f t="shared" si="23"/>
        <v>Working Day</v>
      </c>
      <c r="Q152" t="str">
        <f t="shared" si="19"/>
        <v>Friday</v>
      </c>
      <c r="R152" t="str">
        <f t="shared" si="20"/>
        <v>Cloudy</v>
      </c>
      <c r="S152" t="str">
        <f t="shared" si="21"/>
        <v>Afternoon</v>
      </c>
      <c r="T152" t="str">
        <f t="shared" si="22"/>
        <v>Cold</v>
      </c>
    </row>
    <row r="153" spans="1:20">
      <c r="A153" s="1">
        <v>152</v>
      </c>
      <c r="B153" s="2">
        <v>40550</v>
      </c>
      <c r="C153" s="1">
        <v>1</v>
      </c>
      <c r="D153" s="1">
        <v>0</v>
      </c>
      <c r="E153" s="1">
        <v>1</v>
      </c>
      <c r="F153" s="1">
        <v>14</v>
      </c>
      <c r="G153" s="1" t="b">
        <v>0</v>
      </c>
      <c r="H153" s="1">
        <v>5</v>
      </c>
      <c r="I153" s="1">
        <v>2</v>
      </c>
      <c r="J153" s="1">
        <v>0.2</v>
      </c>
      <c r="M153" t="str">
        <f t="shared" si="17"/>
        <v>Unique</v>
      </c>
      <c r="N153" t="str">
        <f t="shared" si="18"/>
        <v>Spring</v>
      </c>
      <c r="O153" t="str">
        <f t="shared" si="16"/>
        <v>2011</v>
      </c>
      <c r="P153" t="str">
        <f t="shared" si="23"/>
        <v>Working Day</v>
      </c>
      <c r="Q153" t="str">
        <f t="shared" si="19"/>
        <v>Friday</v>
      </c>
      <c r="R153" t="str">
        <f t="shared" si="20"/>
        <v>Cloudy</v>
      </c>
      <c r="S153" t="str">
        <f t="shared" si="21"/>
        <v>Afternoon</v>
      </c>
      <c r="T153" t="str">
        <f t="shared" si="22"/>
        <v>Cold</v>
      </c>
    </row>
    <row r="154" spans="1:20">
      <c r="A154" s="1">
        <v>153</v>
      </c>
      <c r="B154" s="2">
        <v>40550</v>
      </c>
      <c r="C154" s="1">
        <v>1</v>
      </c>
      <c r="D154" s="1">
        <v>0</v>
      </c>
      <c r="E154" s="1">
        <v>1</v>
      </c>
      <c r="F154" s="1">
        <v>15</v>
      </c>
      <c r="G154" s="1" t="b">
        <v>0</v>
      </c>
      <c r="H154" s="1">
        <v>5</v>
      </c>
      <c r="I154" s="1">
        <v>2</v>
      </c>
      <c r="J154" s="1">
        <v>0.2</v>
      </c>
      <c r="M154" t="str">
        <f t="shared" si="17"/>
        <v>Unique</v>
      </c>
      <c r="N154" t="str">
        <f t="shared" si="18"/>
        <v>Spring</v>
      </c>
      <c r="O154" t="str">
        <f t="shared" si="16"/>
        <v>2011</v>
      </c>
      <c r="P154" t="str">
        <f t="shared" si="23"/>
        <v>Working Day</v>
      </c>
      <c r="Q154" t="str">
        <f t="shared" si="19"/>
        <v>Friday</v>
      </c>
      <c r="R154" t="str">
        <f t="shared" si="20"/>
        <v>Cloudy</v>
      </c>
      <c r="S154" t="str">
        <f t="shared" si="21"/>
        <v>Afternoon</v>
      </c>
      <c r="T154" t="str">
        <f t="shared" si="22"/>
        <v>Cold</v>
      </c>
    </row>
    <row r="155" spans="1:20">
      <c r="A155" s="1">
        <v>154</v>
      </c>
      <c r="B155" s="2">
        <v>40550</v>
      </c>
      <c r="C155" s="1">
        <v>1</v>
      </c>
      <c r="D155" s="1">
        <v>0</v>
      </c>
      <c r="E155" s="1">
        <v>1</v>
      </c>
      <c r="F155" s="1">
        <v>16</v>
      </c>
      <c r="G155" s="1" t="b">
        <v>0</v>
      </c>
      <c r="H155" s="1">
        <v>5</v>
      </c>
      <c r="I155" s="1">
        <v>2</v>
      </c>
      <c r="J155" s="1">
        <v>0.2</v>
      </c>
      <c r="M155" t="str">
        <f t="shared" si="17"/>
        <v>Unique</v>
      </c>
      <c r="N155" t="str">
        <f t="shared" si="18"/>
        <v>Spring</v>
      </c>
      <c r="O155" t="str">
        <f t="shared" si="16"/>
        <v>2011</v>
      </c>
      <c r="P155" t="str">
        <f t="shared" si="23"/>
        <v>Working Day</v>
      </c>
      <c r="Q155" t="str">
        <f t="shared" si="19"/>
        <v>Friday</v>
      </c>
      <c r="R155" t="str">
        <f t="shared" si="20"/>
        <v>Cloudy</v>
      </c>
      <c r="S155" t="str">
        <f t="shared" si="21"/>
        <v>Afternoon</v>
      </c>
      <c r="T155" t="str">
        <f t="shared" si="22"/>
        <v>Cold</v>
      </c>
    </row>
    <row r="156" spans="1:20">
      <c r="A156" s="1">
        <v>155</v>
      </c>
      <c r="B156" s="2">
        <v>40550</v>
      </c>
      <c r="C156" s="1">
        <v>1</v>
      </c>
      <c r="D156" s="1">
        <v>0</v>
      </c>
      <c r="E156" s="1">
        <v>1</v>
      </c>
      <c r="F156" s="1">
        <v>17</v>
      </c>
      <c r="G156" s="1" t="b">
        <v>0</v>
      </c>
      <c r="H156" s="1">
        <v>5</v>
      </c>
      <c r="I156" s="1">
        <v>2</v>
      </c>
      <c r="J156" s="1">
        <v>0.2</v>
      </c>
      <c r="M156" t="str">
        <f t="shared" si="17"/>
        <v>Unique</v>
      </c>
      <c r="N156" t="str">
        <f t="shared" si="18"/>
        <v>Spring</v>
      </c>
      <c r="O156" t="str">
        <f t="shared" si="16"/>
        <v>2011</v>
      </c>
      <c r="P156" t="str">
        <f t="shared" si="23"/>
        <v>Working Day</v>
      </c>
      <c r="Q156" t="str">
        <f t="shared" si="19"/>
        <v>Friday</v>
      </c>
      <c r="R156" t="str">
        <f t="shared" si="20"/>
        <v>Cloudy</v>
      </c>
      <c r="S156" t="str">
        <f t="shared" si="21"/>
        <v>Afternoon</v>
      </c>
      <c r="T156" t="str">
        <f t="shared" si="22"/>
        <v>Cold</v>
      </c>
    </row>
    <row r="157" spans="1:20">
      <c r="A157" s="1">
        <v>156</v>
      </c>
      <c r="B157" s="2">
        <v>40550</v>
      </c>
      <c r="C157" s="1">
        <v>1</v>
      </c>
      <c r="D157" s="1">
        <v>0</v>
      </c>
      <c r="E157" s="1">
        <v>1</v>
      </c>
      <c r="F157" s="1">
        <v>18</v>
      </c>
      <c r="G157" s="1" t="b">
        <v>0</v>
      </c>
      <c r="H157" s="1">
        <v>5</v>
      </c>
      <c r="I157" s="1">
        <v>1</v>
      </c>
      <c r="J157" s="1">
        <v>0.2</v>
      </c>
      <c r="M157" t="str">
        <f t="shared" si="17"/>
        <v>Unique</v>
      </c>
      <c r="N157" t="str">
        <f t="shared" si="18"/>
        <v>Spring</v>
      </c>
      <c r="O157" t="str">
        <f t="shared" si="16"/>
        <v>2011</v>
      </c>
      <c r="P157" t="str">
        <f t="shared" si="23"/>
        <v>Working Day</v>
      </c>
      <c r="Q157" t="str">
        <f t="shared" si="19"/>
        <v>Friday</v>
      </c>
      <c r="R157" t="str">
        <f t="shared" si="20"/>
        <v>Clear</v>
      </c>
      <c r="S157" t="str">
        <f t="shared" si="21"/>
        <v>Night</v>
      </c>
      <c r="T157" t="str">
        <f t="shared" si="22"/>
        <v>Cold</v>
      </c>
    </row>
    <row r="158" spans="1:20">
      <c r="A158" s="1">
        <v>157</v>
      </c>
      <c r="B158" s="2">
        <v>40550</v>
      </c>
      <c r="C158" s="1">
        <v>1</v>
      </c>
      <c r="D158" s="1">
        <v>0</v>
      </c>
      <c r="E158" s="1">
        <v>1</v>
      </c>
      <c r="F158" s="1">
        <v>19</v>
      </c>
      <c r="G158" s="1" t="b">
        <v>0</v>
      </c>
      <c r="H158" s="1">
        <v>5</v>
      </c>
      <c r="I158" s="1">
        <v>1</v>
      </c>
      <c r="J158" s="1">
        <v>0.16</v>
      </c>
      <c r="M158" t="str">
        <f t="shared" si="17"/>
        <v>Unique</v>
      </c>
      <c r="N158" t="str">
        <f t="shared" si="18"/>
        <v>Spring</v>
      </c>
      <c r="O158" t="str">
        <f t="shared" si="16"/>
        <v>2011</v>
      </c>
      <c r="P158" t="str">
        <f t="shared" si="23"/>
        <v>Working Day</v>
      </c>
      <c r="Q158" t="str">
        <f t="shared" si="19"/>
        <v>Friday</v>
      </c>
      <c r="R158" t="str">
        <f t="shared" si="20"/>
        <v>Clear</v>
      </c>
      <c r="S158" t="str">
        <f t="shared" si="21"/>
        <v>Night</v>
      </c>
      <c r="T158" t="str">
        <f t="shared" si="22"/>
        <v>Cold</v>
      </c>
    </row>
    <row r="159" spans="1:20">
      <c r="A159" s="1">
        <v>158</v>
      </c>
      <c r="B159" s="2">
        <v>40550</v>
      </c>
      <c r="C159" s="1">
        <v>1</v>
      </c>
      <c r="D159" s="1">
        <v>0</v>
      </c>
      <c r="E159" s="1">
        <v>1</v>
      </c>
      <c r="F159" s="1">
        <v>20</v>
      </c>
      <c r="G159" s="1" t="b">
        <v>0</v>
      </c>
      <c r="H159" s="1">
        <v>5</v>
      </c>
      <c r="I159" s="1">
        <v>1</v>
      </c>
      <c r="J159" s="1">
        <v>0.18</v>
      </c>
      <c r="M159" t="str">
        <f t="shared" si="17"/>
        <v>Unique</v>
      </c>
      <c r="N159" t="str">
        <f t="shared" si="18"/>
        <v>Spring</v>
      </c>
      <c r="O159" t="str">
        <f t="shared" si="16"/>
        <v>2011</v>
      </c>
      <c r="P159" t="str">
        <f t="shared" si="23"/>
        <v>Working Day</v>
      </c>
      <c r="Q159" t="str">
        <f t="shared" si="19"/>
        <v>Friday</v>
      </c>
      <c r="R159" t="str">
        <f t="shared" si="20"/>
        <v>Clear</v>
      </c>
      <c r="S159" t="str">
        <f t="shared" si="21"/>
        <v>Night</v>
      </c>
      <c r="T159" t="str">
        <f t="shared" si="22"/>
        <v>Cold</v>
      </c>
    </row>
    <row r="160" spans="1:20">
      <c r="A160" s="1">
        <v>159</v>
      </c>
      <c r="B160" s="2">
        <v>40550</v>
      </c>
      <c r="C160" s="1">
        <v>1</v>
      </c>
      <c r="D160" s="1">
        <v>0</v>
      </c>
      <c r="E160" s="1">
        <v>1</v>
      </c>
      <c r="F160" s="1">
        <v>21</v>
      </c>
      <c r="G160" s="1" t="b">
        <v>0</v>
      </c>
      <c r="H160" s="1">
        <v>5</v>
      </c>
      <c r="I160" s="1">
        <v>1</v>
      </c>
      <c r="J160" s="1">
        <v>0.18</v>
      </c>
      <c r="M160" t="str">
        <f t="shared" si="17"/>
        <v>Unique</v>
      </c>
      <c r="N160" t="str">
        <f t="shared" si="18"/>
        <v>Spring</v>
      </c>
      <c r="O160" t="str">
        <f t="shared" si="16"/>
        <v>2011</v>
      </c>
      <c r="P160" t="str">
        <f t="shared" si="23"/>
        <v>Working Day</v>
      </c>
      <c r="Q160" t="str">
        <f t="shared" si="19"/>
        <v>Friday</v>
      </c>
      <c r="R160" t="str">
        <f t="shared" si="20"/>
        <v>Clear</v>
      </c>
      <c r="S160" t="str">
        <f t="shared" si="21"/>
        <v>Night</v>
      </c>
      <c r="T160" t="str">
        <f t="shared" si="22"/>
        <v>Cold</v>
      </c>
    </row>
    <row r="161" spans="1:20">
      <c r="A161" s="1">
        <v>160</v>
      </c>
      <c r="B161" s="2">
        <v>40550</v>
      </c>
      <c r="C161" s="1">
        <v>1</v>
      </c>
      <c r="D161" s="1">
        <v>0</v>
      </c>
      <c r="E161" s="1">
        <v>1</v>
      </c>
      <c r="F161" s="1">
        <v>22</v>
      </c>
      <c r="G161" s="1" t="b">
        <v>0</v>
      </c>
      <c r="H161" s="1">
        <v>5</v>
      </c>
      <c r="I161" s="1">
        <v>2</v>
      </c>
      <c r="J161" s="1">
        <v>0.18</v>
      </c>
      <c r="M161" t="str">
        <f t="shared" si="17"/>
        <v>Unique</v>
      </c>
      <c r="N161" t="str">
        <f t="shared" si="18"/>
        <v>Spring</v>
      </c>
      <c r="O161" t="str">
        <f t="shared" si="16"/>
        <v>2011</v>
      </c>
      <c r="P161" t="str">
        <f t="shared" si="23"/>
        <v>Working Day</v>
      </c>
      <c r="Q161" t="str">
        <f t="shared" si="19"/>
        <v>Friday</v>
      </c>
      <c r="R161" t="str">
        <f t="shared" si="20"/>
        <v>Cloudy</v>
      </c>
      <c r="S161" t="str">
        <f t="shared" si="21"/>
        <v>Night</v>
      </c>
      <c r="T161" t="str">
        <f t="shared" si="22"/>
        <v>Cold</v>
      </c>
    </row>
    <row r="162" spans="1:20">
      <c r="A162" s="1">
        <v>161</v>
      </c>
      <c r="B162" s="2">
        <v>40550</v>
      </c>
      <c r="C162" s="1">
        <v>1</v>
      </c>
      <c r="D162" s="1">
        <v>0</v>
      </c>
      <c r="E162" s="1">
        <v>1</v>
      </c>
      <c r="F162" s="1">
        <v>23</v>
      </c>
      <c r="G162" s="1" t="b">
        <v>0</v>
      </c>
      <c r="H162" s="1">
        <v>5</v>
      </c>
      <c r="I162" s="1">
        <v>2</v>
      </c>
      <c r="J162" s="1">
        <v>0.18</v>
      </c>
      <c r="M162" t="str">
        <f t="shared" si="17"/>
        <v>Unique</v>
      </c>
      <c r="N162" t="str">
        <f t="shared" si="18"/>
        <v>Spring</v>
      </c>
      <c r="O162" t="str">
        <f t="shared" si="16"/>
        <v>2011</v>
      </c>
      <c r="P162" t="str">
        <f t="shared" si="23"/>
        <v>Working Day</v>
      </c>
      <c r="Q162" t="str">
        <f t="shared" si="19"/>
        <v>Friday</v>
      </c>
      <c r="R162" t="str">
        <f t="shared" si="20"/>
        <v>Cloudy</v>
      </c>
      <c r="S162" t="str">
        <f t="shared" si="21"/>
        <v>Night</v>
      </c>
      <c r="T162" t="str">
        <f t="shared" si="22"/>
        <v>Cold</v>
      </c>
    </row>
    <row r="163" spans="1:20">
      <c r="A163" s="1">
        <v>162</v>
      </c>
      <c r="B163" s="2">
        <v>40551</v>
      </c>
      <c r="C163" s="1">
        <v>1</v>
      </c>
      <c r="D163" s="1">
        <v>0</v>
      </c>
      <c r="E163" s="1">
        <v>1</v>
      </c>
      <c r="F163" s="1">
        <v>0</v>
      </c>
      <c r="G163" s="1" t="b">
        <v>0</v>
      </c>
      <c r="H163" s="1">
        <v>6</v>
      </c>
      <c r="I163" s="1">
        <v>2</v>
      </c>
      <c r="J163" s="1">
        <v>0.18</v>
      </c>
      <c r="M163" t="str">
        <f t="shared" si="17"/>
        <v>Unique</v>
      </c>
      <c r="N163" t="str">
        <f t="shared" si="18"/>
        <v>Spring</v>
      </c>
      <c r="O163" t="str">
        <f t="shared" si="16"/>
        <v>2011</v>
      </c>
      <c r="P163" t="str">
        <f t="shared" si="23"/>
        <v>Working Day</v>
      </c>
      <c r="Q163" t="str">
        <f t="shared" si="19"/>
        <v>Saturday</v>
      </c>
      <c r="R163" t="str">
        <f t="shared" si="20"/>
        <v>Cloudy</v>
      </c>
      <c r="S163" t="str">
        <f t="shared" si="21"/>
        <v>Morning</v>
      </c>
      <c r="T163" t="str">
        <f t="shared" si="22"/>
        <v>Cold</v>
      </c>
    </row>
    <row r="164" spans="1:20">
      <c r="A164" s="1">
        <v>163</v>
      </c>
      <c r="B164" s="2">
        <v>40551</v>
      </c>
      <c r="C164" s="1">
        <v>1</v>
      </c>
      <c r="D164" s="1">
        <v>0</v>
      </c>
      <c r="E164" s="1">
        <v>1</v>
      </c>
      <c r="F164" s="1">
        <v>1</v>
      </c>
      <c r="G164" s="1" t="b">
        <v>0</v>
      </c>
      <c r="H164" s="1">
        <v>6</v>
      </c>
      <c r="I164" s="1">
        <v>2</v>
      </c>
      <c r="J164" s="1">
        <v>0.18</v>
      </c>
      <c r="M164" t="str">
        <f t="shared" si="17"/>
        <v>Unique</v>
      </c>
      <c r="N164" t="str">
        <f t="shared" si="18"/>
        <v>Spring</v>
      </c>
      <c r="O164" t="str">
        <f t="shared" si="16"/>
        <v>2011</v>
      </c>
      <c r="P164" t="str">
        <f t="shared" si="23"/>
        <v>Working Day</v>
      </c>
      <c r="Q164" t="str">
        <f t="shared" si="19"/>
        <v>Saturday</v>
      </c>
      <c r="R164" t="str">
        <f t="shared" si="20"/>
        <v>Cloudy</v>
      </c>
      <c r="S164" t="str">
        <f t="shared" si="21"/>
        <v>Morning</v>
      </c>
      <c r="T164" t="str">
        <f t="shared" si="22"/>
        <v>Cold</v>
      </c>
    </row>
    <row r="165" spans="1:20">
      <c r="A165" s="1">
        <v>164</v>
      </c>
      <c r="B165" s="2">
        <v>40551</v>
      </c>
      <c r="C165" s="1">
        <v>1</v>
      </c>
      <c r="D165" s="1">
        <v>0</v>
      </c>
      <c r="E165" s="1">
        <v>1</v>
      </c>
      <c r="F165" s="1">
        <v>2</v>
      </c>
      <c r="G165" s="1" t="b">
        <v>0</v>
      </c>
      <c r="H165" s="1">
        <v>6</v>
      </c>
      <c r="I165" s="1">
        <v>2</v>
      </c>
      <c r="J165" s="1">
        <v>0.18</v>
      </c>
      <c r="M165" t="str">
        <f t="shared" si="17"/>
        <v>Unique</v>
      </c>
      <c r="N165" t="str">
        <f t="shared" si="18"/>
        <v>Spring</v>
      </c>
      <c r="O165" t="str">
        <f t="shared" si="16"/>
        <v>2011</v>
      </c>
      <c r="P165" t="str">
        <f t="shared" si="23"/>
        <v>Working Day</v>
      </c>
      <c r="Q165" t="str">
        <f t="shared" si="19"/>
        <v>Saturday</v>
      </c>
      <c r="R165" t="str">
        <f t="shared" si="20"/>
        <v>Cloudy</v>
      </c>
      <c r="S165" t="str">
        <f t="shared" si="21"/>
        <v>Morning</v>
      </c>
      <c r="T165" t="str">
        <f t="shared" si="22"/>
        <v>Cold</v>
      </c>
    </row>
    <row r="166" spans="1:20">
      <c r="A166" s="1">
        <v>165</v>
      </c>
      <c r="B166" s="2">
        <v>40551</v>
      </c>
      <c r="C166" s="1">
        <v>1</v>
      </c>
      <c r="D166" s="1">
        <v>0</v>
      </c>
      <c r="E166" s="1">
        <v>1</v>
      </c>
      <c r="F166" s="1">
        <v>3</v>
      </c>
      <c r="G166" s="1" t="b">
        <v>0</v>
      </c>
      <c r="H166" s="1">
        <v>6</v>
      </c>
      <c r="I166" s="1">
        <v>3</v>
      </c>
      <c r="J166" s="1">
        <v>0.18</v>
      </c>
      <c r="M166" t="str">
        <f t="shared" si="17"/>
        <v>Unique</v>
      </c>
      <c r="N166" t="str">
        <f t="shared" si="18"/>
        <v>Spring</v>
      </c>
      <c r="O166" t="str">
        <f t="shared" si="16"/>
        <v>2011</v>
      </c>
      <c r="P166" t="str">
        <f t="shared" si="23"/>
        <v>Working Day</v>
      </c>
      <c r="Q166" t="str">
        <f t="shared" si="19"/>
        <v>Saturday</v>
      </c>
      <c r="R166" t="str">
        <f t="shared" si="20"/>
        <v>Rainy</v>
      </c>
      <c r="S166" t="str">
        <f t="shared" si="21"/>
        <v>Morning</v>
      </c>
      <c r="T166" t="str">
        <f t="shared" si="22"/>
        <v>Cold</v>
      </c>
    </row>
    <row r="167" spans="1:20">
      <c r="A167" s="1">
        <v>166</v>
      </c>
      <c r="B167" s="2">
        <v>40551</v>
      </c>
      <c r="C167" s="1">
        <v>1</v>
      </c>
      <c r="D167" s="1">
        <v>0</v>
      </c>
      <c r="E167" s="1">
        <v>1</v>
      </c>
      <c r="F167" s="1">
        <v>4</v>
      </c>
      <c r="G167" s="1" t="b">
        <v>0</v>
      </c>
      <c r="H167" s="1">
        <v>6</v>
      </c>
      <c r="I167" s="1">
        <v>3</v>
      </c>
      <c r="J167" s="1">
        <v>0.18</v>
      </c>
      <c r="M167" t="str">
        <f t="shared" si="17"/>
        <v>Unique</v>
      </c>
      <c r="N167" t="str">
        <f t="shared" si="18"/>
        <v>Spring</v>
      </c>
      <c r="O167" t="str">
        <f t="shared" si="16"/>
        <v>2011</v>
      </c>
      <c r="P167" t="str">
        <f t="shared" si="23"/>
        <v>Working Day</v>
      </c>
      <c r="Q167" t="str">
        <f t="shared" si="19"/>
        <v>Saturday</v>
      </c>
      <c r="R167" t="str">
        <f t="shared" si="20"/>
        <v>Rainy</v>
      </c>
      <c r="S167" t="str">
        <f t="shared" si="21"/>
        <v>Morning</v>
      </c>
      <c r="T167" t="str">
        <f t="shared" si="22"/>
        <v>Cold</v>
      </c>
    </row>
    <row r="168" spans="1:20">
      <c r="A168" s="1">
        <v>167</v>
      </c>
      <c r="B168" s="2">
        <v>40551</v>
      </c>
      <c r="C168" s="1">
        <v>1</v>
      </c>
      <c r="D168" s="1">
        <v>0</v>
      </c>
      <c r="E168" s="1">
        <v>1</v>
      </c>
      <c r="F168" s="1">
        <v>5</v>
      </c>
      <c r="G168" s="1" t="b">
        <v>0</v>
      </c>
      <c r="H168" s="1">
        <v>6</v>
      </c>
      <c r="I168" s="1">
        <v>2</v>
      </c>
      <c r="J168" s="1">
        <v>0.16</v>
      </c>
      <c r="M168" t="str">
        <f t="shared" si="17"/>
        <v>Unique</v>
      </c>
      <c r="N168" t="str">
        <f t="shared" si="18"/>
        <v>Spring</v>
      </c>
      <c r="O168" t="str">
        <f t="shared" si="16"/>
        <v>2011</v>
      </c>
      <c r="P168" t="str">
        <f t="shared" si="23"/>
        <v>Working Day</v>
      </c>
      <c r="Q168" t="str">
        <f t="shared" si="19"/>
        <v>Saturday</v>
      </c>
      <c r="R168" t="str">
        <f t="shared" si="20"/>
        <v>Cloudy</v>
      </c>
      <c r="S168" t="str">
        <f t="shared" si="21"/>
        <v>Morning</v>
      </c>
      <c r="T168" t="str">
        <f t="shared" si="22"/>
        <v>Cold</v>
      </c>
    </row>
    <row r="169" spans="1:20">
      <c r="A169" s="1">
        <v>168</v>
      </c>
      <c r="B169" s="2">
        <v>40551</v>
      </c>
      <c r="C169" s="1">
        <v>1</v>
      </c>
      <c r="D169" s="1">
        <v>0</v>
      </c>
      <c r="E169" s="1">
        <v>1</v>
      </c>
      <c r="F169" s="1">
        <v>6</v>
      </c>
      <c r="G169" s="1" t="b">
        <v>0</v>
      </c>
      <c r="H169" s="1">
        <v>6</v>
      </c>
      <c r="I169" s="1">
        <v>2</v>
      </c>
      <c r="J169" s="1">
        <v>0.16</v>
      </c>
      <c r="M169" t="str">
        <f t="shared" si="17"/>
        <v>Unique</v>
      </c>
      <c r="N169" t="str">
        <f t="shared" si="18"/>
        <v>Spring</v>
      </c>
      <c r="O169" t="str">
        <f t="shared" si="16"/>
        <v>2011</v>
      </c>
      <c r="P169" t="str">
        <f t="shared" si="23"/>
        <v>Working Day</v>
      </c>
      <c r="Q169" t="str">
        <f t="shared" si="19"/>
        <v>Saturday</v>
      </c>
      <c r="R169" t="str">
        <f t="shared" si="20"/>
        <v>Cloudy</v>
      </c>
      <c r="S169" t="str">
        <f t="shared" si="21"/>
        <v>Morning</v>
      </c>
      <c r="T169" t="str">
        <f t="shared" si="22"/>
        <v>Cold</v>
      </c>
    </row>
    <row r="170" spans="1:20">
      <c r="A170" s="1">
        <v>169</v>
      </c>
      <c r="B170" s="2">
        <v>40551</v>
      </c>
      <c r="C170" s="1">
        <v>1</v>
      </c>
      <c r="D170" s="1">
        <v>0</v>
      </c>
      <c r="E170" s="1">
        <v>1</v>
      </c>
      <c r="F170" s="1">
        <v>7</v>
      </c>
      <c r="G170" s="1" t="b">
        <v>0</v>
      </c>
      <c r="H170" s="1">
        <v>6</v>
      </c>
      <c r="I170" s="1">
        <v>2</v>
      </c>
      <c r="J170" s="1">
        <v>0.16</v>
      </c>
      <c r="M170" t="str">
        <f t="shared" si="17"/>
        <v>Unique</v>
      </c>
      <c r="N170" t="str">
        <f t="shared" si="18"/>
        <v>Spring</v>
      </c>
      <c r="O170" t="str">
        <f t="shared" si="16"/>
        <v>2011</v>
      </c>
      <c r="P170" t="str">
        <f t="shared" si="23"/>
        <v>Working Day</v>
      </c>
      <c r="Q170" t="str">
        <f t="shared" si="19"/>
        <v>Saturday</v>
      </c>
      <c r="R170" t="str">
        <f t="shared" si="20"/>
        <v>Cloudy</v>
      </c>
      <c r="S170" t="str">
        <f t="shared" si="21"/>
        <v>Morning</v>
      </c>
      <c r="T170" t="str">
        <f t="shared" si="22"/>
        <v>Cold</v>
      </c>
    </row>
    <row r="171" spans="1:20">
      <c r="A171" s="1">
        <v>170</v>
      </c>
      <c r="B171" s="2">
        <v>40551</v>
      </c>
      <c r="C171" s="1">
        <v>1</v>
      </c>
      <c r="D171" s="1">
        <v>0</v>
      </c>
      <c r="E171" s="1">
        <v>1</v>
      </c>
      <c r="F171" s="1">
        <v>8</v>
      </c>
      <c r="G171" s="1" t="b">
        <v>0</v>
      </c>
      <c r="H171" s="1">
        <v>6</v>
      </c>
      <c r="I171" s="1">
        <v>3</v>
      </c>
      <c r="J171" s="1">
        <v>0.16</v>
      </c>
      <c r="M171" t="str">
        <f t="shared" si="17"/>
        <v>Unique</v>
      </c>
      <c r="N171" t="str">
        <f t="shared" si="18"/>
        <v>Spring</v>
      </c>
      <c r="O171" t="str">
        <f t="shared" si="16"/>
        <v>2011</v>
      </c>
      <c r="P171" t="str">
        <f t="shared" si="23"/>
        <v>Working Day</v>
      </c>
      <c r="Q171" t="str">
        <f t="shared" si="19"/>
        <v>Saturday</v>
      </c>
      <c r="R171" t="str">
        <f t="shared" si="20"/>
        <v>Rainy</v>
      </c>
      <c r="S171" t="str">
        <f t="shared" si="21"/>
        <v>Morning</v>
      </c>
      <c r="T171" t="str">
        <f t="shared" si="22"/>
        <v>Cold</v>
      </c>
    </row>
    <row r="172" spans="1:20">
      <c r="A172" s="1">
        <v>171</v>
      </c>
      <c r="B172" s="2">
        <v>40551</v>
      </c>
      <c r="C172" s="1">
        <v>1</v>
      </c>
      <c r="D172" s="1">
        <v>0</v>
      </c>
      <c r="E172" s="1">
        <v>1</v>
      </c>
      <c r="F172" s="1">
        <v>9</v>
      </c>
      <c r="G172" s="1" t="b">
        <v>0</v>
      </c>
      <c r="H172" s="1">
        <v>6</v>
      </c>
      <c r="I172" s="1">
        <v>3</v>
      </c>
      <c r="J172" s="1">
        <v>0.16</v>
      </c>
      <c r="M172" t="str">
        <f t="shared" si="17"/>
        <v>Unique</v>
      </c>
      <c r="N172" t="str">
        <f t="shared" si="18"/>
        <v>Spring</v>
      </c>
      <c r="O172" t="str">
        <f t="shared" si="16"/>
        <v>2011</v>
      </c>
      <c r="P172" t="str">
        <f t="shared" si="23"/>
        <v>Working Day</v>
      </c>
      <c r="Q172" t="str">
        <f t="shared" si="19"/>
        <v>Saturday</v>
      </c>
      <c r="R172" t="str">
        <f t="shared" si="20"/>
        <v>Rainy</v>
      </c>
      <c r="S172" t="str">
        <f t="shared" si="21"/>
        <v>Morning</v>
      </c>
      <c r="T172" t="str">
        <f t="shared" si="22"/>
        <v>Cold</v>
      </c>
    </row>
    <row r="173" spans="1:20">
      <c r="A173" s="1">
        <v>172</v>
      </c>
      <c r="B173" s="2">
        <v>40551</v>
      </c>
      <c r="C173" s="1">
        <v>1</v>
      </c>
      <c r="D173" s="1">
        <v>0</v>
      </c>
      <c r="E173" s="1">
        <v>1</v>
      </c>
      <c r="F173" s="1">
        <v>10</v>
      </c>
      <c r="G173" s="1" t="b">
        <v>0</v>
      </c>
      <c r="H173" s="1">
        <v>6</v>
      </c>
      <c r="I173" s="1">
        <v>2</v>
      </c>
      <c r="J173" s="1">
        <v>0.18</v>
      </c>
      <c r="M173" t="str">
        <f t="shared" si="17"/>
        <v>Unique</v>
      </c>
      <c r="N173" t="str">
        <f t="shared" si="18"/>
        <v>Spring</v>
      </c>
      <c r="O173" t="str">
        <f t="shared" si="16"/>
        <v>2011</v>
      </c>
      <c r="P173" t="str">
        <f t="shared" si="23"/>
        <v>Working Day</v>
      </c>
      <c r="Q173" t="str">
        <f t="shared" si="19"/>
        <v>Saturday</v>
      </c>
      <c r="R173" t="str">
        <f t="shared" si="20"/>
        <v>Cloudy</v>
      </c>
      <c r="S173" t="str">
        <f t="shared" si="21"/>
        <v>Morning</v>
      </c>
      <c r="T173" t="str">
        <f t="shared" si="22"/>
        <v>Cold</v>
      </c>
    </row>
    <row r="174" spans="1:20">
      <c r="A174" s="1">
        <v>173</v>
      </c>
      <c r="B174" s="2">
        <v>40551</v>
      </c>
      <c r="C174" s="1">
        <v>1</v>
      </c>
      <c r="D174" s="1">
        <v>0</v>
      </c>
      <c r="E174" s="1">
        <v>1</v>
      </c>
      <c r="F174" s="1">
        <v>11</v>
      </c>
      <c r="G174" s="1" t="b">
        <v>0</v>
      </c>
      <c r="H174" s="1">
        <v>6</v>
      </c>
      <c r="I174" s="1">
        <v>2</v>
      </c>
      <c r="J174" s="1">
        <v>0.2</v>
      </c>
      <c r="M174" t="str">
        <f t="shared" si="17"/>
        <v>Unique</v>
      </c>
      <c r="N174" t="str">
        <f t="shared" si="18"/>
        <v>Spring</v>
      </c>
      <c r="O174" t="str">
        <f t="shared" si="16"/>
        <v>2011</v>
      </c>
      <c r="P174" t="str">
        <f t="shared" si="23"/>
        <v>Working Day</v>
      </c>
      <c r="Q174" t="str">
        <f t="shared" si="19"/>
        <v>Saturday</v>
      </c>
      <c r="R174" t="str">
        <f t="shared" si="20"/>
        <v>Cloudy</v>
      </c>
      <c r="S174" t="str">
        <f t="shared" si="21"/>
        <v>Morning</v>
      </c>
      <c r="T174" t="str">
        <f t="shared" si="22"/>
        <v>Cold</v>
      </c>
    </row>
    <row r="175" spans="1:20">
      <c r="A175" s="1">
        <v>174</v>
      </c>
      <c r="B175" s="2">
        <v>40551</v>
      </c>
      <c r="C175" s="1">
        <v>1</v>
      </c>
      <c r="D175" s="1">
        <v>0</v>
      </c>
      <c r="E175" s="1">
        <v>1</v>
      </c>
      <c r="F175" s="1">
        <v>12</v>
      </c>
      <c r="G175" s="1" t="b">
        <v>0</v>
      </c>
      <c r="H175" s="1">
        <v>6</v>
      </c>
      <c r="I175" s="1">
        <v>2</v>
      </c>
      <c r="J175" s="1">
        <v>0.2</v>
      </c>
      <c r="M175" t="str">
        <f t="shared" si="17"/>
        <v>Unique</v>
      </c>
      <c r="N175" t="str">
        <f t="shared" si="18"/>
        <v>Spring</v>
      </c>
      <c r="O175" t="str">
        <f t="shared" si="16"/>
        <v>2011</v>
      </c>
      <c r="P175" t="str">
        <f t="shared" si="23"/>
        <v>Working Day</v>
      </c>
      <c r="Q175" t="str">
        <f t="shared" si="19"/>
        <v>Saturday</v>
      </c>
      <c r="R175" t="str">
        <f t="shared" si="20"/>
        <v>Cloudy</v>
      </c>
      <c r="S175" t="str">
        <f t="shared" si="21"/>
        <v>Afternoon</v>
      </c>
      <c r="T175" t="str">
        <f t="shared" si="22"/>
        <v>Cold</v>
      </c>
    </row>
    <row r="176" spans="1:20">
      <c r="A176" s="1">
        <v>175</v>
      </c>
      <c r="B176" s="2">
        <v>40551</v>
      </c>
      <c r="C176" s="1">
        <v>1</v>
      </c>
      <c r="D176" s="1">
        <v>0</v>
      </c>
      <c r="E176" s="1">
        <v>1</v>
      </c>
      <c r="F176" s="1">
        <v>13</v>
      </c>
      <c r="G176" s="1" t="b">
        <v>0</v>
      </c>
      <c r="H176" s="1">
        <v>6</v>
      </c>
      <c r="I176" s="1">
        <v>1</v>
      </c>
      <c r="J176" s="1">
        <v>0.2</v>
      </c>
      <c r="M176" t="str">
        <f t="shared" si="17"/>
        <v>Unique</v>
      </c>
      <c r="N176" t="str">
        <f t="shared" si="18"/>
        <v>Spring</v>
      </c>
      <c r="O176" t="str">
        <f t="shared" si="16"/>
        <v>2011</v>
      </c>
      <c r="P176" t="str">
        <f t="shared" si="23"/>
        <v>Working Day</v>
      </c>
      <c r="Q176" t="str">
        <f t="shared" si="19"/>
        <v>Saturday</v>
      </c>
      <c r="R176" t="str">
        <f t="shared" si="20"/>
        <v>Clear</v>
      </c>
      <c r="S176" t="str">
        <f t="shared" si="21"/>
        <v>Afternoon</v>
      </c>
      <c r="T176" t="str">
        <f t="shared" si="22"/>
        <v>Cold</v>
      </c>
    </row>
    <row r="177" spans="1:20">
      <c r="A177" s="1">
        <v>176</v>
      </c>
      <c r="B177" s="2">
        <v>40551</v>
      </c>
      <c r="C177" s="1">
        <v>1</v>
      </c>
      <c r="D177" s="1">
        <v>0</v>
      </c>
      <c r="E177" s="1">
        <v>1</v>
      </c>
      <c r="F177" s="1">
        <v>14</v>
      </c>
      <c r="G177" s="1" t="b">
        <v>0</v>
      </c>
      <c r="H177" s="1">
        <v>6</v>
      </c>
      <c r="I177" s="1">
        <v>1</v>
      </c>
      <c r="J177" s="1">
        <v>0.2</v>
      </c>
      <c r="M177" t="str">
        <f t="shared" si="17"/>
        <v>Unique</v>
      </c>
      <c r="N177" t="str">
        <f t="shared" si="18"/>
        <v>Spring</v>
      </c>
      <c r="O177" t="str">
        <f t="shared" si="16"/>
        <v>2011</v>
      </c>
      <c r="P177" t="str">
        <f t="shared" si="23"/>
        <v>Working Day</v>
      </c>
      <c r="Q177" t="str">
        <f t="shared" si="19"/>
        <v>Saturday</v>
      </c>
      <c r="R177" t="str">
        <f t="shared" si="20"/>
        <v>Clear</v>
      </c>
      <c r="S177" t="str">
        <f t="shared" si="21"/>
        <v>Afternoon</v>
      </c>
      <c r="T177" t="str">
        <f t="shared" si="22"/>
        <v>Cold</v>
      </c>
    </row>
    <row r="178" spans="1:20">
      <c r="A178" s="1">
        <v>177</v>
      </c>
      <c r="B178" s="2">
        <v>40551</v>
      </c>
      <c r="C178" s="1">
        <v>1</v>
      </c>
      <c r="D178" s="1">
        <v>0</v>
      </c>
      <c r="E178" s="1">
        <v>1</v>
      </c>
      <c r="F178" s="1">
        <v>15</v>
      </c>
      <c r="G178" s="1" t="b">
        <v>0</v>
      </c>
      <c r="H178" s="1">
        <v>6</v>
      </c>
      <c r="I178" s="1">
        <v>1</v>
      </c>
      <c r="J178" s="1">
        <v>0.2</v>
      </c>
      <c r="M178" t="str">
        <f t="shared" si="17"/>
        <v>Unique</v>
      </c>
      <c r="N178" t="str">
        <f t="shared" si="18"/>
        <v>Spring</v>
      </c>
      <c r="O178" t="str">
        <f t="shared" si="16"/>
        <v>2011</v>
      </c>
      <c r="P178" t="str">
        <f t="shared" si="23"/>
        <v>Working Day</v>
      </c>
      <c r="Q178" t="str">
        <f t="shared" si="19"/>
        <v>Saturday</v>
      </c>
      <c r="R178" t="str">
        <f t="shared" si="20"/>
        <v>Clear</v>
      </c>
      <c r="S178" t="str">
        <f t="shared" si="21"/>
        <v>Afternoon</v>
      </c>
      <c r="T178" t="str">
        <f t="shared" si="22"/>
        <v>Cold</v>
      </c>
    </row>
    <row r="179" spans="1:20">
      <c r="A179" s="1">
        <v>178</v>
      </c>
      <c r="B179" s="2">
        <v>40551</v>
      </c>
      <c r="C179" s="1">
        <v>1</v>
      </c>
      <c r="D179" s="1">
        <v>0</v>
      </c>
      <c r="E179" s="1">
        <v>1</v>
      </c>
      <c r="F179" s="1">
        <v>16</v>
      </c>
      <c r="G179" s="1" t="b">
        <v>0</v>
      </c>
      <c r="H179" s="1">
        <v>6</v>
      </c>
      <c r="I179" s="1">
        <v>1</v>
      </c>
      <c r="J179" s="1">
        <v>0.18</v>
      </c>
      <c r="M179" t="str">
        <f t="shared" si="17"/>
        <v>Unique</v>
      </c>
      <c r="N179" t="str">
        <f t="shared" si="18"/>
        <v>Spring</v>
      </c>
      <c r="O179" t="str">
        <f t="shared" si="16"/>
        <v>2011</v>
      </c>
      <c r="P179" t="str">
        <f t="shared" si="23"/>
        <v>Working Day</v>
      </c>
      <c r="Q179" t="str">
        <f t="shared" si="19"/>
        <v>Saturday</v>
      </c>
      <c r="R179" t="str">
        <f t="shared" si="20"/>
        <v>Clear</v>
      </c>
      <c r="S179" t="str">
        <f t="shared" si="21"/>
        <v>Afternoon</v>
      </c>
      <c r="T179" t="str">
        <f t="shared" si="22"/>
        <v>Cold</v>
      </c>
    </row>
    <row r="180" spans="1:20">
      <c r="A180" s="1">
        <v>179</v>
      </c>
      <c r="B180" s="2">
        <v>40551</v>
      </c>
      <c r="C180" s="1">
        <v>1</v>
      </c>
      <c r="D180" s="1">
        <v>0</v>
      </c>
      <c r="E180" s="1">
        <v>1</v>
      </c>
      <c r="F180" s="1">
        <v>17</v>
      </c>
      <c r="G180" s="1" t="b">
        <v>0</v>
      </c>
      <c r="H180" s="1">
        <v>6</v>
      </c>
      <c r="I180" s="1">
        <v>1</v>
      </c>
      <c r="J180" s="1">
        <v>0.16</v>
      </c>
      <c r="M180" t="str">
        <f t="shared" si="17"/>
        <v>Unique</v>
      </c>
      <c r="N180" t="str">
        <f t="shared" si="18"/>
        <v>Spring</v>
      </c>
      <c r="O180" t="str">
        <f t="shared" si="16"/>
        <v>2011</v>
      </c>
      <c r="P180" t="str">
        <f t="shared" si="23"/>
        <v>Working Day</v>
      </c>
      <c r="Q180" t="str">
        <f t="shared" si="19"/>
        <v>Saturday</v>
      </c>
      <c r="R180" t="str">
        <f t="shared" si="20"/>
        <v>Clear</v>
      </c>
      <c r="S180" t="str">
        <f t="shared" si="21"/>
        <v>Afternoon</v>
      </c>
      <c r="T180" t="str">
        <f t="shared" si="22"/>
        <v>Cold</v>
      </c>
    </row>
    <row r="181" spans="1:20">
      <c r="A181" s="1">
        <v>180</v>
      </c>
      <c r="B181" s="2">
        <v>40551</v>
      </c>
      <c r="C181" s="1">
        <v>1</v>
      </c>
      <c r="D181" s="1">
        <v>0</v>
      </c>
      <c r="E181" s="1">
        <v>1</v>
      </c>
      <c r="F181" s="1">
        <v>18</v>
      </c>
      <c r="G181" s="1" t="b">
        <v>0</v>
      </c>
      <c r="H181" s="1">
        <v>6</v>
      </c>
      <c r="I181" s="1">
        <v>1</v>
      </c>
      <c r="J181" s="1">
        <v>0.14000000000000001</v>
      </c>
      <c r="M181" t="str">
        <f t="shared" si="17"/>
        <v>Unique</v>
      </c>
      <c r="N181" t="str">
        <f t="shared" si="18"/>
        <v>Spring</v>
      </c>
      <c r="O181" t="str">
        <f t="shared" si="16"/>
        <v>2011</v>
      </c>
      <c r="P181" t="str">
        <f t="shared" si="23"/>
        <v>Working Day</v>
      </c>
      <c r="Q181" t="str">
        <f t="shared" si="19"/>
        <v>Saturday</v>
      </c>
      <c r="R181" t="str">
        <f t="shared" si="20"/>
        <v>Clear</v>
      </c>
      <c r="S181" t="str">
        <f t="shared" si="21"/>
        <v>Night</v>
      </c>
      <c r="T181" t="str">
        <f t="shared" si="22"/>
        <v>Cold</v>
      </c>
    </row>
    <row r="182" spans="1:20">
      <c r="A182" s="1">
        <v>181</v>
      </c>
      <c r="B182" s="2">
        <v>40551</v>
      </c>
      <c r="C182" s="1">
        <v>1</v>
      </c>
      <c r="D182" s="1">
        <v>0</v>
      </c>
      <c r="E182" s="1">
        <v>1</v>
      </c>
      <c r="F182" s="1">
        <v>19</v>
      </c>
      <c r="G182" s="1" t="b">
        <v>0</v>
      </c>
      <c r="H182" s="1">
        <v>6</v>
      </c>
      <c r="I182" s="1">
        <v>1</v>
      </c>
      <c r="J182" s="1">
        <v>0.14000000000000001</v>
      </c>
      <c r="M182" t="str">
        <f t="shared" si="17"/>
        <v>Unique</v>
      </c>
      <c r="N182" t="str">
        <f t="shared" si="18"/>
        <v>Spring</v>
      </c>
      <c r="O182" t="str">
        <f t="shared" si="16"/>
        <v>2011</v>
      </c>
      <c r="P182" t="str">
        <f t="shared" si="23"/>
        <v>Working Day</v>
      </c>
      <c r="Q182" t="str">
        <f t="shared" si="19"/>
        <v>Saturday</v>
      </c>
      <c r="R182" t="str">
        <f t="shared" si="20"/>
        <v>Clear</v>
      </c>
      <c r="S182" t="str">
        <f t="shared" si="21"/>
        <v>Night</v>
      </c>
      <c r="T182" t="str">
        <f t="shared" si="22"/>
        <v>Cold</v>
      </c>
    </row>
    <row r="183" spans="1:20">
      <c r="A183" s="1">
        <v>182</v>
      </c>
      <c r="B183" s="2">
        <v>40551</v>
      </c>
      <c r="C183" s="1">
        <v>1</v>
      </c>
      <c r="D183" s="1">
        <v>0</v>
      </c>
      <c r="E183" s="1">
        <v>1</v>
      </c>
      <c r="F183" s="1">
        <v>20</v>
      </c>
      <c r="G183" s="1" t="b">
        <v>0</v>
      </c>
      <c r="H183" s="1">
        <v>6</v>
      </c>
      <c r="I183" s="1">
        <v>1</v>
      </c>
      <c r="J183" s="1">
        <v>0.12</v>
      </c>
      <c r="M183" t="str">
        <f t="shared" si="17"/>
        <v>Unique</v>
      </c>
      <c r="N183" t="str">
        <f t="shared" si="18"/>
        <v>Spring</v>
      </c>
      <c r="O183" t="str">
        <f t="shared" si="16"/>
        <v>2011</v>
      </c>
      <c r="P183" t="str">
        <f t="shared" si="23"/>
        <v>Working Day</v>
      </c>
      <c r="Q183" t="str">
        <f t="shared" si="19"/>
        <v>Saturday</v>
      </c>
      <c r="R183" t="str">
        <f t="shared" si="20"/>
        <v>Clear</v>
      </c>
      <c r="S183" t="str">
        <f t="shared" si="21"/>
        <v>Night</v>
      </c>
      <c r="T183" t="str">
        <f t="shared" si="22"/>
        <v>Cold</v>
      </c>
    </row>
    <row r="184" spans="1:20">
      <c r="A184" s="1">
        <v>183</v>
      </c>
      <c r="B184" s="2">
        <v>40551</v>
      </c>
      <c r="C184" s="1">
        <v>1</v>
      </c>
      <c r="D184" s="1">
        <v>0</v>
      </c>
      <c r="E184" s="1">
        <v>1</v>
      </c>
      <c r="F184" s="1">
        <v>21</v>
      </c>
      <c r="G184" s="1" t="b">
        <v>0</v>
      </c>
      <c r="H184" s="1">
        <v>6</v>
      </c>
      <c r="I184" s="1">
        <v>1</v>
      </c>
      <c r="J184" s="1">
        <v>0.12</v>
      </c>
      <c r="M184" t="str">
        <f t="shared" si="17"/>
        <v>Unique</v>
      </c>
      <c r="N184" t="str">
        <f t="shared" si="18"/>
        <v>Spring</v>
      </c>
      <c r="O184" t="str">
        <f t="shared" si="16"/>
        <v>2011</v>
      </c>
      <c r="P184" t="str">
        <f t="shared" si="23"/>
        <v>Working Day</v>
      </c>
      <c r="Q184" t="str">
        <f t="shared" si="19"/>
        <v>Saturday</v>
      </c>
      <c r="R184" t="str">
        <f t="shared" si="20"/>
        <v>Clear</v>
      </c>
      <c r="S184" t="str">
        <f t="shared" si="21"/>
        <v>Night</v>
      </c>
      <c r="T184" t="str">
        <f t="shared" si="22"/>
        <v>Cold</v>
      </c>
    </row>
    <row r="185" spans="1:20">
      <c r="A185" s="1">
        <v>184</v>
      </c>
      <c r="B185" s="2">
        <v>40551</v>
      </c>
      <c r="C185" s="1">
        <v>1</v>
      </c>
      <c r="D185" s="1">
        <v>0</v>
      </c>
      <c r="E185" s="1">
        <v>1</v>
      </c>
      <c r="F185" s="1">
        <v>22</v>
      </c>
      <c r="G185" s="1" t="b">
        <v>0</v>
      </c>
      <c r="H185" s="1">
        <v>6</v>
      </c>
      <c r="I185" s="1">
        <v>1</v>
      </c>
      <c r="J185" s="1">
        <v>0.12</v>
      </c>
      <c r="M185" t="str">
        <f t="shared" si="17"/>
        <v>Unique</v>
      </c>
      <c r="N185" t="str">
        <f t="shared" si="18"/>
        <v>Spring</v>
      </c>
      <c r="O185" t="str">
        <f t="shared" si="16"/>
        <v>2011</v>
      </c>
      <c r="P185" t="str">
        <f t="shared" si="23"/>
        <v>Working Day</v>
      </c>
      <c r="Q185" t="str">
        <f t="shared" si="19"/>
        <v>Saturday</v>
      </c>
      <c r="R185" t="str">
        <f t="shared" si="20"/>
        <v>Clear</v>
      </c>
      <c r="S185" t="str">
        <f t="shared" si="21"/>
        <v>Night</v>
      </c>
      <c r="T185" t="str">
        <f t="shared" si="22"/>
        <v>Cold</v>
      </c>
    </row>
    <row r="186" spans="1:20">
      <c r="A186" s="1">
        <v>185</v>
      </c>
      <c r="B186" s="2">
        <v>40551</v>
      </c>
      <c r="C186" s="1">
        <v>1</v>
      </c>
      <c r="D186" s="1">
        <v>0</v>
      </c>
      <c r="E186" s="1">
        <v>1</v>
      </c>
      <c r="F186" s="1">
        <v>23</v>
      </c>
      <c r="G186" s="1" t="b">
        <v>0</v>
      </c>
      <c r="H186" s="1">
        <v>6</v>
      </c>
      <c r="I186" s="1">
        <v>1</v>
      </c>
      <c r="J186" s="1">
        <v>0.1</v>
      </c>
      <c r="M186" t="str">
        <f t="shared" si="17"/>
        <v>Unique</v>
      </c>
      <c r="N186" t="str">
        <f t="shared" si="18"/>
        <v>Spring</v>
      </c>
      <c r="O186" t="str">
        <f t="shared" si="16"/>
        <v>2011</v>
      </c>
      <c r="P186" t="str">
        <f t="shared" si="23"/>
        <v>Working Day</v>
      </c>
      <c r="Q186" t="str">
        <f t="shared" si="19"/>
        <v>Saturday</v>
      </c>
      <c r="R186" t="str">
        <f t="shared" si="20"/>
        <v>Clear</v>
      </c>
      <c r="S186" t="str">
        <f t="shared" si="21"/>
        <v>Night</v>
      </c>
      <c r="T186" t="str">
        <f t="shared" si="22"/>
        <v>Cold</v>
      </c>
    </row>
    <row r="187" spans="1:20">
      <c r="A187" s="1">
        <v>186</v>
      </c>
      <c r="B187" s="2">
        <v>40552</v>
      </c>
      <c r="C187" s="1">
        <v>1</v>
      </c>
      <c r="D187" s="1">
        <v>0</v>
      </c>
      <c r="E187" s="1">
        <v>1</v>
      </c>
      <c r="F187" s="1">
        <v>0</v>
      </c>
      <c r="G187" s="1" t="b">
        <v>0</v>
      </c>
      <c r="H187" s="1">
        <v>0</v>
      </c>
      <c r="I187" s="1">
        <v>1</v>
      </c>
      <c r="J187" s="1">
        <v>0.1</v>
      </c>
      <c r="M187" t="str">
        <f t="shared" si="17"/>
        <v>Unique</v>
      </c>
      <c r="N187" t="str">
        <f t="shared" si="18"/>
        <v>Spring</v>
      </c>
      <c r="O187" t="str">
        <f t="shared" si="16"/>
        <v>2011</v>
      </c>
      <c r="P187" t="str">
        <f t="shared" si="23"/>
        <v>Working Day</v>
      </c>
      <c r="Q187" t="str">
        <f t="shared" si="19"/>
        <v>Sunday</v>
      </c>
      <c r="R187" t="str">
        <f t="shared" si="20"/>
        <v>Clear</v>
      </c>
      <c r="S187" t="str">
        <f t="shared" si="21"/>
        <v>Morning</v>
      </c>
      <c r="T187" t="str">
        <f t="shared" si="22"/>
        <v>Cold</v>
      </c>
    </row>
    <row r="188" spans="1:20">
      <c r="A188" s="1">
        <v>187</v>
      </c>
      <c r="B188" s="2">
        <v>40552</v>
      </c>
      <c r="C188" s="1">
        <v>1</v>
      </c>
      <c r="D188" s="1">
        <v>0</v>
      </c>
      <c r="E188" s="1">
        <v>1</v>
      </c>
      <c r="F188" s="1">
        <v>1</v>
      </c>
      <c r="G188" s="1" t="b">
        <v>0</v>
      </c>
      <c r="H188" s="1">
        <v>0</v>
      </c>
      <c r="I188" s="1">
        <v>1</v>
      </c>
      <c r="J188" s="1">
        <v>0.1</v>
      </c>
      <c r="M188" t="str">
        <f t="shared" si="17"/>
        <v>Unique</v>
      </c>
      <c r="N188" t="str">
        <f t="shared" si="18"/>
        <v>Spring</v>
      </c>
      <c r="O188" t="str">
        <f t="shared" si="16"/>
        <v>2011</v>
      </c>
      <c r="P188" t="str">
        <f t="shared" si="23"/>
        <v>Working Day</v>
      </c>
      <c r="Q188" t="str">
        <f t="shared" si="19"/>
        <v>Sunday</v>
      </c>
      <c r="R188" t="str">
        <f t="shared" si="20"/>
        <v>Clear</v>
      </c>
      <c r="S188" t="str">
        <f t="shared" si="21"/>
        <v>Morning</v>
      </c>
      <c r="T188" t="str">
        <f t="shared" si="22"/>
        <v>Cold</v>
      </c>
    </row>
    <row r="189" spans="1:20">
      <c r="A189" s="1">
        <v>188</v>
      </c>
      <c r="B189" s="2">
        <v>40552</v>
      </c>
      <c r="C189" s="1">
        <v>1</v>
      </c>
      <c r="D189" s="1">
        <v>0</v>
      </c>
      <c r="E189" s="1">
        <v>1</v>
      </c>
      <c r="F189" s="1">
        <v>2</v>
      </c>
      <c r="G189" s="1" t="b">
        <v>0</v>
      </c>
      <c r="H189" s="1">
        <v>0</v>
      </c>
      <c r="I189" s="1">
        <v>1</v>
      </c>
      <c r="J189" s="1">
        <v>0.1</v>
      </c>
      <c r="M189" t="str">
        <f t="shared" si="17"/>
        <v>Unique</v>
      </c>
      <c r="N189" t="str">
        <f t="shared" si="18"/>
        <v>Spring</v>
      </c>
      <c r="O189" t="str">
        <f t="shared" si="16"/>
        <v>2011</v>
      </c>
      <c r="P189" t="str">
        <f t="shared" si="23"/>
        <v>Working Day</v>
      </c>
      <c r="Q189" t="str">
        <f t="shared" si="19"/>
        <v>Sunday</v>
      </c>
      <c r="R189" t="str">
        <f t="shared" si="20"/>
        <v>Clear</v>
      </c>
      <c r="S189" t="str">
        <f t="shared" si="21"/>
        <v>Morning</v>
      </c>
      <c r="T189" t="str">
        <f t="shared" si="22"/>
        <v>Cold</v>
      </c>
    </row>
    <row r="190" spans="1:20">
      <c r="A190" s="1">
        <v>189</v>
      </c>
      <c r="B190" s="2">
        <v>40552</v>
      </c>
      <c r="C190" s="1">
        <v>1</v>
      </c>
      <c r="D190" s="1">
        <v>0</v>
      </c>
      <c r="E190" s="1">
        <v>1</v>
      </c>
      <c r="F190" s="1">
        <v>3</v>
      </c>
      <c r="G190" s="1" t="b">
        <v>0</v>
      </c>
      <c r="H190" s="1">
        <v>0</v>
      </c>
      <c r="I190" s="1">
        <v>1</v>
      </c>
      <c r="J190" s="1">
        <v>0.1</v>
      </c>
      <c r="M190" t="str">
        <f t="shared" si="17"/>
        <v>Unique</v>
      </c>
      <c r="N190" t="str">
        <f t="shared" si="18"/>
        <v>Spring</v>
      </c>
      <c r="O190" t="str">
        <f t="shared" si="16"/>
        <v>2011</v>
      </c>
      <c r="P190" t="str">
        <f t="shared" si="23"/>
        <v>Working Day</v>
      </c>
      <c r="Q190" t="str">
        <f t="shared" si="19"/>
        <v>Sunday</v>
      </c>
      <c r="R190" t="str">
        <f t="shared" si="20"/>
        <v>Clear</v>
      </c>
      <c r="S190" t="str">
        <f t="shared" si="21"/>
        <v>Morning</v>
      </c>
      <c r="T190" t="str">
        <f t="shared" si="22"/>
        <v>Cold</v>
      </c>
    </row>
    <row r="191" spans="1:20">
      <c r="A191" s="1">
        <v>190</v>
      </c>
      <c r="B191" s="2">
        <v>40552</v>
      </c>
      <c r="C191" s="1">
        <v>1</v>
      </c>
      <c r="D191" s="1">
        <v>0</v>
      </c>
      <c r="E191" s="1">
        <v>1</v>
      </c>
      <c r="F191" s="1">
        <v>4</v>
      </c>
      <c r="G191" s="1" t="b">
        <v>0</v>
      </c>
      <c r="H191" s="1">
        <v>0</v>
      </c>
      <c r="I191" s="1">
        <v>1</v>
      </c>
      <c r="J191" s="1">
        <v>0.08</v>
      </c>
      <c r="M191" t="str">
        <f t="shared" si="17"/>
        <v>Unique</v>
      </c>
      <c r="N191" t="str">
        <f t="shared" si="18"/>
        <v>Spring</v>
      </c>
      <c r="O191" t="str">
        <f t="shared" si="16"/>
        <v>2011</v>
      </c>
      <c r="P191" t="str">
        <f t="shared" si="23"/>
        <v>Working Day</v>
      </c>
      <c r="Q191" t="str">
        <f t="shared" si="19"/>
        <v>Sunday</v>
      </c>
      <c r="R191" t="str">
        <f t="shared" si="20"/>
        <v>Clear</v>
      </c>
      <c r="S191" t="str">
        <f t="shared" si="21"/>
        <v>Morning</v>
      </c>
      <c r="T191" t="str">
        <f t="shared" si="22"/>
        <v>Cold</v>
      </c>
    </row>
    <row r="192" spans="1:20">
      <c r="A192" s="1">
        <v>191</v>
      </c>
      <c r="B192" s="2">
        <v>40552</v>
      </c>
      <c r="C192" s="1">
        <v>1</v>
      </c>
      <c r="D192" s="1">
        <v>0</v>
      </c>
      <c r="E192" s="1">
        <v>1</v>
      </c>
      <c r="F192" s="1">
        <v>5</v>
      </c>
      <c r="G192" s="1" t="b">
        <v>0</v>
      </c>
      <c r="H192" s="1">
        <v>0</v>
      </c>
      <c r="I192" s="1">
        <v>1</v>
      </c>
      <c r="J192" s="1">
        <v>0.08</v>
      </c>
      <c r="M192" t="str">
        <f t="shared" si="17"/>
        <v>Unique</v>
      </c>
      <c r="N192" t="str">
        <f t="shared" si="18"/>
        <v>Spring</v>
      </c>
      <c r="O192" t="str">
        <f t="shared" si="16"/>
        <v>2011</v>
      </c>
      <c r="P192" t="str">
        <f t="shared" si="23"/>
        <v>Working Day</v>
      </c>
      <c r="Q192" t="str">
        <f t="shared" si="19"/>
        <v>Sunday</v>
      </c>
      <c r="R192" t="str">
        <f t="shared" si="20"/>
        <v>Clear</v>
      </c>
      <c r="S192" t="str">
        <f t="shared" si="21"/>
        <v>Morning</v>
      </c>
      <c r="T192" t="str">
        <f t="shared" si="22"/>
        <v>Cold</v>
      </c>
    </row>
    <row r="193" spans="1:20">
      <c r="A193" s="1">
        <v>192</v>
      </c>
      <c r="B193" s="2">
        <v>40552</v>
      </c>
      <c r="C193" s="1">
        <v>1</v>
      </c>
      <c r="D193" s="1">
        <v>0</v>
      </c>
      <c r="E193" s="1">
        <v>1</v>
      </c>
      <c r="F193" s="1">
        <v>6</v>
      </c>
      <c r="G193" s="1" t="b">
        <v>0</v>
      </c>
      <c r="H193" s="1">
        <v>0</v>
      </c>
      <c r="I193" s="1">
        <v>1</v>
      </c>
      <c r="J193" s="1">
        <v>0.1</v>
      </c>
      <c r="M193" t="str">
        <f t="shared" si="17"/>
        <v>Unique</v>
      </c>
      <c r="N193" t="str">
        <f t="shared" si="18"/>
        <v>Spring</v>
      </c>
      <c r="O193" t="str">
        <f t="shared" si="16"/>
        <v>2011</v>
      </c>
      <c r="P193" t="str">
        <f t="shared" si="23"/>
        <v>Working Day</v>
      </c>
      <c r="Q193" t="str">
        <f t="shared" si="19"/>
        <v>Sunday</v>
      </c>
      <c r="R193" t="str">
        <f t="shared" si="20"/>
        <v>Clear</v>
      </c>
      <c r="S193" t="str">
        <f t="shared" si="21"/>
        <v>Morning</v>
      </c>
      <c r="T193" t="str">
        <f t="shared" si="22"/>
        <v>Cold</v>
      </c>
    </row>
    <row r="194" spans="1:20">
      <c r="A194" s="1">
        <v>193</v>
      </c>
      <c r="B194" s="2">
        <v>40552</v>
      </c>
      <c r="C194" s="1">
        <v>1</v>
      </c>
      <c r="D194" s="1">
        <v>0</v>
      </c>
      <c r="E194" s="1">
        <v>1</v>
      </c>
      <c r="F194" s="1">
        <v>7</v>
      </c>
      <c r="G194" s="1" t="b">
        <v>0</v>
      </c>
      <c r="H194" s="1">
        <v>0</v>
      </c>
      <c r="I194" s="1">
        <v>1</v>
      </c>
      <c r="J194" s="1">
        <v>0.08</v>
      </c>
      <c r="M194" t="str">
        <f t="shared" si="17"/>
        <v>Unique</v>
      </c>
      <c r="N194" t="str">
        <f t="shared" si="18"/>
        <v>Spring</v>
      </c>
      <c r="O194" t="str">
        <f t="shared" ref="O194:O257" si="24">IF(D194=0,"2011","2012")</f>
        <v>2011</v>
      </c>
      <c r="P194" t="str">
        <f t="shared" si="23"/>
        <v>Working Day</v>
      </c>
      <c r="Q194" t="str">
        <f t="shared" si="19"/>
        <v>Sunday</v>
      </c>
      <c r="R194" t="str">
        <f t="shared" si="20"/>
        <v>Clear</v>
      </c>
      <c r="S194" t="str">
        <f t="shared" si="21"/>
        <v>Morning</v>
      </c>
      <c r="T194" t="str">
        <f t="shared" si="22"/>
        <v>Cold</v>
      </c>
    </row>
    <row r="195" spans="1:20">
      <c r="A195" s="1">
        <v>194</v>
      </c>
      <c r="B195" s="2">
        <v>40552</v>
      </c>
      <c r="C195" s="1">
        <v>1</v>
      </c>
      <c r="D195" s="1">
        <v>0</v>
      </c>
      <c r="E195" s="1">
        <v>1</v>
      </c>
      <c r="F195" s="1">
        <v>8</v>
      </c>
      <c r="G195" s="1" t="b">
        <v>0</v>
      </c>
      <c r="H195" s="1">
        <v>0</v>
      </c>
      <c r="I195" s="1">
        <v>1</v>
      </c>
      <c r="J195" s="1">
        <v>0.1</v>
      </c>
      <c r="M195" t="str">
        <f t="shared" ref="M195:M258" si="25">IF(COUNTIF(A:A,A195)&gt;1,"Duplicate","Unique")</f>
        <v>Unique</v>
      </c>
      <c r="N195" t="str">
        <f t="shared" ref="N195:N258" si="26">IF(C195=1,"Spring",IF(C195=2,"Summer",IF(C195=3,"Fall","Winter")))</f>
        <v>Spring</v>
      </c>
      <c r="O195" t="str">
        <f t="shared" si="24"/>
        <v>2011</v>
      </c>
      <c r="P195" t="str">
        <f t="shared" si="23"/>
        <v>Working Day</v>
      </c>
      <c r="Q195" t="str">
        <f t="shared" ref="Q195:Q258" si="27">CHOOSE(H195+1,"Sunday","Monday","Tuesday","Wednesday","Thursday","Friday","Saturday")</f>
        <v>Sunday</v>
      </c>
      <c r="R195" t="str">
        <f t="shared" ref="R195:R258" si="28">IF(I195=1,"Clear",IF(I195=2,"Cloudy",IF(I195=3,"Rainy","Storm")))</f>
        <v>Clear</v>
      </c>
      <c r="S195" t="str">
        <f t="shared" ref="S195:S258" si="29">IF(F195&lt;12,"Morning",IF(F195&lt;18,"Afternoon","Night"))</f>
        <v>Morning</v>
      </c>
      <c r="T195" t="str">
        <f t="shared" ref="T195:T258" si="30">IF(J195&lt;0.3,"Cold",IF(J195&lt;0.6,"Normal","Hot"))</f>
        <v>Cold</v>
      </c>
    </row>
    <row r="196" spans="1:20">
      <c r="A196" s="1">
        <v>195</v>
      </c>
      <c r="B196" s="2">
        <v>40552</v>
      </c>
      <c r="C196" s="1">
        <v>1</v>
      </c>
      <c r="D196" s="1">
        <v>0</v>
      </c>
      <c r="E196" s="1">
        <v>1</v>
      </c>
      <c r="F196" s="1">
        <v>9</v>
      </c>
      <c r="G196" s="1" t="b">
        <v>0</v>
      </c>
      <c r="H196" s="1">
        <v>0</v>
      </c>
      <c r="I196" s="1">
        <v>1</v>
      </c>
      <c r="J196" s="1">
        <v>0.12</v>
      </c>
      <c r="M196" t="str">
        <f t="shared" si="25"/>
        <v>Unique</v>
      </c>
      <c r="N196" t="str">
        <f t="shared" si="26"/>
        <v>Spring</v>
      </c>
      <c r="O196" t="str">
        <f t="shared" si="24"/>
        <v>2011</v>
      </c>
      <c r="P196" t="str">
        <f t="shared" ref="P196:P259" si="31">IF(G195=FALSE,"Working Day","Holiday")</f>
        <v>Working Day</v>
      </c>
      <c r="Q196" t="str">
        <f t="shared" si="27"/>
        <v>Sunday</v>
      </c>
      <c r="R196" t="str">
        <f t="shared" si="28"/>
        <v>Clear</v>
      </c>
      <c r="S196" t="str">
        <f t="shared" si="29"/>
        <v>Morning</v>
      </c>
      <c r="T196" t="str">
        <f t="shared" si="30"/>
        <v>Cold</v>
      </c>
    </row>
    <row r="197" spans="1:20">
      <c r="A197" s="1">
        <v>196</v>
      </c>
      <c r="B197" s="2">
        <v>40552</v>
      </c>
      <c r="C197" s="1">
        <v>1</v>
      </c>
      <c r="D197" s="1">
        <v>0</v>
      </c>
      <c r="E197" s="1">
        <v>1</v>
      </c>
      <c r="F197" s="1">
        <v>10</v>
      </c>
      <c r="G197" s="1" t="b">
        <v>0</v>
      </c>
      <c r="H197" s="1">
        <v>0</v>
      </c>
      <c r="I197" s="1">
        <v>1</v>
      </c>
      <c r="J197" s="1">
        <v>0.14000000000000001</v>
      </c>
      <c r="M197" t="str">
        <f t="shared" si="25"/>
        <v>Unique</v>
      </c>
      <c r="N197" t="str">
        <f t="shared" si="26"/>
        <v>Spring</v>
      </c>
      <c r="O197" t="str">
        <f t="shared" si="24"/>
        <v>2011</v>
      </c>
      <c r="P197" t="str">
        <f t="shared" si="31"/>
        <v>Working Day</v>
      </c>
      <c r="Q197" t="str">
        <f t="shared" si="27"/>
        <v>Sunday</v>
      </c>
      <c r="R197" t="str">
        <f t="shared" si="28"/>
        <v>Clear</v>
      </c>
      <c r="S197" t="str">
        <f t="shared" si="29"/>
        <v>Morning</v>
      </c>
      <c r="T197" t="str">
        <f t="shared" si="30"/>
        <v>Cold</v>
      </c>
    </row>
    <row r="198" spans="1:20">
      <c r="A198" s="1">
        <v>197</v>
      </c>
      <c r="B198" s="2">
        <v>40552</v>
      </c>
      <c r="C198" s="1">
        <v>1</v>
      </c>
      <c r="D198" s="1">
        <v>0</v>
      </c>
      <c r="E198" s="1">
        <v>1</v>
      </c>
      <c r="F198" s="1">
        <v>11</v>
      </c>
      <c r="G198" s="1" t="b">
        <v>0</v>
      </c>
      <c r="H198" s="1">
        <v>0</v>
      </c>
      <c r="I198" s="1">
        <v>1</v>
      </c>
      <c r="J198" s="1">
        <v>0.16</v>
      </c>
      <c r="M198" t="str">
        <f t="shared" si="25"/>
        <v>Unique</v>
      </c>
      <c r="N198" t="str">
        <f t="shared" si="26"/>
        <v>Spring</v>
      </c>
      <c r="O198" t="str">
        <f t="shared" si="24"/>
        <v>2011</v>
      </c>
      <c r="P198" t="str">
        <f t="shared" si="31"/>
        <v>Working Day</v>
      </c>
      <c r="Q198" t="str">
        <f t="shared" si="27"/>
        <v>Sunday</v>
      </c>
      <c r="R198" t="str">
        <f t="shared" si="28"/>
        <v>Clear</v>
      </c>
      <c r="S198" t="str">
        <f t="shared" si="29"/>
        <v>Morning</v>
      </c>
      <c r="T198" t="str">
        <f t="shared" si="30"/>
        <v>Cold</v>
      </c>
    </row>
    <row r="199" spans="1:20">
      <c r="A199" s="1">
        <v>198</v>
      </c>
      <c r="B199" s="2">
        <v>40552</v>
      </c>
      <c r="C199" s="1">
        <v>1</v>
      </c>
      <c r="D199" s="1">
        <v>0</v>
      </c>
      <c r="E199" s="1">
        <v>1</v>
      </c>
      <c r="F199" s="1">
        <v>12</v>
      </c>
      <c r="G199" s="1" t="b">
        <v>0</v>
      </c>
      <c r="H199" s="1">
        <v>0</v>
      </c>
      <c r="I199" s="1">
        <v>1</v>
      </c>
      <c r="J199" s="1">
        <v>0.18</v>
      </c>
      <c r="M199" t="str">
        <f t="shared" si="25"/>
        <v>Unique</v>
      </c>
      <c r="N199" t="str">
        <f t="shared" si="26"/>
        <v>Spring</v>
      </c>
      <c r="O199" t="str">
        <f t="shared" si="24"/>
        <v>2011</v>
      </c>
      <c r="P199" t="str">
        <f t="shared" si="31"/>
        <v>Working Day</v>
      </c>
      <c r="Q199" t="str">
        <f t="shared" si="27"/>
        <v>Sunday</v>
      </c>
      <c r="R199" t="str">
        <f t="shared" si="28"/>
        <v>Clear</v>
      </c>
      <c r="S199" t="str">
        <f t="shared" si="29"/>
        <v>Afternoon</v>
      </c>
      <c r="T199" t="str">
        <f t="shared" si="30"/>
        <v>Cold</v>
      </c>
    </row>
    <row r="200" spans="1:20">
      <c r="A200" s="1">
        <v>199</v>
      </c>
      <c r="B200" s="2">
        <v>40552</v>
      </c>
      <c r="C200" s="1">
        <v>1</v>
      </c>
      <c r="D200" s="1">
        <v>0</v>
      </c>
      <c r="E200" s="1">
        <v>1</v>
      </c>
      <c r="F200" s="1">
        <v>13</v>
      </c>
      <c r="G200" s="1" t="b">
        <v>0</v>
      </c>
      <c r="H200" s="1">
        <v>0</v>
      </c>
      <c r="I200" s="1">
        <v>1</v>
      </c>
      <c r="J200" s="1">
        <v>0.2</v>
      </c>
      <c r="M200" t="str">
        <f t="shared" si="25"/>
        <v>Unique</v>
      </c>
      <c r="N200" t="str">
        <f t="shared" si="26"/>
        <v>Spring</v>
      </c>
      <c r="O200" t="str">
        <f t="shared" si="24"/>
        <v>2011</v>
      </c>
      <c r="P200" t="str">
        <f t="shared" si="31"/>
        <v>Working Day</v>
      </c>
      <c r="Q200" t="str">
        <f t="shared" si="27"/>
        <v>Sunday</v>
      </c>
      <c r="R200" t="str">
        <f t="shared" si="28"/>
        <v>Clear</v>
      </c>
      <c r="S200" t="str">
        <f t="shared" si="29"/>
        <v>Afternoon</v>
      </c>
      <c r="T200" t="str">
        <f t="shared" si="30"/>
        <v>Cold</v>
      </c>
    </row>
    <row r="201" spans="1:20">
      <c r="A201" s="1">
        <v>200</v>
      </c>
      <c r="B201" s="2">
        <v>40552</v>
      </c>
      <c r="C201" s="1">
        <v>1</v>
      </c>
      <c r="D201" s="1">
        <v>0</v>
      </c>
      <c r="E201" s="1">
        <v>1</v>
      </c>
      <c r="F201" s="1">
        <v>14</v>
      </c>
      <c r="G201" s="1" t="b">
        <v>0</v>
      </c>
      <c r="H201" s="1">
        <v>0</v>
      </c>
      <c r="I201" s="1">
        <v>1</v>
      </c>
      <c r="J201" s="1">
        <v>0.22</v>
      </c>
      <c r="M201" t="str">
        <f t="shared" si="25"/>
        <v>Unique</v>
      </c>
      <c r="N201" t="str">
        <f t="shared" si="26"/>
        <v>Spring</v>
      </c>
      <c r="O201" t="str">
        <f t="shared" si="24"/>
        <v>2011</v>
      </c>
      <c r="P201" t="str">
        <f t="shared" si="31"/>
        <v>Working Day</v>
      </c>
      <c r="Q201" t="str">
        <f t="shared" si="27"/>
        <v>Sunday</v>
      </c>
      <c r="R201" t="str">
        <f t="shared" si="28"/>
        <v>Clear</v>
      </c>
      <c r="S201" t="str">
        <f t="shared" si="29"/>
        <v>Afternoon</v>
      </c>
      <c r="T201" t="str">
        <f t="shared" si="30"/>
        <v>Cold</v>
      </c>
    </row>
    <row r="202" spans="1:20">
      <c r="A202" s="1">
        <v>201</v>
      </c>
      <c r="B202" s="2">
        <v>40552</v>
      </c>
      <c r="C202" s="1">
        <v>1</v>
      </c>
      <c r="D202" s="1">
        <v>0</v>
      </c>
      <c r="E202" s="1">
        <v>1</v>
      </c>
      <c r="F202" s="1">
        <v>15</v>
      </c>
      <c r="G202" s="1" t="b">
        <v>0</v>
      </c>
      <c r="H202" s="1">
        <v>0</v>
      </c>
      <c r="I202" s="1">
        <v>1</v>
      </c>
      <c r="J202" s="1">
        <v>0.22</v>
      </c>
      <c r="M202" t="str">
        <f t="shared" si="25"/>
        <v>Unique</v>
      </c>
      <c r="N202" t="str">
        <f t="shared" si="26"/>
        <v>Spring</v>
      </c>
      <c r="O202" t="str">
        <f t="shared" si="24"/>
        <v>2011</v>
      </c>
      <c r="P202" t="str">
        <f t="shared" si="31"/>
        <v>Working Day</v>
      </c>
      <c r="Q202" t="str">
        <f t="shared" si="27"/>
        <v>Sunday</v>
      </c>
      <c r="R202" t="str">
        <f t="shared" si="28"/>
        <v>Clear</v>
      </c>
      <c r="S202" t="str">
        <f t="shared" si="29"/>
        <v>Afternoon</v>
      </c>
      <c r="T202" t="str">
        <f t="shared" si="30"/>
        <v>Cold</v>
      </c>
    </row>
    <row r="203" spans="1:20">
      <c r="A203" s="1">
        <v>202</v>
      </c>
      <c r="B203" s="2">
        <v>40552</v>
      </c>
      <c r="C203" s="1">
        <v>1</v>
      </c>
      <c r="D203" s="1">
        <v>0</v>
      </c>
      <c r="E203" s="1">
        <v>1</v>
      </c>
      <c r="F203" s="1">
        <v>16</v>
      </c>
      <c r="G203" s="1" t="b">
        <v>0</v>
      </c>
      <c r="H203" s="1">
        <v>0</v>
      </c>
      <c r="I203" s="1">
        <v>1</v>
      </c>
      <c r="J203" s="1">
        <v>0.2</v>
      </c>
      <c r="M203" t="str">
        <f t="shared" si="25"/>
        <v>Unique</v>
      </c>
      <c r="N203" t="str">
        <f t="shared" si="26"/>
        <v>Spring</v>
      </c>
      <c r="O203" t="str">
        <f t="shared" si="24"/>
        <v>2011</v>
      </c>
      <c r="P203" t="str">
        <f t="shared" si="31"/>
        <v>Working Day</v>
      </c>
      <c r="Q203" t="str">
        <f t="shared" si="27"/>
        <v>Sunday</v>
      </c>
      <c r="R203" t="str">
        <f t="shared" si="28"/>
        <v>Clear</v>
      </c>
      <c r="S203" t="str">
        <f t="shared" si="29"/>
        <v>Afternoon</v>
      </c>
      <c r="T203" t="str">
        <f t="shared" si="30"/>
        <v>Cold</v>
      </c>
    </row>
    <row r="204" spans="1:20">
      <c r="A204" s="1">
        <v>203</v>
      </c>
      <c r="B204" s="2">
        <v>40552</v>
      </c>
      <c r="C204" s="1">
        <v>1</v>
      </c>
      <c r="D204" s="1">
        <v>0</v>
      </c>
      <c r="E204" s="1">
        <v>1</v>
      </c>
      <c r="F204" s="1">
        <v>17</v>
      </c>
      <c r="G204" s="1" t="b">
        <v>0</v>
      </c>
      <c r="H204" s="1">
        <v>0</v>
      </c>
      <c r="I204" s="1">
        <v>1</v>
      </c>
      <c r="J204" s="1">
        <v>0.18</v>
      </c>
      <c r="M204" t="str">
        <f t="shared" si="25"/>
        <v>Unique</v>
      </c>
      <c r="N204" t="str">
        <f t="shared" si="26"/>
        <v>Spring</v>
      </c>
      <c r="O204" t="str">
        <f t="shared" si="24"/>
        <v>2011</v>
      </c>
      <c r="P204" t="str">
        <f t="shared" si="31"/>
        <v>Working Day</v>
      </c>
      <c r="Q204" t="str">
        <f t="shared" si="27"/>
        <v>Sunday</v>
      </c>
      <c r="R204" t="str">
        <f t="shared" si="28"/>
        <v>Clear</v>
      </c>
      <c r="S204" t="str">
        <f t="shared" si="29"/>
        <v>Afternoon</v>
      </c>
      <c r="T204" t="str">
        <f t="shared" si="30"/>
        <v>Cold</v>
      </c>
    </row>
    <row r="205" spans="1:20">
      <c r="A205" s="1">
        <v>204</v>
      </c>
      <c r="B205" s="2">
        <v>40552</v>
      </c>
      <c r="C205" s="1">
        <v>1</v>
      </c>
      <c r="D205" s="1">
        <v>0</v>
      </c>
      <c r="E205" s="1">
        <v>1</v>
      </c>
      <c r="F205" s="1">
        <v>18</v>
      </c>
      <c r="G205" s="1" t="b">
        <v>0</v>
      </c>
      <c r="H205" s="1">
        <v>0</v>
      </c>
      <c r="I205" s="1">
        <v>1</v>
      </c>
      <c r="J205" s="1">
        <v>0.16</v>
      </c>
      <c r="M205" t="str">
        <f t="shared" si="25"/>
        <v>Unique</v>
      </c>
      <c r="N205" t="str">
        <f t="shared" si="26"/>
        <v>Spring</v>
      </c>
      <c r="O205" t="str">
        <f t="shared" si="24"/>
        <v>2011</v>
      </c>
      <c r="P205" t="str">
        <f t="shared" si="31"/>
        <v>Working Day</v>
      </c>
      <c r="Q205" t="str">
        <f t="shared" si="27"/>
        <v>Sunday</v>
      </c>
      <c r="R205" t="str">
        <f t="shared" si="28"/>
        <v>Clear</v>
      </c>
      <c r="S205" t="str">
        <f t="shared" si="29"/>
        <v>Night</v>
      </c>
      <c r="T205" t="str">
        <f t="shared" si="30"/>
        <v>Cold</v>
      </c>
    </row>
    <row r="206" spans="1:20">
      <c r="A206" s="1">
        <v>205</v>
      </c>
      <c r="B206" s="2">
        <v>40552</v>
      </c>
      <c r="C206" s="1">
        <v>1</v>
      </c>
      <c r="D206" s="1">
        <v>0</v>
      </c>
      <c r="E206" s="1">
        <v>1</v>
      </c>
      <c r="F206" s="1">
        <v>19</v>
      </c>
      <c r="G206" s="1" t="b">
        <v>0</v>
      </c>
      <c r="H206" s="1">
        <v>0</v>
      </c>
      <c r="I206" s="1">
        <v>1</v>
      </c>
      <c r="J206" s="1">
        <v>0.16</v>
      </c>
      <c r="M206" t="str">
        <f t="shared" si="25"/>
        <v>Unique</v>
      </c>
      <c r="N206" t="str">
        <f t="shared" si="26"/>
        <v>Spring</v>
      </c>
      <c r="O206" t="str">
        <f t="shared" si="24"/>
        <v>2011</v>
      </c>
      <c r="P206" t="str">
        <f t="shared" si="31"/>
        <v>Working Day</v>
      </c>
      <c r="Q206" t="str">
        <f t="shared" si="27"/>
        <v>Sunday</v>
      </c>
      <c r="R206" t="str">
        <f t="shared" si="28"/>
        <v>Clear</v>
      </c>
      <c r="S206" t="str">
        <f t="shared" si="29"/>
        <v>Night</v>
      </c>
      <c r="T206" t="str">
        <f t="shared" si="30"/>
        <v>Cold</v>
      </c>
    </row>
    <row r="207" spans="1:20">
      <c r="A207" s="1">
        <v>206</v>
      </c>
      <c r="B207" s="2">
        <v>40552</v>
      </c>
      <c r="C207" s="1">
        <v>1</v>
      </c>
      <c r="D207" s="1">
        <v>0</v>
      </c>
      <c r="E207" s="1">
        <v>1</v>
      </c>
      <c r="F207" s="1">
        <v>20</v>
      </c>
      <c r="G207" s="1" t="b">
        <v>0</v>
      </c>
      <c r="H207" s="1">
        <v>0</v>
      </c>
      <c r="I207" s="1">
        <v>1</v>
      </c>
      <c r="J207" s="1">
        <v>0.14000000000000001</v>
      </c>
      <c r="M207" t="str">
        <f t="shared" si="25"/>
        <v>Unique</v>
      </c>
      <c r="N207" t="str">
        <f t="shared" si="26"/>
        <v>Spring</v>
      </c>
      <c r="O207" t="str">
        <f t="shared" si="24"/>
        <v>2011</v>
      </c>
      <c r="P207" t="str">
        <f t="shared" si="31"/>
        <v>Working Day</v>
      </c>
      <c r="Q207" t="str">
        <f t="shared" si="27"/>
        <v>Sunday</v>
      </c>
      <c r="R207" t="str">
        <f t="shared" si="28"/>
        <v>Clear</v>
      </c>
      <c r="S207" t="str">
        <f t="shared" si="29"/>
        <v>Night</v>
      </c>
      <c r="T207" t="str">
        <f t="shared" si="30"/>
        <v>Cold</v>
      </c>
    </row>
    <row r="208" spans="1:20">
      <c r="A208" s="1">
        <v>207</v>
      </c>
      <c r="B208" s="2">
        <v>40552</v>
      </c>
      <c r="C208" s="1">
        <v>1</v>
      </c>
      <c r="D208" s="1">
        <v>0</v>
      </c>
      <c r="E208" s="1">
        <v>1</v>
      </c>
      <c r="F208" s="1">
        <v>21</v>
      </c>
      <c r="G208" s="1" t="b">
        <v>0</v>
      </c>
      <c r="H208" s="1">
        <v>0</v>
      </c>
      <c r="I208" s="1">
        <v>1</v>
      </c>
      <c r="J208" s="1">
        <v>0.14000000000000001</v>
      </c>
      <c r="M208" t="str">
        <f t="shared" si="25"/>
        <v>Unique</v>
      </c>
      <c r="N208" t="str">
        <f t="shared" si="26"/>
        <v>Spring</v>
      </c>
      <c r="O208" t="str">
        <f t="shared" si="24"/>
        <v>2011</v>
      </c>
      <c r="P208" t="str">
        <f t="shared" si="31"/>
        <v>Working Day</v>
      </c>
      <c r="Q208" t="str">
        <f t="shared" si="27"/>
        <v>Sunday</v>
      </c>
      <c r="R208" t="str">
        <f t="shared" si="28"/>
        <v>Clear</v>
      </c>
      <c r="S208" t="str">
        <f t="shared" si="29"/>
        <v>Night</v>
      </c>
      <c r="T208" t="str">
        <f t="shared" si="30"/>
        <v>Cold</v>
      </c>
    </row>
    <row r="209" spans="1:20">
      <c r="A209" s="1">
        <v>208</v>
      </c>
      <c r="B209" s="2">
        <v>40552</v>
      </c>
      <c r="C209" s="1">
        <v>1</v>
      </c>
      <c r="D209" s="1">
        <v>0</v>
      </c>
      <c r="E209" s="1">
        <v>1</v>
      </c>
      <c r="F209" s="1">
        <v>22</v>
      </c>
      <c r="G209" s="1" t="b">
        <v>0</v>
      </c>
      <c r="H209" s="1">
        <v>0</v>
      </c>
      <c r="I209" s="1">
        <v>1</v>
      </c>
      <c r="J209" s="1">
        <v>0.14000000000000001</v>
      </c>
      <c r="M209" t="str">
        <f t="shared" si="25"/>
        <v>Unique</v>
      </c>
      <c r="N209" t="str">
        <f t="shared" si="26"/>
        <v>Spring</v>
      </c>
      <c r="O209" t="str">
        <f t="shared" si="24"/>
        <v>2011</v>
      </c>
      <c r="P209" t="str">
        <f t="shared" si="31"/>
        <v>Working Day</v>
      </c>
      <c r="Q209" t="str">
        <f t="shared" si="27"/>
        <v>Sunday</v>
      </c>
      <c r="R209" t="str">
        <f t="shared" si="28"/>
        <v>Clear</v>
      </c>
      <c r="S209" t="str">
        <f t="shared" si="29"/>
        <v>Night</v>
      </c>
      <c r="T209" t="str">
        <f t="shared" si="30"/>
        <v>Cold</v>
      </c>
    </row>
    <row r="210" spans="1:20">
      <c r="A210" s="1">
        <v>209</v>
      </c>
      <c r="B210" s="2">
        <v>40552</v>
      </c>
      <c r="C210" s="1">
        <v>1</v>
      </c>
      <c r="D210" s="1">
        <v>0</v>
      </c>
      <c r="E210" s="1">
        <v>1</v>
      </c>
      <c r="F210" s="1">
        <v>23</v>
      </c>
      <c r="G210" s="1" t="b">
        <v>0</v>
      </c>
      <c r="H210" s="1">
        <v>0</v>
      </c>
      <c r="I210" s="1">
        <v>1</v>
      </c>
      <c r="J210" s="1">
        <v>0.12</v>
      </c>
      <c r="M210" t="str">
        <f t="shared" si="25"/>
        <v>Unique</v>
      </c>
      <c r="N210" t="str">
        <f t="shared" si="26"/>
        <v>Spring</v>
      </c>
      <c r="O210" t="str">
        <f t="shared" si="24"/>
        <v>2011</v>
      </c>
      <c r="P210" t="str">
        <f t="shared" si="31"/>
        <v>Working Day</v>
      </c>
      <c r="Q210" t="str">
        <f t="shared" si="27"/>
        <v>Sunday</v>
      </c>
      <c r="R210" t="str">
        <f t="shared" si="28"/>
        <v>Clear</v>
      </c>
      <c r="S210" t="str">
        <f t="shared" si="29"/>
        <v>Night</v>
      </c>
      <c r="T210" t="str">
        <f t="shared" si="30"/>
        <v>Cold</v>
      </c>
    </row>
    <row r="211" spans="1:20">
      <c r="A211" s="1">
        <v>210</v>
      </c>
      <c r="B211" s="2">
        <v>40553</v>
      </c>
      <c r="C211" s="1">
        <v>1</v>
      </c>
      <c r="D211" s="1">
        <v>0</v>
      </c>
      <c r="E211" s="1">
        <v>1</v>
      </c>
      <c r="F211" s="1">
        <v>0</v>
      </c>
      <c r="G211" s="1" t="b">
        <v>0</v>
      </c>
      <c r="H211" s="1">
        <v>1</v>
      </c>
      <c r="I211" s="1">
        <v>1</v>
      </c>
      <c r="J211" s="1">
        <v>0.12</v>
      </c>
      <c r="M211" t="str">
        <f t="shared" si="25"/>
        <v>Unique</v>
      </c>
      <c r="N211" t="str">
        <f t="shared" si="26"/>
        <v>Spring</v>
      </c>
      <c r="O211" t="str">
        <f t="shared" si="24"/>
        <v>2011</v>
      </c>
      <c r="P211" t="str">
        <f t="shared" si="31"/>
        <v>Working Day</v>
      </c>
      <c r="Q211" t="str">
        <f t="shared" si="27"/>
        <v>Monday</v>
      </c>
      <c r="R211" t="str">
        <f t="shared" si="28"/>
        <v>Clear</v>
      </c>
      <c r="S211" t="str">
        <f t="shared" si="29"/>
        <v>Morning</v>
      </c>
      <c r="T211" t="str">
        <f t="shared" si="30"/>
        <v>Cold</v>
      </c>
    </row>
    <row r="212" spans="1:20">
      <c r="A212" s="1">
        <v>211</v>
      </c>
      <c r="B212" s="2">
        <v>40553</v>
      </c>
      <c r="C212" s="1">
        <v>1</v>
      </c>
      <c r="D212" s="1">
        <v>0</v>
      </c>
      <c r="E212" s="1">
        <v>1</v>
      </c>
      <c r="F212" s="1">
        <v>1</v>
      </c>
      <c r="G212" s="1" t="b">
        <v>0</v>
      </c>
      <c r="H212" s="1">
        <v>1</v>
      </c>
      <c r="I212" s="1">
        <v>1</v>
      </c>
      <c r="J212" s="1">
        <v>0.12</v>
      </c>
      <c r="M212" t="str">
        <f t="shared" si="25"/>
        <v>Unique</v>
      </c>
      <c r="N212" t="str">
        <f t="shared" si="26"/>
        <v>Spring</v>
      </c>
      <c r="O212" t="str">
        <f t="shared" si="24"/>
        <v>2011</v>
      </c>
      <c r="P212" t="str">
        <f t="shared" si="31"/>
        <v>Working Day</v>
      </c>
      <c r="Q212" t="str">
        <f t="shared" si="27"/>
        <v>Monday</v>
      </c>
      <c r="R212" t="str">
        <f t="shared" si="28"/>
        <v>Clear</v>
      </c>
      <c r="S212" t="str">
        <f t="shared" si="29"/>
        <v>Morning</v>
      </c>
      <c r="T212" t="str">
        <f t="shared" si="30"/>
        <v>Cold</v>
      </c>
    </row>
    <row r="213" spans="1:20">
      <c r="A213" s="1">
        <v>212</v>
      </c>
      <c r="B213" s="2">
        <v>40553</v>
      </c>
      <c r="C213" s="1">
        <v>1</v>
      </c>
      <c r="D213" s="1">
        <v>0</v>
      </c>
      <c r="E213" s="1">
        <v>1</v>
      </c>
      <c r="F213" s="1">
        <v>2</v>
      </c>
      <c r="G213" s="1" t="b">
        <v>0</v>
      </c>
      <c r="H213" s="1">
        <v>1</v>
      </c>
      <c r="I213" s="1">
        <v>1</v>
      </c>
      <c r="J213" s="1">
        <v>0.12</v>
      </c>
      <c r="M213" t="str">
        <f t="shared" si="25"/>
        <v>Unique</v>
      </c>
      <c r="N213" t="str">
        <f t="shared" si="26"/>
        <v>Spring</v>
      </c>
      <c r="O213" t="str">
        <f t="shared" si="24"/>
        <v>2011</v>
      </c>
      <c r="P213" t="str">
        <f t="shared" si="31"/>
        <v>Working Day</v>
      </c>
      <c r="Q213" t="str">
        <f t="shared" si="27"/>
        <v>Monday</v>
      </c>
      <c r="R213" t="str">
        <f t="shared" si="28"/>
        <v>Clear</v>
      </c>
      <c r="S213" t="str">
        <f t="shared" si="29"/>
        <v>Morning</v>
      </c>
      <c r="T213" t="str">
        <f t="shared" si="30"/>
        <v>Cold</v>
      </c>
    </row>
    <row r="214" spans="1:20">
      <c r="A214" s="1">
        <v>213</v>
      </c>
      <c r="B214" s="2">
        <v>40553</v>
      </c>
      <c r="C214" s="1">
        <v>1</v>
      </c>
      <c r="D214" s="1">
        <v>0</v>
      </c>
      <c r="E214" s="1">
        <v>1</v>
      </c>
      <c r="F214" s="1">
        <v>3</v>
      </c>
      <c r="G214" s="1" t="b">
        <v>0</v>
      </c>
      <c r="H214" s="1">
        <v>1</v>
      </c>
      <c r="I214" s="1">
        <v>1</v>
      </c>
      <c r="J214" s="1">
        <v>0.12</v>
      </c>
      <c r="M214" t="str">
        <f t="shared" si="25"/>
        <v>Unique</v>
      </c>
      <c r="N214" t="str">
        <f t="shared" si="26"/>
        <v>Spring</v>
      </c>
      <c r="O214" t="str">
        <f t="shared" si="24"/>
        <v>2011</v>
      </c>
      <c r="P214" t="str">
        <f t="shared" si="31"/>
        <v>Working Day</v>
      </c>
      <c r="Q214" t="str">
        <f t="shared" si="27"/>
        <v>Monday</v>
      </c>
      <c r="R214" t="str">
        <f t="shared" si="28"/>
        <v>Clear</v>
      </c>
      <c r="S214" t="str">
        <f t="shared" si="29"/>
        <v>Morning</v>
      </c>
      <c r="T214" t="str">
        <f t="shared" si="30"/>
        <v>Cold</v>
      </c>
    </row>
    <row r="215" spans="1:20">
      <c r="A215" s="1">
        <v>214</v>
      </c>
      <c r="B215" s="2">
        <v>40553</v>
      </c>
      <c r="C215" s="1">
        <v>1</v>
      </c>
      <c r="D215" s="1">
        <v>0</v>
      </c>
      <c r="E215" s="1">
        <v>1</v>
      </c>
      <c r="F215" s="1">
        <v>4</v>
      </c>
      <c r="G215" s="1" t="b">
        <v>0</v>
      </c>
      <c r="H215" s="1">
        <v>1</v>
      </c>
      <c r="I215" s="1">
        <v>1</v>
      </c>
      <c r="J215" s="1">
        <v>0.1</v>
      </c>
      <c r="M215" t="str">
        <f t="shared" si="25"/>
        <v>Unique</v>
      </c>
      <c r="N215" t="str">
        <f t="shared" si="26"/>
        <v>Spring</v>
      </c>
      <c r="O215" t="str">
        <f t="shared" si="24"/>
        <v>2011</v>
      </c>
      <c r="P215" t="str">
        <f t="shared" si="31"/>
        <v>Working Day</v>
      </c>
      <c r="Q215" t="str">
        <f t="shared" si="27"/>
        <v>Monday</v>
      </c>
      <c r="R215" t="str">
        <f t="shared" si="28"/>
        <v>Clear</v>
      </c>
      <c r="S215" t="str">
        <f t="shared" si="29"/>
        <v>Morning</v>
      </c>
      <c r="T215" t="str">
        <f t="shared" si="30"/>
        <v>Cold</v>
      </c>
    </row>
    <row r="216" spans="1:20">
      <c r="A216" s="1">
        <v>215</v>
      </c>
      <c r="B216" s="2">
        <v>40553</v>
      </c>
      <c r="C216" s="1">
        <v>1</v>
      </c>
      <c r="D216" s="1">
        <v>0</v>
      </c>
      <c r="E216" s="1">
        <v>1</v>
      </c>
      <c r="F216" s="1">
        <v>5</v>
      </c>
      <c r="G216" s="1" t="b">
        <v>0</v>
      </c>
      <c r="H216" s="1">
        <v>1</v>
      </c>
      <c r="I216" s="1">
        <v>1</v>
      </c>
      <c r="J216" s="1">
        <v>0.1</v>
      </c>
      <c r="M216" t="str">
        <f t="shared" si="25"/>
        <v>Unique</v>
      </c>
      <c r="N216" t="str">
        <f t="shared" si="26"/>
        <v>Spring</v>
      </c>
      <c r="O216" t="str">
        <f t="shared" si="24"/>
        <v>2011</v>
      </c>
      <c r="P216" t="str">
        <f t="shared" si="31"/>
        <v>Working Day</v>
      </c>
      <c r="Q216" t="str">
        <f t="shared" si="27"/>
        <v>Monday</v>
      </c>
      <c r="R216" t="str">
        <f t="shared" si="28"/>
        <v>Clear</v>
      </c>
      <c r="S216" t="str">
        <f t="shared" si="29"/>
        <v>Morning</v>
      </c>
      <c r="T216" t="str">
        <f t="shared" si="30"/>
        <v>Cold</v>
      </c>
    </row>
    <row r="217" spans="1:20">
      <c r="A217" s="1">
        <v>216</v>
      </c>
      <c r="B217" s="2">
        <v>40553</v>
      </c>
      <c r="C217" s="1">
        <v>1</v>
      </c>
      <c r="D217" s="1">
        <v>0</v>
      </c>
      <c r="E217" s="1">
        <v>1</v>
      </c>
      <c r="F217" s="1">
        <v>6</v>
      </c>
      <c r="G217" s="1" t="b">
        <v>0</v>
      </c>
      <c r="H217" s="1">
        <v>1</v>
      </c>
      <c r="I217" s="1">
        <v>1</v>
      </c>
      <c r="J217" s="1">
        <v>0.12</v>
      </c>
      <c r="M217" t="str">
        <f t="shared" si="25"/>
        <v>Unique</v>
      </c>
      <c r="N217" t="str">
        <f t="shared" si="26"/>
        <v>Spring</v>
      </c>
      <c r="O217" t="str">
        <f t="shared" si="24"/>
        <v>2011</v>
      </c>
      <c r="P217" t="str">
        <f t="shared" si="31"/>
        <v>Working Day</v>
      </c>
      <c r="Q217" t="str">
        <f t="shared" si="27"/>
        <v>Monday</v>
      </c>
      <c r="R217" t="str">
        <f t="shared" si="28"/>
        <v>Clear</v>
      </c>
      <c r="S217" t="str">
        <f t="shared" si="29"/>
        <v>Morning</v>
      </c>
      <c r="T217" t="str">
        <f t="shared" si="30"/>
        <v>Cold</v>
      </c>
    </row>
    <row r="218" spans="1:20">
      <c r="A218" s="1">
        <v>217</v>
      </c>
      <c r="B218" s="2">
        <v>40553</v>
      </c>
      <c r="C218" s="1">
        <v>1</v>
      </c>
      <c r="D218" s="1">
        <v>0</v>
      </c>
      <c r="E218" s="1">
        <v>1</v>
      </c>
      <c r="F218" s="1">
        <v>7</v>
      </c>
      <c r="G218" s="1" t="b">
        <v>0</v>
      </c>
      <c r="H218" s="1">
        <v>1</v>
      </c>
      <c r="I218" s="1">
        <v>1</v>
      </c>
      <c r="J218" s="1">
        <v>0.12</v>
      </c>
      <c r="M218" t="str">
        <f t="shared" si="25"/>
        <v>Unique</v>
      </c>
      <c r="N218" t="str">
        <f t="shared" si="26"/>
        <v>Spring</v>
      </c>
      <c r="O218" t="str">
        <f t="shared" si="24"/>
        <v>2011</v>
      </c>
      <c r="P218" t="str">
        <f t="shared" si="31"/>
        <v>Working Day</v>
      </c>
      <c r="Q218" t="str">
        <f t="shared" si="27"/>
        <v>Monday</v>
      </c>
      <c r="R218" t="str">
        <f t="shared" si="28"/>
        <v>Clear</v>
      </c>
      <c r="S218" t="str">
        <f t="shared" si="29"/>
        <v>Morning</v>
      </c>
      <c r="T218" t="str">
        <f t="shared" si="30"/>
        <v>Cold</v>
      </c>
    </row>
    <row r="219" spans="1:20">
      <c r="A219" s="1">
        <v>218</v>
      </c>
      <c r="B219" s="2">
        <v>40553</v>
      </c>
      <c r="C219" s="1">
        <v>1</v>
      </c>
      <c r="D219" s="1">
        <v>0</v>
      </c>
      <c r="E219" s="1">
        <v>1</v>
      </c>
      <c r="F219" s="1">
        <v>8</v>
      </c>
      <c r="G219" s="1" t="b">
        <v>0</v>
      </c>
      <c r="H219" s="1">
        <v>1</v>
      </c>
      <c r="I219" s="1">
        <v>2</v>
      </c>
      <c r="J219" s="1">
        <v>0.12</v>
      </c>
      <c r="M219" t="str">
        <f t="shared" si="25"/>
        <v>Unique</v>
      </c>
      <c r="N219" t="str">
        <f t="shared" si="26"/>
        <v>Spring</v>
      </c>
      <c r="O219" t="str">
        <f t="shared" si="24"/>
        <v>2011</v>
      </c>
      <c r="P219" t="str">
        <f t="shared" si="31"/>
        <v>Working Day</v>
      </c>
      <c r="Q219" t="str">
        <f t="shared" si="27"/>
        <v>Monday</v>
      </c>
      <c r="R219" t="str">
        <f t="shared" si="28"/>
        <v>Cloudy</v>
      </c>
      <c r="S219" t="str">
        <f t="shared" si="29"/>
        <v>Morning</v>
      </c>
      <c r="T219" t="str">
        <f t="shared" si="30"/>
        <v>Cold</v>
      </c>
    </row>
    <row r="220" spans="1:20">
      <c r="A220" s="1">
        <v>219</v>
      </c>
      <c r="B220" s="2">
        <v>40553</v>
      </c>
      <c r="C220" s="1">
        <v>1</v>
      </c>
      <c r="D220" s="1">
        <v>0</v>
      </c>
      <c r="E220" s="1">
        <v>1</v>
      </c>
      <c r="F220" s="1">
        <v>9</v>
      </c>
      <c r="G220" s="1" t="b">
        <v>0</v>
      </c>
      <c r="H220" s="1">
        <v>1</v>
      </c>
      <c r="I220" s="1">
        <v>2</v>
      </c>
      <c r="J220" s="1">
        <v>0.14000000000000001</v>
      </c>
      <c r="M220" t="str">
        <f t="shared" si="25"/>
        <v>Unique</v>
      </c>
      <c r="N220" t="str">
        <f t="shared" si="26"/>
        <v>Spring</v>
      </c>
      <c r="O220" t="str">
        <f t="shared" si="24"/>
        <v>2011</v>
      </c>
      <c r="P220" t="str">
        <f t="shared" si="31"/>
        <v>Working Day</v>
      </c>
      <c r="Q220" t="str">
        <f t="shared" si="27"/>
        <v>Monday</v>
      </c>
      <c r="R220" t="str">
        <f t="shared" si="28"/>
        <v>Cloudy</v>
      </c>
      <c r="S220" t="str">
        <f t="shared" si="29"/>
        <v>Morning</v>
      </c>
      <c r="T220" t="str">
        <f t="shared" si="30"/>
        <v>Cold</v>
      </c>
    </row>
    <row r="221" spans="1:20">
      <c r="A221" s="1">
        <v>220</v>
      </c>
      <c r="B221" s="2">
        <v>40553</v>
      </c>
      <c r="C221" s="1">
        <v>1</v>
      </c>
      <c r="D221" s="1">
        <v>0</v>
      </c>
      <c r="E221" s="1">
        <v>1</v>
      </c>
      <c r="F221" s="1">
        <v>10</v>
      </c>
      <c r="G221" s="1" t="b">
        <v>0</v>
      </c>
      <c r="H221" s="1">
        <v>1</v>
      </c>
      <c r="I221" s="1">
        <v>2</v>
      </c>
      <c r="J221" s="1">
        <v>0.14000000000000001</v>
      </c>
      <c r="M221" t="str">
        <f t="shared" si="25"/>
        <v>Unique</v>
      </c>
      <c r="N221" t="str">
        <f t="shared" si="26"/>
        <v>Spring</v>
      </c>
      <c r="O221" t="str">
        <f t="shared" si="24"/>
        <v>2011</v>
      </c>
      <c r="P221" t="str">
        <f t="shared" si="31"/>
        <v>Working Day</v>
      </c>
      <c r="Q221" t="str">
        <f t="shared" si="27"/>
        <v>Monday</v>
      </c>
      <c r="R221" t="str">
        <f t="shared" si="28"/>
        <v>Cloudy</v>
      </c>
      <c r="S221" t="str">
        <f t="shared" si="29"/>
        <v>Morning</v>
      </c>
      <c r="T221" t="str">
        <f t="shared" si="30"/>
        <v>Cold</v>
      </c>
    </row>
    <row r="222" spans="1:20">
      <c r="A222" s="1">
        <v>221</v>
      </c>
      <c r="B222" s="2">
        <v>40553</v>
      </c>
      <c r="C222" s="1">
        <v>1</v>
      </c>
      <c r="D222" s="1">
        <v>0</v>
      </c>
      <c r="E222" s="1">
        <v>1</v>
      </c>
      <c r="F222" s="1">
        <v>11</v>
      </c>
      <c r="G222" s="1" t="b">
        <v>0</v>
      </c>
      <c r="H222" s="1">
        <v>1</v>
      </c>
      <c r="I222" s="1">
        <v>2</v>
      </c>
      <c r="J222" s="1">
        <v>0.16</v>
      </c>
      <c r="M222" t="str">
        <f t="shared" si="25"/>
        <v>Unique</v>
      </c>
      <c r="N222" t="str">
        <f t="shared" si="26"/>
        <v>Spring</v>
      </c>
      <c r="O222" t="str">
        <f t="shared" si="24"/>
        <v>2011</v>
      </c>
      <c r="P222" t="str">
        <f t="shared" si="31"/>
        <v>Working Day</v>
      </c>
      <c r="Q222" t="str">
        <f t="shared" si="27"/>
        <v>Monday</v>
      </c>
      <c r="R222" t="str">
        <f t="shared" si="28"/>
        <v>Cloudy</v>
      </c>
      <c r="S222" t="str">
        <f t="shared" si="29"/>
        <v>Morning</v>
      </c>
      <c r="T222" t="str">
        <f t="shared" si="30"/>
        <v>Cold</v>
      </c>
    </row>
    <row r="223" spans="1:20">
      <c r="A223" s="1">
        <v>222</v>
      </c>
      <c r="B223" s="2">
        <v>40553</v>
      </c>
      <c r="C223" s="1">
        <v>1</v>
      </c>
      <c r="D223" s="1">
        <v>0</v>
      </c>
      <c r="E223" s="1">
        <v>1</v>
      </c>
      <c r="F223" s="1">
        <v>12</v>
      </c>
      <c r="G223" s="1" t="b">
        <v>0</v>
      </c>
      <c r="H223" s="1">
        <v>1</v>
      </c>
      <c r="I223" s="1">
        <v>2</v>
      </c>
      <c r="J223" s="1">
        <v>0.2</v>
      </c>
      <c r="M223" t="str">
        <f t="shared" si="25"/>
        <v>Unique</v>
      </c>
      <c r="N223" t="str">
        <f t="shared" si="26"/>
        <v>Spring</v>
      </c>
      <c r="O223" t="str">
        <f t="shared" si="24"/>
        <v>2011</v>
      </c>
      <c r="P223" t="str">
        <f t="shared" si="31"/>
        <v>Working Day</v>
      </c>
      <c r="Q223" t="str">
        <f t="shared" si="27"/>
        <v>Monday</v>
      </c>
      <c r="R223" t="str">
        <f t="shared" si="28"/>
        <v>Cloudy</v>
      </c>
      <c r="S223" t="str">
        <f t="shared" si="29"/>
        <v>Afternoon</v>
      </c>
      <c r="T223" t="str">
        <f t="shared" si="30"/>
        <v>Cold</v>
      </c>
    </row>
    <row r="224" spans="1:20">
      <c r="A224" s="1">
        <v>223</v>
      </c>
      <c r="B224" s="2">
        <v>40553</v>
      </c>
      <c r="C224" s="1">
        <v>1</v>
      </c>
      <c r="D224" s="1">
        <v>0</v>
      </c>
      <c r="E224" s="1">
        <v>1</v>
      </c>
      <c r="F224" s="1">
        <v>13</v>
      </c>
      <c r="G224" s="1" t="b">
        <v>0</v>
      </c>
      <c r="H224" s="1">
        <v>1</v>
      </c>
      <c r="I224" s="1">
        <v>2</v>
      </c>
      <c r="J224" s="1">
        <v>0.2</v>
      </c>
      <c r="M224" t="str">
        <f t="shared" si="25"/>
        <v>Unique</v>
      </c>
      <c r="N224" t="str">
        <f t="shared" si="26"/>
        <v>Spring</v>
      </c>
      <c r="O224" t="str">
        <f t="shared" si="24"/>
        <v>2011</v>
      </c>
      <c r="P224" t="str">
        <f t="shared" si="31"/>
        <v>Working Day</v>
      </c>
      <c r="Q224" t="str">
        <f t="shared" si="27"/>
        <v>Monday</v>
      </c>
      <c r="R224" t="str">
        <f t="shared" si="28"/>
        <v>Cloudy</v>
      </c>
      <c r="S224" t="str">
        <f t="shared" si="29"/>
        <v>Afternoon</v>
      </c>
      <c r="T224" t="str">
        <f t="shared" si="30"/>
        <v>Cold</v>
      </c>
    </row>
    <row r="225" spans="1:20">
      <c r="A225" s="1">
        <v>224</v>
      </c>
      <c r="B225" s="2">
        <v>40553</v>
      </c>
      <c r="C225" s="1">
        <v>1</v>
      </c>
      <c r="D225" s="1">
        <v>0</v>
      </c>
      <c r="E225" s="1">
        <v>1</v>
      </c>
      <c r="F225" s="1">
        <v>14</v>
      </c>
      <c r="G225" s="1" t="b">
        <v>0</v>
      </c>
      <c r="H225" s="1">
        <v>1</v>
      </c>
      <c r="I225" s="1">
        <v>2</v>
      </c>
      <c r="J225" s="1">
        <v>0.2</v>
      </c>
      <c r="M225" t="str">
        <f t="shared" si="25"/>
        <v>Unique</v>
      </c>
      <c r="N225" t="str">
        <f t="shared" si="26"/>
        <v>Spring</v>
      </c>
      <c r="O225" t="str">
        <f t="shared" si="24"/>
        <v>2011</v>
      </c>
      <c r="P225" t="str">
        <f t="shared" si="31"/>
        <v>Working Day</v>
      </c>
      <c r="Q225" t="str">
        <f t="shared" si="27"/>
        <v>Monday</v>
      </c>
      <c r="R225" t="str">
        <f t="shared" si="28"/>
        <v>Cloudy</v>
      </c>
      <c r="S225" t="str">
        <f t="shared" si="29"/>
        <v>Afternoon</v>
      </c>
      <c r="T225" t="str">
        <f t="shared" si="30"/>
        <v>Cold</v>
      </c>
    </row>
    <row r="226" spans="1:20">
      <c r="A226" s="1">
        <v>225</v>
      </c>
      <c r="B226" s="2">
        <v>40553</v>
      </c>
      <c r="C226" s="1">
        <v>1</v>
      </c>
      <c r="D226" s="1">
        <v>0</v>
      </c>
      <c r="E226" s="1">
        <v>1</v>
      </c>
      <c r="F226" s="1">
        <v>15</v>
      </c>
      <c r="G226" s="1" t="b">
        <v>0</v>
      </c>
      <c r="H226" s="1">
        <v>1</v>
      </c>
      <c r="I226" s="1">
        <v>2</v>
      </c>
      <c r="J226" s="1">
        <v>0.2</v>
      </c>
      <c r="M226" t="str">
        <f t="shared" si="25"/>
        <v>Unique</v>
      </c>
      <c r="N226" t="str">
        <f t="shared" si="26"/>
        <v>Spring</v>
      </c>
      <c r="O226" t="str">
        <f t="shared" si="24"/>
        <v>2011</v>
      </c>
      <c r="P226" t="str">
        <f t="shared" si="31"/>
        <v>Working Day</v>
      </c>
      <c r="Q226" t="str">
        <f t="shared" si="27"/>
        <v>Monday</v>
      </c>
      <c r="R226" t="str">
        <f t="shared" si="28"/>
        <v>Cloudy</v>
      </c>
      <c r="S226" t="str">
        <f t="shared" si="29"/>
        <v>Afternoon</v>
      </c>
      <c r="T226" t="str">
        <f t="shared" si="30"/>
        <v>Cold</v>
      </c>
    </row>
    <row r="227" spans="1:20">
      <c r="A227" s="1">
        <v>226</v>
      </c>
      <c r="B227" s="2">
        <v>40553</v>
      </c>
      <c r="C227" s="1">
        <v>1</v>
      </c>
      <c r="D227" s="1">
        <v>0</v>
      </c>
      <c r="E227" s="1">
        <v>1</v>
      </c>
      <c r="F227" s="1">
        <v>16</v>
      </c>
      <c r="G227" s="1" t="b">
        <v>0</v>
      </c>
      <c r="H227" s="1">
        <v>1</v>
      </c>
      <c r="I227" s="1">
        <v>1</v>
      </c>
      <c r="J227" s="1">
        <v>0.2</v>
      </c>
      <c r="M227" t="str">
        <f t="shared" si="25"/>
        <v>Unique</v>
      </c>
      <c r="N227" t="str">
        <f t="shared" si="26"/>
        <v>Spring</v>
      </c>
      <c r="O227" t="str">
        <f t="shared" si="24"/>
        <v>2011</v>
      </c>
      <c r="P227" t="str">
        <f t="shared" si="31"/>
        <v>Working Day</v>
      </c>
      <c r="Q227" t="str">
        <f t="shared" si="27"/>
        <v>Monday</v>
      </c>
      <c r="R227" t="str">
        <f t="shared" si="28"/>
        <v>Clear</v>
      </c>
      <c r="S227" t="str">
        <f t="shared" si="29"/>
        <v>Afternoon</v>
      </c>
      <c r="T227" t="str">
        <f t="shared" si="30"/>
        <v>Cold</v>
      </c>
    </row>
    <row r="228" spans="1:20">
      <c r="A228" s="1">
        <v>227</v>
      </c>
      <c r="B228" s="2">
        <v>40553</v>
      </c>
      <c r="C228" s="1">
        <v>1</v>
      </c>
      <c r="D228" s="1">
        <v>0</v>
      </c>
      <c r="E228" s="1">
        <v>1</v>
      </c>
      <c r="F228" s="1">
        <v>17</v>
      </c>
      <c r="G228" s="1" t="b">
        <v>0</v>
      </c>
      <c r="H228" s="1">
        <v>1</v>
      </c>
      <c r="I228" s="1">
        <v>1</v>
      </c>
      <c r="J228" s="1">
        <v>0.2</v>
      </c>
      <c r="M228" t="str">
        <f t="shared" si="25"/>
        <v>Unique</v>
      </c>
      <c r="N228" t="str">
        <f t="shared" si="26"/>
        <v>Spring</v>
      </c>
      <c r="O228" t="str">
        <f t="shared" si="24"/>
        <v>2011</v>
      </c>
      <c r="P228" t="str">
        <f t="shared" si="31"/>
        <v>Working Day</v>
      </c>
      <c r="Q228" t="str">
        <f t="shared" si="27"/>
        <v>Monday</v>
      </c>
      <c r="R228" t="str">
        <f t="shared" si="28"/>
        <v>Clear</v>
      </c>
      <c r="S228" t="str">
        <f t="shared" si="29"/>
        <v>Afternoon</v>
      </c>
      <c r="T228" t="str">
        <f t="shared" si="30"/>
        <v>Cold</v>
      </c>
    </row>
    <row r="229" spans="1:20">
      <c r="A229" s="1">
        <v>228</v>
      </c>
      <c r="B229" s="2">
        <v>40553</v>
      </c>
      <c r="C229" s="1">
        <v>1</v>
      </c>
      <c r="D229" s="1">
        <v>0</v>
      </c>
      <c r="E229" s="1">
        <v>1</v>
      </c>
      <c r="F229" s="1">
        <v>18</v>
      </c>
      <c r="G229" s="1" t="b">
        <v>0</v>
      </c>
      <c r="H229" s="1">
        <v>1</v>
      </c>
      <c r="I229" s="1">
        <v>1</v>
      </c>
      <c r="J229" s="1">
        <v>0.2</v>
      </c>
      <c r="M229" t="str">
        <f t="shared" si="25"/>
        <v>Unique</v>
      </c>
      <c r="N229" t="str">
        <f t="shared" si="26"/>
        <v>Spring</v>
      </c>
      <c r="O229" t="str">
        <f t="shared" si="24"/>
        <v>2011</v>
      </c>
      <c r="P229" t="str">
        <f t="shared" si="31"/>
        <v>Working Day</v>
      </c>
      <c r="Q229" t="str">
        <f t="shared" si="27"/>
        <v>Monday</v>
      </c>
      <c r="R229" t="str">
        <f t="shared" si="28"/>
        <v>Clear</v>
      </c>
      <c r="S229" t="str">
        <f t="shared" si="29"/>
        <v>Night</v>
      </c>
      <c r="T229" t="str">
        <f t="shared" si="30"/>
        <v>Cold</v>
      </c>
    </row>
    <row r="230" spans="1:20">
      <c r="A230" s="1">
        <v>229</v>
      </c>
      <c r="B230" s="2">
        <v>40553</v>
      </c>
      <c r="C230" s="1">
        <v>1</v>
      </c>
      <c r="D230" s="1">
        <v>0</v>
      </c>
      <c r="E230" s="1">
        <v>1</v>
      </c>
      <c r="F230" s="1">
        <v>19</v>
      </c>
      <c r="G230" s="1" t="b">
        <v>0</v>
      </c>
      <c r="H230" s="1">
        <v>1</v>
      </c>
      <c r="I230" s="1">
        <v>1</v>
      </c>
      <c r="J230" s="1">
        <v>0.16</v>
      </c>
      <c r="M230" t="str">
        <f t="shared" si="25"/>
        <v>Unique</v>
      </c>
      <c r="N230" t="str">
        <f t="shared" si="26"/>
        <v>Spring</v>
      </c>
      <c r="O230" t="str">
        <f t="shared" si="24"/>
        <v>2011</v>
      </c>
      <c r="P230" t="str">
        <f t="shared" si="31"/>
        <v>Working Day</v>
      </c>
      <c r="Q230" t="str">
        <f t="shared" si="27"/>
        <v>Monday</v>
      </c>
      <c r="R230" t="str">
        <f t="shared" si="28"/>
        <v>Clear</v>
      </c>
      <c r="S230" t="str">
        <f t="shared" si="29"/>
        <v>Night</v>
      </c>
      <c r="T230" t="str">
        <f t="shared" si="30"/>
        <v>Cold</v>
      </c>
    </row>
    <row r="231" spans="1:20">
      <c r="A231" s="1">
        <v>230</v>
      </c>
      <c r="B231" s="2">
        <v>40553</v>
      </c>
      <c r="C231" s="1">
        <v>1</v>
      </c>
      <c r="D231" s="1">
        <v>0</v>
      </c>
      <c r="E231" s="1">
        <v>1</v>
      </c>
      <c r="F231" s="1">
        <v>20</v>
      </c>
      <c r="G231" s="1" t="b">
        <v>0</v>
      </c>
      <c r="H231" s="1">
        <v>1</v>
      </c>
      <c r="I231" s="1">
        <v>1</v>
      </c>
      <c r="J231" s="1">
        <v>0.16</v>
      </c>
      <c r="M231" t="str">
        <f t="shared" si="25"/>
        <v>Unique</v>
      </c>
      <c r="N231" t="str">
        <f t="shared" si="26"/>
        <v>Spring</v>
      </c>
      <c r="O231" t="str">
        <f t="shared" si="24"/>
        <v>2011</v>
      </c>
      <c r="P231" t="str">
        <f t="shared" si="31"/>
        <v>Working Day</v>
      </c>
      <c r="Q231" t="str">
        <f t="shared" si="27"/>
        <v>Monday</v>
      </c>
      <c r="R231" t="str">
        <f t="shared" si="28"/>
        <v>Clear</v>
      </c>
      <c r="S231" t="str">
        <f t="shared" si="29"/>
        <v>Night</v>
      </c>
      <c r="T231" t="str">
        <f t="shared" si="30"/>
        <v>Cold</v>
      </c>
    </row>
    <row r="232" spans="1:20">
      <c r="A232" s="1">
        <v>231</v>
      </c>
      <c r="B232" s="2">
        <v>40553</v>
      </c>
      <c r="C232" s="1">
        <v>1</v>
      </c>
      <c r="D232" s="1">
        <v>0</v>
      </c>
      <c r="E232" s="1">
        <v>1</v>
      </c>
      <c r="F232" s="1">
        <v>21</v>
      </c>
      <c r="G232" s="1" t="b">
        <v>0</v>
      </c>
      <c r="H232" s="1">
        <v>1</v>
      </c>
      <c r="I232" s="1">
        <v>1</v>
      </c>
      <c r="J232" s="1">
        <v>0.14000000000000001</v>
      </c>
      <c r="M232" t="str">
        <f t="shared" si="25"/>
        <v>Unique</v>
      </c>
      <c r="N232" t="str">
        <f t="shared" si="26"/>
        <v>Spring</v>
      </c>
      <c r="O232" t="str">
        <f t="shared" si="24"/>
        <v>2011</v>
      </c>
      <c r="P232" t="str">
        <f t="shared" si="31"/>
        <v>Working Day</v>
      </c>
      <c r="Q232" t="str">
        <f t="shared" si="27"/>
        <v>Monday</v>
      </c>
      <c r="R232" t="str">
        <f t="shared" si="28"/>
        <v>Clear</v>
      </c>
      <c r="S232" t="str">
        <f t="shared" si="29"/>
        <v>Night</v>
      </c>
      <c r="T232" t="str">
        <f t="shared" si="30"/>
        <v>Cold</v>
      </c>
    </row>
    <row r="233" spans="1:20">
      <c r="A233" s="1">
        <v>232</v>
      </c>
      <c r="B233" s="2">
        <v>40553</v>
      </c>
      <c r="C233" s="1">
        <v>1</v>
      </c>
      <c r="D233" s="1">
        <v>0</v>
      </c>
      <c r="E233" s="1">
        <v>1</v>
      </c>
      <c r="F233" s="1">
        <v>22</v>
      </c>
      <c r="G233" s="1" t="b">
        <v>0</v>
      </c>
      <c r="H233" s="1">
        <v>1</v>
      </c>
      <c r="I233" s="1">
        <v>1</v>
      </c>
      <c r="J233" s="1">
        <v>0.14000000000000001</v>
      </c>
      <c r="M233" t="str">
        <f t="shared" si="25"/>
        <v>Unique</v>
      </c>
      <c r="N233" t="str">
        <f t="shared" si="26"/>
        <v>Spring</v>
      </c>
      <c r="O233" t="str">
        <f t="shared" si="24"/>
        <v>2011</v>
      </c>
      <c r="P233" t="str">
        <f t="shared" si="31"/>
        <v>Working Day</v>
      </c>
      <c r="Q233" t="str">
        <f t="shared" si="27"/>
        <v>Monday</v>
      </c>
      <c r="R233" t="str">
        <f t="shared" si="28"/>
        <v>Clear</v>
      </c>
      <c r="S233" t="str">
        <f t="shared" si="29"/>
        <v>Night</v>
      </c>
      <c r="T233" t="str">
        <f t="shared" si="30"/>
        <v>Cold</v>
      </c>
    </row>
    <row r="234" spans="1:20">
      <c r="A234" s="1">
        <v>233</v>
      </c>
      <c r="B234" s="2">
        <v>40553</v>
      </c>
      <c r="C234" s="1">
        <v>1</v>
      </c>
      <c r="D234" s="1">
        <v>0</v>
      </c>
      <c r="E234" s="1">
        <v>1</v>
      </c>
      <c r="F234" s="1">
        <v>23</v>
      </c>
      <c r="G234" s="1" t="b">
        <v>0</v>
      </c>
      <c r="H234" s="1">
        <v>1</v>
      </c>
      <c r="I234" s="1">
        <v>1</v>
      </c>
      <c r="J234" s="1">
        <v>0.14000000000000001</v>
      </c>
      <c r="M234" t="str">
        <f t="shared" si="25"/>
        <v>Unique</v>
      </c>
      <c r="N234" t="str">
        <f t="shared" si="26"/>
        <v>Spring</v>
      </c>
      <c r="O234" t="str">
        <f t="shared" si="24"/>
        <v>2011</v>
      </c>
      <c r="P234" t="str">
        <f t="shared" si="31"/>
        <v>Working Day</v>
      </c>
      <c r="Q234" t="str">
        <f t="shared" si="27"/>
        <v>Monday</v>
      </c>
      <c r="R234" t="str">
        <f t="shared" si="28"/>
        <v>Clear</v>
      </c>
      <c r="S234" t="str">
        <f t="shared" si="29"/>
        <v>Night</v>
      </c>
      <c r="T234" t="str">
        <f t="shared" si="30"/>
        <v>Cold</v>
      </c>
    </row>
    <row r="235" spans="1:20">
      <c r="A235" s="1">
        <v>234</v>
      </c>
      <c r="B235" s="2">
        <v>40554</v>
      </c>
      <c r="C235" s="1">
        <v>1</v>
      </c>
      <c r="D235" s="1">
        <v>0</v>
      </c>
      <c r="E235" s="1">
        <v>1</v>
      </c>
      <c r="F235" s="1">
        <v>0</v>
      </c>
      <c r="G235" s="1" t="b">
        <v>0</v>
      </c>
      <c r="H235" s="1">
        <v>2</v>
      </c>
      <c r="I235" s="1">
        <v>1</v>
      </c>
      <c r="J235" s="1">
        <v>0.14000000000000001</v>
      </c>
      <c r="M235" t="str">
        <f t="shared" si="25"/>
        <v>Unique</v>
      </c>
      <c r="N235" t="str">
        <f t="shared" si="26"/>
        <v>Spring</v>
      </c>
      <c r="O235" t="str">
        <f t="shared" si="24"/>
        <v>2011</v>
      </c>
      <c r="P235" t="str">
        <f t="shared" si="31"/>
        <v>Working Day</v>
      </c>
      <c r="Q235" t="str">
        <f t="shared" si="27"/>
        <v>Tuesday</v>
      </c>
      <c r="R235" t="str">
        <f t="shared" si="28"/>
        <v>Clear</v>
      </c>
      <c r="S235" t="str">
        <f t="shared" si="29"/>
        <v>Morning</v>
      </c>
      <c r="T235" t="str">
        <f t="shared" si="30"/>
        <v>Cold</v>
      </c>
    </row>
    <row r="236" spans="1:20">
      <c r="A236" s="1">
        <v>235</v>
      </c>
      <c r="B236" s="2">
        <v>40554</v>
      </c>
      <c r="C236" s="1">
        <v>1</v>
      </c>
      <c r="D236" s="1">
        <v>0</v>
      </c>
      <c r="E236" s="1">
        <v>1</v>
      </c>
      <c r="F236" s="1">
        <v>1</v>
      </c>
      <c r="G236" s="1" t="b">
        <v>0</v>
      </c>
      <c r="H236" s="1">
        <v>2</v>
      </c>
      <c r="I236" s="1">
        <v>1</v>
      </c>
      <c r="J236" s="1">
        <v>0.14000000000000001</v>
      </c>
      <c r="M236" t="str">
        <f t="shared" si="25"/>
        <v>Unique</v>
      </c>
      <c r="N236" t="str">
        <f t="shared" si="26"/>
        <v>Spring</v>
      </c>
      <c r="O236" t="str">
        <f t="shared" si="24"/>
        <v>2011</v>
      </c>
      <c r="P236" t="str">
        <f t="shared" si="31"/>
        <v>Working Day</v>
      </c>
      <c r="Q236" t="str">
        <f t="shared" si="27"/>
        <v>Tuesday</v>
      </c>
      <c r="R236" t="str">
        <f t="shared" si="28"/>
        <v>Clear</v>
      </c>
      <c r="S236" t="str">
        <f t="shared" si="29"/>
        <v>Morning</v>
      </c>
      <c r="T236" t="str">
        <f t="shared" si="30"/>
        <v>Cold</v>
      </c>
    </row>
    <row r="237" spans="1:20">
      <c r="A237" s="1">
        <v>236</v>
      </c>
      <c r="B237" s="2">
        <v>40554</v>
      </c>
      <c r="C237" s="1">
        <v>1</v>
      </c>
      <c r="D237" s="1">
        <v>0</v>
      </c>
      <c r="E237" s="1">
        <v>1</v>
      </c>
      <c r="F237" s="1">
        <v>2</v>
      </c>
      <c r="G237" s="1" t="b">
        <v>0</v>
      </c>
      <c r="H237" s="1">
        <v>2</v>
      </c>
      <c r="I237" s="1">
        <v>2</v>
      </c>
      <c r="J237" s="1">
        <v>0.16</v>
      </c>
      <c r="M237" t="str">
        <f t="shared" si="25"/>
        <v>Unique</v>
      </c>
      <c r="N237" t="str">
        <f t="shared" si="26"/>
        <v>Spring</v>
      </c>
      <c r="O237" t="str">
        <f t="shared" si="24"/>
        <v>2011</v>
      </c>
      <c r="P237" t="str">
        <f t="shared" si="31"/>
        <v>Working Day</v>
      </c>
      <c r="Q237" t="str">
        <f t="shared" si="27"/>
        <v>Tuesday</v>
      </c>
      <c r="R237" t="str">
        <f t="shared" si="28"/>
        <v>Cloudy</v>
      </c>
      <c r="S237" t="str">
        <f t="shared" si="29"/>
        <v>Morning</v>
      </c>
      <c r="T237" t="str">
        <f t="shared" si="30"/>
        <v>Cold</v>
      </c>
    </row>
    <row r="238" spans="1:20">
      <c r="A238" s="1">
        <v>237</v>
      </c>
      <c r="B238" s="2">
        <v>40554</v>
      </c>
      <c r="C238" s="1">
        <v>1</v>
      </c>
      <c r="D238" s="1">
        <v>0</v>
      </c>
      <c r="E238" s="1">
        <v>1</v>
      </c>
      <c r="F238" s="1">
        <v>5</v>
      </c>
      <c r="G238" s="1" t="b">
        <v>0</v>
      </c>
      <c r="H238" s="1">
        <v>2</v>
      </c>
      <c r="I238" s="1">
        <v>2</v>
      </c>
      <c r="J238" s="1">
        <v>0.16</v>
      </c>
      <c r="M238" t="str">
        <f t="shared" si="25"/>
        <v>Unique</v>
      </c>
      <c r="N238" t="str">
        <f t="shared" si="26"/>
        <v>Spring</v>
      </c>
      <c r="O238" t="str">
        <f t="shared" si="24"/>
        <v>2011</v>
      </c>
      <c r="P238" t="str">
        <f t="shared" si="31"/>
        <v>Working Day</v>
      </c>
      <c r="Q238" t="str">
        <f t="shared" si="27"/>
        <v>Tuesday</v>
      </c>
      <c r="R238" t="str">
        <f t="shared" si="28"/>
        <v>Cloudy</v>
      </c>
      <c r="S238" t="str">
        <f t="shared" si="29"/>
        <v>Morning</v>
      </c>
      <c r="T238" t="str">
        <f t="shared" si="30"/>
        <v>Cold</v>
      </c>
    </row>
    <row r="239" spans="1:20">
      <c r="A239" s="1">
        <v>238</v>
      </c>
      <c r="B239" s="2">
        <v>40554</v>
      </c>
      <c r="C239" s="1">
        <v>1</v>
      </c>
      <c r="D239" s="1">
        <v>0</v>
      </c>
      <c r="E239" s="1">
        <v>1</v>
      </c>
      <c r="F239" s="1">
        <v>6</v>
      </c>
      <c r="G239" s="1" t="b">
        <v>0</v>
      </c>
      <c r="H239" s="1">
        <v>2</v>
      </c>
      <c r="I239" s="1">
        <v>2</v>
      </c>
      <c r="J239" s="1">
        <v>0.16</v>
      </c>
      <c r="M239" t="str">
        <f t="shared" si="25"/>
        <v>Unique</v>
      </c>
      <c r="N239" t="str">
        <f t="shared" si="26"/>
        <v>Spring</v>
      </c>
      <c r="O239" t="str">
        <f t="shared" si="24"/>
        <v>2011</v>
      </c>
      <c r="P239" t="str">
        <f t="shared" si="31"/>
        <v>Working Day</v>
      </c>
      <c r="Q239" t="str">
        <f t="shared" si="27"/>
        <v>Tuesday</v>
      </c>
      <c r="R239" t="str">
        <f t="shared" si="28"/>
        <v>Cloudy</v>
      </c>
      <c r="S239" t="str">
        <f t="shared" si="29"/>
        <v>Morning</v>
      </c>
      <c r="T239" t="str">
        <f t="shared" si="30"/>
        <v>Cold</v>
      </c>
    </row>
    <row r="240" spans="1:20">
      <c r="A240" s="1">
        <v>239</v>
      </c>
      <c r="B240" s="2">
        <v>40554</v>
      </c>
      <c r="C240" s="1">
        <v>1</v>
      </c>
      <c r="D240" s="1">
        <v>0</v>
      </c>
      <c r="E240" s="1">
        <v>1</v>
      </c>
      <c r="F240" s="1">
        <v>7</v>
      </c>
      <c r="G240" s="1" t="b">
        <v>0</v>
      </c>
      <c r="H240" s="1">
        <v>2</v>
      </c>
      <c r="I240" s="1">
        <v>2</v>
      </c>
      <c r="J240" s="1">
        <v>0.16</v>
      </c>
      <c r="M240" t="str">
        <f t="shared" si="25"/>
        <v>Unique</v>
      </c>
      <c r="N240" t="str">
        <f t="shared" si="26"/>
        <v>Spring</v>
      </c>
      <c r="O240" t="str">
        <f t="shared" si="24"/>
        <v>2011</v>
      </c>
      <c r="P240" t="str">
        <f t="shared" si="31"/>
        <v>Working Day</v>
      </c>
      <c r="Q240" t="str">
        <f t="shared" si="27"/>
        <v>Tuesday</v>
      </c>
      <c r="R240" t="str">
        <f t="shared" si="28"/>
        <v>Cloudy</v>
      </c>
      <c r="S240" t="str">
        <f t="shared" si="29"/>
        <v>Morning</v>
      </c>
      <c r="T240" t="str">
        <f t="shared" si="30"/>
        <v>Cold</v>
      </c>
    </row>
    <row r="241" spans="1:20">
      <c r="A241" s="1">
        <v>240</v>
      </c>
      <c r="B241" s="2">
        <v>40554</v>
      </c>
      <c r="C241" s="1">
        <v>1</v>
      </c>
      <c r="D241" s="1">
        <v>0</v>
      </c>
      <c r="E241" s="1">
        <v>1</v>
      </c>
      <c r="F241" s="1">
        <v>8</v>
      </c>
      <c r="G241" s="1" t="b">
        <v>0</v>
      </c>
      <c r="H241" s="1">
        <v>2</v>
      </c>
      <c r="I241" s="1">
        <v>2</v>
      </c>
      <c r="J241" s="1">
        <v>0.18</v>
      </c>
      <c r="M241" t="str">
        <f t="shared" si="25"/>
        <v>Unique</v>
      </c>
      <c r="N241" t="str">
        <f t="shared" si="26"/>
        <v>Spring</v>
      </c>
      <c r="O241" t="str">
        <f t="shared" si="24"/>
        <v>2011</v>
      </c>
      <c r="P241" t="str">
        <f t="shared" si="31"/>
        <v>Working Day</v>
      </c>
      <c r="Q241" t="str">
        <f t="shared" si="27"/>
        <v>Tuesday</v>
      </c>
      <c r="R241" t="str">
        <f t="shared" si="28"/>
        <v>Cloudy</v>
      </c>
      <c r="S241" t="str">
        <f t="shared" si="29"/>
        <v>Morning</v>
      </c>
      <c r="T241" t="str">
        <f t="shared" si="30"/>
        <v>Cold</v>
      </c>
    </row>
    <row r="242" spans="1:20">
      <c r="A242" s="1">
        <v>241</v>
      </c>
      <c r="B242" s="2">
        <v>40554</v>
      </c>
      <c r="C242" s="1">
        <v>1</v>
      </c>
      <c r="D242" s="1">
        <v>0</v>
      </c>
      <c r="E242" s="1">
        <v>1</v>
      </c>
      <c r="F242" s="1">
        <v>9</v>
      </c>
      <c r="G242" s="1" t="b">
        <v>0</v>
      </c>
      <c r="H242" s="1">
        <v>2</v>
      </c>
      <c r="I242" s="1">
        <v>2</v>
      </c>
      <c r="J242" s="1">
        <v>0.18</v>
      </c>
      <c r="M242" t="str">
        <f t="shared" si="25"/>
        <v>Unique</v>
      </c>
      <c r="N242" t="str">
        <f t="shared" si="26"/>
        <v>Spring</v>
      </c>
      <c r="O242" t="str">
        <f t="shared" si="24"/>
        <v>2011</v>
      </c>
      <c r="P242" t="str">
        <f t="shared" si="31"/>
        <v>Working Day</v>
      </c>
      <c r="Q242" t="str">
        <f t="shared" si="27"/>
        <v>Tuesday</v>
      </c>
      <c r="R242" t="str">
        <f t="shared" si="28"/>
        <v>Cloudy</v>
      </c>
      <c r="S242" t="str">
        <f t="shared" si="29"/>
        <v>Morning</v>
      </c>
      <c r="T242" t="str">
        <f t="shared" si="30"/>
        <v>Cold</v>
      </c>
    </row>
    <row r="243" spans="1:20">
      <c r="A243" s="1">
        <v>242</v>
      </c>
      <c r="B243" s="2">
        <v>40554</v>
      </c>
      <c r="C243" s="1">
        <v>1</v>
      </c>
      <c r="D243" s="1">
        <v>0</v>
      </c>
      <c r="E243" s="1">
        <v>1</v>
      </c>
      <c r="F243" s="1">
        <v>10</v>
      </c>
      <c r="G243" s="1" t="b">
        <v>0</v>
      </c>
      <c r="H243" s="1">
        <v>2</v>
      </c>
      <c r="I243" s="1">
        <v>2</v>
      </c>
      <c r="J243" s="1">
        <v>0.2</v>
      </c>
      <c r="M243" t="str">
        <f t="shared" si="25"/>
        <v>Unique</v>
      </c>
      <c r="N243" t="str">
        <f t="shared" si="26"/>
        <v>Spring</v>
      </c>
      <c r="O243" t="str">
        <f t="shared" si="24"/>
        <v>2011</v>
      </c>
      <c r="P243" t="str">
        <f t="shared" si="31"/>
        <v>Working Day</v>
      </c>
      <c r="Q243" t="str">
        <f t="shared" si="27"/>
        <v>Tuesday</v>
      </c>
      <c r="R243" t="str">
        <f t="shared" si="28"/>
        <v>Cloudy</v>
      </c>
      <c r="S243" t="str">
        <f t="shared" si="29"/>
        <v>Morning</v>
      </c>
      <c r="T243" t="str">
        <f t="shared" si="30"/>
        <v>Cold</v>
      </c>
    </row>
    <row r="244" spans="1:20">
      <c r="A244" s="1">
        <v>243</v>
      </c>
      <c r="B244" s="2">
        <v>40554</v>
      </c>
      <c r="C244" s="1">
        <v>1</v>
      </c>
      <c r="D244" s="1">
        <v>0</v>
      </c>
      <c r="E244" s="1">
        <v>1</v>
      </c>
      <c r="F244" s="1">
        <v>11</v>
      </c>
      <c r="G244" s="1" t="b">
        <v>0</v>
      </c>
      <c r="H244" s="1">
        <v>2</v>
      </c>
      <c r="I244" s="1">
        <v>2</v>
      </c>
      <c r="J244" s="1">
        <v>0.2</v>
      </c>
      <c r="M244" t="str">
        <f t="shared" si="25"/>
        <v>Unique</v>
      </c>
      <c r="N244" t="str">
        <f t="shared" si="26"/>
        <v>Spring</v>
      </c>
      <c r="O244" t="str">
        <f t="shared" si="24"/>
        <v>2011</v>
      </c>
      <c r="P244" t="str">
        <f t="shared" si="31"/>
        <v>Working Day</v>
      </c>
      <c r="Q244" t="str">
        <f t="shared" si="27"/>
        <v>Tuesday</v>
      </c>
      <c r="R244" t="str">
        <f t="shared" si="28"/>
        <v>Cloudy</v>
      </c>
      <c r="S244" t="str">
        <f t="shared" si="29"/>
        <v>Morning</v>
      </c>
      <c r="T244" t="str">
        <f t="shared" si="30"/>
        <v>Cold</v>
      </c>
    </row>
    <row r="245" spans="1:20">
      <c r="A245" s="1">
        <v>244</v>
      </c>
      <c r="B245" s="2">
        <v>40554</v>
      </c>
      <c r="C245" s="1">
        <v>1</v>
      </c>
      <c r="D245" s="1">
        <v>0</v>
      </c>
      <c r="E245" s="1">
        <v>1</v>
      </c>
      <c r="F245" s="1">
        <v>12</v>
      </c>
      <c r="G245" s="1" t="b">
        <v>0</v>
      </c>
      <c r="H245" s="1">
        <v>2</v>
      </c>
      <c r="I245" s="1">
        <v>2</v>
      </c>
      <c r="J245" s="1">
        <v>0.2</v>
      </c>
      <c r="M245" t="str">
        <f t="shared" si="25"/>
        <v>Unique</v>
      </c>
      <c r="N245" t="str">
        <f t="shared" si="26"/>
        <v>Spring</v>
      </c>
      <c r="O245" t="str">
        <f t="shared" si="24"/>
        <v>2011</v>
      </c>
      <c r="P245" t="str">
        <f t="shared" si="31"/>
        <v>Working Day</v>
      </c>
      <c r="Q245" t="str">
        <f t="shared" si="27"/>
        <v>Tuesday</v>
      </c>
      <c r="R245" t="str">
        <f t="shared" si="28"/>
        <v>Cloudy</v>
      </c>
      <c r="S245" t="str">
        <f t="shared" si="29"/>
        <v>Afternoon</v>
      </c>
      <c r="T245" t="str">
        <f t="shared" si="30"/>
        <v>Cold</v>
      </c>
    </row>
    <row r="246" spans="1:20">
      <c r="A246" s="1">
        <v>245</v>
      </c>
      <c r="B246" s="2">
        <v>40554</v>
      </c>
      <c r="C246" s="1">
        <v>1</v>
      </c>
      <c r="D246" s="1">
        <v>0</v>
      </c>
      <c r="E246" s="1">
        <v>1</v>
      </c>
      <c r="F246" s="1">
        <v>13</v>
      </c>
      <c r="G246" s="1" t="b">
        <v>0</v>
      </c>
      <c r="H246" s="1">
        <v>2</v>
      </c>
      <c r="I246" s="1">
        <v>2</v>
      </c>
      <c r="J246" s="1">
        <v>0.2</v>
      </c>
      <c r="M246" t="str">
        <f t="shared" si="25"/>
        <v>Unique</v>
      </c>
      <c r="N246" t="str">
        <f t="shared" si="26"/>
        <v>Spring</v>
      </c>
      <c r="O246" t="str">
        <f t="shared" si="24"/>
        <v>2011</v>
      </c>
      <c r="P246" t="str">
        <f t="shared" si="31"/>
        <v>Working Day</v>
      </c>
      <c r="Q246" t="str">
        <f t="shared" si="27"/>
        <v>Tuesday</v>
      </c>
      <c r="R246" t="str">
        <f t="shared" si="28"/>
        <v>Cloudy</v>
      </c>
      <c r="S246" t="str">
        <f t="shared" si="29"/>
        <v>Afternoon</v>
      </c>
      <c r="T246" t="str">
        <f t="shared" si="30"/>
        <v>Cold</v>
      </c>
    </row>
    <row r="247" spans="1:20">
      <c r="A247" s="1">
        <v>246</v>
      </c>
      <c r="B247" s="2">
        <v>40554</v>
      </c>
      <c r="C247" s="1">
        <v>1</v>
      </c>
      <c r="D247" s="1">
        <v>0</v>
      </c>
      <c r="E247" s="1">
        <v>1</v>
      </c>
      <c r="F247" s="1">
        <v>14</v>
      </c>
      <c r="G247" s="1" t="b">
        <v>0</v>
      </c>
      <c r="H247" s="1">
        <v>2</v>
      </c>
      <c r="I247" s="1">
        <v>2</v>
      </c>
      <c r="J247" s="1">
        <v>0.2</v>
      </c>
      <c r="M247" t="str">
        <f t="shared" si="25"/>
        <v>Unique</v>
      </c>
      <c r="N247" t="str">
        <f t="shared" si="26"/>
        <v>Spring</v>
      </c>
      <c r="O247" t="str">
        <f t="shared" si="24"/>
        <v>2011</v>
      </c>
      <c r="P247" t="str">
        <f t="shared" si="31"/>
        <v>Working Day</v>
      </c>
      <c r="Q247" t="str">
        <f t="shared" si="27"/>
        <v>Tuesday</v>
      </c>
      <c r="R247" t="str">
        <f t="shared" si="28"/>
        <v>Cloudy</v>
      </c>
      <c r="S247" t="str">
        <f t="shared" si="29"/>
        <v>Afternoon</v>
      </c>
      <c r="T247" t="str">
        <f t="shared" si="30"/>
        <v>Cold</v>
      </c>
    </row>
    <row r="248" spans="1:20">
      <c r="A248" s="1">
        <v>247</v>
      </c>
      <c r="B248" s="2">
        <v>40554</v>
      </c>
      <c r="C248" s="1">
        <v>1</v>
      </c>
      <c r="D248" s="1">
        <v>0</v>
      </c>
      <c r="E248" s="1">
        <v>1</v>
      </c>
      <c r="F248" s="1">
        <v>15</v>
      </c>
      <c r="G248" s="1" t="b">
        <v>0</v>
      </c>
      <c r="H248" s="1">
        <v>2</v>
      </c>
      <c r="I248" s="1">
        <v>2</v>
      </c>
      <c r="J248" s="1">
        <v>0.16</v>
      </c>
      <c r="M248" t="str">
        <f t="shared" si="25"/>
        <v>Unique</v>
      </c>
      <c r="N248" t="str">
        <f t="shared" si="26"/>
        <v>Spring</v>
      </c>
      <c r="O248" t="str">
        <f t="shared" si="24"/>
        <v>2011</v>
      </c>
      <c r="P248" t="str">
        <f t="shared" si="31"/>
        <v>Working Day</v>
      </c>
      <c r="Q248" t="str">
        <f t="shared" si="27"/>
        <v>Tuesday</v>
      </c>
      <c r="R248" t="str">
        <f t="shared" si="28"/>
        <v>Cloudy</v>
      </c>
      <c r="S248" t="str">
        <f t="shared" si="29"/>
        <v>Afternoon</v>
      </c>
      <c r="T248" t="str">
        <f t="shared" si="30"/>
        <v>Cold</v>
      </c>
    </row>
    <row r="249" spans="1:20">
      <c r="A249" s="1">
        <v>248</v>
      </c>
      <c r="B249" s="2">
        <v>40554</v>
      </c>
      <c r="C249" s="1">
        <v>1</v>
      </c>
      <c r="D249" s="1">
        <v>0</v>
      </c>
      <c r="E249" s="1">
        <v>1</v>
      </c>
      <c r="F249" s="1">
        <v>16</v>
      </c>
      <c r="G249" s="1" t="b">
        <v>0</v>
      </c>
      <c r="H249" s="1">
        <v>2</v>
      </c>
      <c r="I249" s="1">
        <v>2</v>
      </c>
      <c r="J249" s="1">
        <v>0.16</v>
      </c>
      <c r="M249" t="str">
        <f t="shared" si="25"/>
        <v>Unique</v>
      </c>
      <c r="N249" t="str">
        <f t="shared" si="26"/>
        <v>Spring</v>
      </c>
      <c r="O249" t="str">
        <f t="shared" si="24"/>
        <v>2011</v>
      </c>
      <c r="P249" t="str">
        <f t="shared" si="31"/>
        <v>Working Day</v>
      </c>
      <c r="Q249" t="str">
        <f t="shared" si="27"/>
        <v>Tuesday</v>
      </c>
      <c r="R249" t="str">
        <f t="shared" si="28"/>
        <v>Cloudy</v>
      </c>
      <c r="S249" t="str">
        <f t="shared" si="29"/>
        <v>Afternoon</v>
      </c>
      <c r="T249" t="str">
        <f t="shared" si="30"/>
        <v>Cold</v>
      </c>
    </row>
    <row r="250" spans="1:20">
      <c r="A250" s="1">
        <v>249</v>
      </c>
      <c r="B250" s="2">
        <v>40554</v>
      </c>
      <c r="C250" s="1">
        <v>1</v>
      </c>
      <c r="D250" s="1">
        <v>0</v>
      </c>
      <c r="E250" s="1">
        <v>1</v>
      </c>
      <c r="F250" s="1">
        <v>17</v>
      </c>
      <c r="G250" s="1" t="b">
        <v>0</v>
      </c>
      <c r="H250" s="1">
        <v>2</v>
      </c>
      <c r="I250" s="1">
        <v>2</v>
      </c>
      <c r="J250" s="1">
        <v>0.16</v>
      </c>
      <c r="M250" t="str">
        <f t="shared" si="25"/>
        <v>Unique</v>
      </c>
      <c r="N250" t="str">
        <f t="shared" si="26"/>
        <v>Spring</v>
      </c>
      <c r="O250" t="str">
        <f t="shared" si="24"/>
        <v>2011</v>
      </c>
      <c r="P250" t="str">
        <f t="shared" si="31"/>
        <v>Working Day</v>
      </c>
      <c r="Q250" t="str">
        <f t="shared" si="27"/>
        <v>Tuesday</v>
      </c>
      <c r="R250" t="str">
        <f t="shared" si="28"/>
        <v>Cloudy</v>
      </c>
      <c r="S250" t="str">
        <f t="shared" si="29"/>
        <v>Afternoon</v>
      </c>
      <c r="T250" t="str">
        <f t="shared" si="30"/>
        <v>Cold</v>
      </c>
    </row>
    <row r="251" spans="1:20">
      <c r="A251" s="1">
        <v>250</v>
      </c>
      <c r="B251" s="2">
        <v>40554</v>
      </c>
      <c r="C251" s="1">
        <v>1</v>
      </c>
      <c r="D251" s="1">
        <v>0</v>
      </c>
      <c r="E251" s="1">
        <v>1</v>
      </c>
      <c r="F251" s="1">
        <v>18</v>
      </c>
      <c r="G251" s="1" t="b">
        <v>0</v>
      </c>
      <c r="H251" s="1">
        <v>2</v>
      </c>
      <c r="I251" s="1">
        <v>3</v>
      </c>
      <c r="J251" s="1">
        <v>0.16</v>
      </c>
      <c r="M251" t="str">
        <f t="shared" si="25"/>
        <v>Unique</v>
      </c>
      <c r="N251" t="str">
        <f t="shared" si="26"/>
        <v>Spring</v>
      </c>
      <c r="O251" t="str">
        <f t="shared" si="24"/>
        <v>2011</v>
      </c>
      <c r="P251" t="str">
        <f t="shared" si="31"/>
        <v>Working Day</v>
      </c>
      <c r="Q251" t="str">
        <f t="shared" si="27"/>
        <v>Tuesday</v>
      </c>
      <c r="R251" t="str">
        <f t="shared" si="28"/>
        <v>Rainy</v>
      </c>
      <c r="S251" t="str">
        <f t="shared" si="29"/>
        <v>Night</v>
      </c>
      <c r="T251" t="str">
        <f t="shared" si="30"/>
        <v>Cold</v>
      </c>
    </row>
    <row r="252" spans="1:20">
      <c r="A252" s="1">
        <v>251</v>
      </c>
      <c r="B252" s="2">
        <v>40554</v>
      </c>
      <c r="C252" s="1">
        <v>1</v>
      </c>
      <c r="D252" s="1">
        <v>0</v>
      </c>
      <c r="E252" s="1">
        <v>1</v>
      </c>
      <c r="F252" s="1">
        <v>19</v>
      </c>
      <c r="G252" s="1" t="b">
        <v>0</v>
      </c>
      <c r="H252" s="1">
        <v>2</v>
      </c>
      <c r="I252" s="1">
        <v>3</v>
      </c>
      <c r="J252" s="1">
        <v>0.16</v>
      </c>
      <c r="M252" t="str">
        <f t="shared" si="25"/>
        <v>Unique</v>
      </c>
      <c r="N252" t="str">
        <f t="shared" si="26"/>
        <v>Spring</v>
      </c>
      <c r="O252" t="str">
        <f t="shared" si="24"/>
        <v>2011</v>
      </c>
      <c r="P252" t="str">
        <f t="shared" si="31"/>
        <v>Working Day</v>
      </c>
      <c r="Q252" t="str">
        <f t="shared" si="27"/>
        <v>Tuesday</v>
      </c>
      <c r="R252" t="str">
        <f t="shared" si="28"/>
        <v>Rainy</v>
      </c>
      <c r="S252" t="str">
        <f t="shared" si="29"/>
        <v>Night</v>
      </c>
      <c r="T252" t="str">
        <f t="shared" si="30"/>
        <v>Cold</v>
      </c>
    </row>
    <row r="253" spans="1:20">
      <c r="A253" s="1">
        <v>252</v>
      </c>
      <c r="B253" s="2">
        <v>40554</v>
      </c>
      <c r="C253" s="1">
        <v>1</v>
      </c>
      <c r="D253" s="1">
        <v>0</v>
      </c>
      <c r="E253" s="1">
        <v>1</v>
      </c>
      <c r="F253" s="1">
        <v>20</v>
      </c>
      <c r="G253" s="1" t="b">
        <v>0</v>
      </c>
      <c r="H253" s="1">
        <v>2</v>
      </c>
      <c r="I253" s="1">
        <v>3</v>
      </c>
      <c r="J253" s="1">
        <v>0.16</v>
      </c>
      <c r="M253" t="str">
        <f t="shared" si="25"/>
        <v>Unique</v>
      </c>
      <c r="N253" t="str">
        <f t="shared" si="26"/>
        <v>Spring</v>
      </c>
      <c r="O253" t="str">
        <f t="shared" si="24"/>
        <v>2011</v>
      </c>
      <c r="P253" t="str">
        <f t="shared" si="31"/>
        <v>Working Day</v>
      </c>
      <c r="Q253" t="str">
        <f t="shared" si="27"/>
        <v>Tuesday</v>
      </c>
      <c r="R253" t="str">
        <f t="shared" si="28"/>
        <v>Rainy</v>
      </c>
      <c r="S253" t="str">
        <f t="shared" si="29"/>
        <v>Night</v>
      </c>
      <c r="T253" t="str">
        <f t="shared" si="30"/>
        <v>Cold</v>
      </c>
    </row>
    <row r="254" spans="1:20">
      <c r="A254" s="1">
        <v>253</v>
      </c>
      <c r="B254" s="2">
        <v>40554</v>
      </c>
      <c r="C254" s="1">
        <v>1</v>
      </c>
      <c r="D254" s="1">
        <v>0</v>
      </c>
      <c r="E254" s="1">
        <v>1</v>
      </c>
      <c r="F254" s="1">
        <v>21</v>
      </c>
      <c r="G254" s="1" t="b">
        <v>0</v>
      </c>
      <c r="H254" s="1">
        <v>2</v>
      </c>
      <c r="I254" s="1">
        <v>3</v>
      </c>
      <c r="J254" s="1">
        <v>0.16</v>
      </c>
      <c r="M254" t="str">
        <f t="shared" si="25"/>
        <v>Unique</v>
      </c>
      <c r="N254" t="str">
        <f t="shared" si="26"/>
        <v>Spring</v>
      </c>
      <c r="O254" t="str">
        <f t="shared" si="24"/>
        <v>2011</v>
      </c>
      <c r="P254" t="str">
        <f t="shared" si="31"/>
        <v>Working Day</v>
      </c>
      <c r="Q254" t="str">
        <f t="shared" si="27"/>
        <v>Tuesday</v>
      </c>
      <c r="R254" t="str">
        <f t="shared" si="28"/>
        <v>Rainy</v>
      </c>
      <c r="S254" t="str">
        <f t="shared" si="29"/>
        <v>Night</v>
      </c>
      <c r="T254" t="str">
        <f t="shared" si="30"/>
        <v>Cold</v>
      </c>
    </row>
    <row r="255" spans="1:20">
      <c r="A255" s="1">
        <v>254</v>
      </c>
      <c r="B255" s="2">
        <v>40554</v>
      </c>
      <c r="C255" s="1">
        <v>1</v>
      </c>
      <c r="D255" s="1">
        <v>0</v>
      </c>
      <c r="E255" s="1">
        <v>1</v>
      </c>
      <c r="F255" s="1">
        <v>22</v>
      </c>
      <c r="G255" s="1" t="b">
        <v>0</v>
      </c>
      <c r="H255" s="1">
        <v>2</v>
      </c>
      <c r="I255" s="1">
        <v>3</v>
      </c>
      <c r="J255" s="1">
        <v>0.16</v>
      </c>
      <c r="M255" t="str">
        <f t="shared" si="25"/>
        <v>Unique</v>
      </c>
      <c r="N255" t="str">
        <f t="shared" si="26"/>
        <v>Spring</v>
      </c>
      <c r="O255" t="str">
        <f t="shared" si="24"/>
        <v>2011</v>
      </c>
      <c r="P255" t="str">
        <f t="shared" si="31"/>
        <v>Working Day</v>
      </c>
      <c r="Q255" t="str">
        <f t="shared" si="27"/>
        <v>Tuesday</v>
      </c>
      <c r="R255" t="str">
        <f t="shared" si="28"/>
        <v>Rainy</v>
      </c>
      <c r="S255" t="str">
        <f t="shared" si="29"/>
        <v>Night</v>
      </c>
      <c r="T255" t="str">
        <f t="shared" si="30"/>
        <v>Cold</v>
      </c>
    </row>
    <row r="256" spans="1:20">
      <c r="A256" s="1">
        <v>255</v>
      </c>
      <c r="B256" s="2">
        <v>40554</v>
      </c>
      <c r="C256" s="1">
        <v>1</v>
      </c>
      <c r="D256" s="1">
        <v>0</v>
      </c>
      <c r="E256" s="1">
        <v>1</v>
      </c>
      <c r="F256" s="1">
        <v>23</v>
      </c>
      <c r="G256" s="1" t="b">
        <v>0</v>
      </c>
      <c r="H256" s="1">
        <v>2</v>
      </c>
      <c r="I256" s="1">
        <v>3</v>
      </c>
      <c r="J256" s="1">
        <v>0.16</v>
      </c>
      <c r="M256" t="str">
        <f t="shared" si="25"/>
        <v>Unique</v>
      </c>
      <c r="N256" t="str">
        <f t="shared" si="26"/>
        <v>Spring</v>
      </c>
      <c r="O256" t="str">
        <f t="shared" si="24"/>
        <v>2011</v>
      </c>
      <c r="P256" t="str">
        <f t="shared" si="31"/>
        <v>Working Day</v>
      </c>
      <c r="Q256" t="str">
        <f t="shared" si="27"/>
        <v>Tuesday</v>
      </c>
      <c r="R256" t="str">
        <f t="shared" si="28"/>
        <v>Rainy</v>
      </c>
      <c r="S256" t="str">
        <f t="shared" si="29"/>
        <v>Night</v>
      </c>
      <c r="T256" t="str">
        <f t="shared" si="30"/>
        <v>Cold</v>
      </c>
    </row>
    <row r="257" spans="1:20">
      <c r="A257" s="1">
        <v>256</v>
      </c>
      <c r="B257" s="2">
        <v>40555</v>
      </c>
      <c r="C257" s="1">
        <v>1</v>
      </c>
      <c r="D257" s="1">
        <v>0</v>
      </c>
      <c r="E257" s="1">
        <v>1</v>
      </c>
      <c r="F257" s="1">
        <v>0</v>
      </c>
      <c r="G257" s="1" t="b">
        <v>0</v>
      </c>
      <c r="H257" s="1">
        <v>3</v>
      </c>
      <c r="I257" s="1">
        <v>2</v>
      </c>
      <c r="J257" s="1">
        <v>0.16</v>
      </c>
      <c r="M257" t="str">
        <f t="shared" si="25"/>
        <v>Unique</v>
      </c>
      <c r="N257" t="str">
        <f t="shared" si="26"/>
        <v>Spring</v>
      </c>
      <c r="O257" t="str">
        <f t="shared" si="24"/>
        <v>2011</v>
      </c>
      <c r="P257" t="str">
        <f t="shared" si="31"/>
        <v>Working Day</v>
      </c>
      <c r="Q257" t="str">
        <f t="shared" si="27"/>
        <v>Wednesday</v>
      </c>
      <c r="R257" t="str">
        <f t="shared" si="28"/>
        <v>Cloudy</v>
      </c>
      <c r="S257" t="str">
        <f t="shared" si="29"/>
        <v>Morning</v>
      </c>
      <c r="T257" t="str">
        <f t="shared" si="30"/>
        <v>Cold</v>
      </c>
    </row>
    <row r="258" spans="1:20">
      <c r="A258" s="1">
        <v>257</v>
      </c>
      <c r="B258" s="2">
        <v>40555</v>
      </c>
      <c r="C258" s="1">
        <v>1</v>
      </c>
      <c r="D258" s="1">
        <v>0</v>
      </c>
      <c r="E258" s="1">
        <v>1</v>
      </c>
      <c r="F258" s="1">
        <v>1</v>
      </c>
      <c r="G258" s="1" t="b">
        <v>0</v>
      </c>
      <c r="H258" s="1">
        <v>3</v>
      </c>
      <c r="I258" s="1">
        <v>2</v>
      </c>
      <c r="J258" s="1">
        <v>0.16</v>
      </c>
      <c r="M258" t="str">
        <f t="shared" si="25"/>
        <v>Unique</v>
      </c>
      <c r="N258" t="str">
        <f t="shared" si="26"/>
        <v>Spring</v>
      </c>
      <c r="O258" t="str">
        <f t="shared" ref="O258:O321" si="32">IF(D258=0,"2011","2012")</f>
        <v>2011</v>
      </c>
      <c r="P258" t="str">
        <f t="shared" si="31"/>
        <v>Working Day</v>
      </c>
      <c r="Q258" t="str">
        <f t="shared" si="27"/>
        <v>Wednesday</v>
      </c>
      <c r="R258" t="str">
        <f t="shared" si="28"/>
        <v>Cloudy</v>
      </c>
      <c r="S258" t="str">
        <f t="shared" si="29"/>
        <v>Morning</v>
      </c>
      <c r="T258" t="str">
        <f t="shared" si="30"/>
        <v>Cold</v>
      </c>
    </row>
    <row r="259" spans="1:20">
      <c r="A259" s="1">
        <v>258</v>
      </c>
      <c r="B259" s="2">
        <v>40555</v>
      </c>
      <c r="C259" s="1">
        <v>1</v>
      </c>
      <c r="D259" s="1">
        <v>0</v>
      </c>
      <c r="E259" s="1">
        <v>1</v>
      </c>
      <c r="F259" s="1">
        <v>2</v>
      </c>
      <c r="G259" s="1" t="b">
        <v>0</v>
      </c>
      <c r="H259" s="1">
        <v>3</v>
      </c>
      <c r="I259" s="1">
        <v>1</v>
      </c>
      <c r="J259" s="1">
        <v>0.14000000000000001</v>
      </c>
      <c r="M259" t="str">
        <f t="shared" ref="M259:M322" si="33">IF(COUNTIF(A:A,A259)&gt;1,"Duplicate","Unique")</f>
        <v>Unique</v>
      </c>
      <c r="N259" t="str">
        <f t="shared" ref="N259:N322" si="34">IF(C259=1,"Spring",IF(C259=2,"Summer",IF(C259=3,"Fall","Winter")))</f>
        <v>Spring</v>
      </c>
      <c r="O259" t="str">
        <f t="shared" si="32"/>
        <v>2011</v>
      </c>
      <c r="P259" t="str">
        <f t="shared" si="31"/>
        <v>Working Day</v>
      </c>
      <c r="Q259" t="str">
        <f t="shared" ref="Q259:Q322" si="35">CHOOSE(H259+1,"Sunday","Monday","Tuesday","Wednesday","Thursday","Friday","Saturday")</f>
        <v>Wednesday</v>
      </c>
      <c r="R259" t="str">
        <f t="shared" ref="R259:R322" si="36">IF(I259=1,"Clear",IF(I259=2,"Cloudy",IF(I259=3,"Rainy","Storm")))</f>
        <v>Clear</v>
      </c>
      <c r="S259" t="str">
        <f t="shared" ref="S259:S322" si="37">IF(F259&lt;12,"Morning",IF(F259&lt;18,"Afternoon","Night"))</f>
        <v>Morning</v>
      </c>
      <c r="T259" t="str">
        <f t="shared" ref="T259:T322" si="38">IF(J259&lt;0.3,"Cold",IF(J259&lt;0.6,"Normal","Hot"))</f>
        <v>Cold</v>
      </c>
    </row>
    <row r="260" spans="1:20">
      <c r="A260" s="1">
        <v>259</v>
      </c>
      <c r="B260" s="2">
        <v>40555</v>
      </c>
      <c r="C260" s="1">
        <v>1</v>
      </c>
      <c r="D260" s="1">
        <v>0</v>
      </c>
      <c r="E260" s="1">
        <v>1</v>
      </c>
      <c r="F260" s="1">
        <v>5</v>
      </c>
      <c r="G260" s="1" t="b">
        <v>0</v>
      </c>
      <c r="H260" s="1">
        <v>3</v>
      </c>
      <c r="I260" s="1">
        <v>1</v>
      </c>
      <c r="J260" s="1">
        <v>0.14000000000000001</v>
      </c>
      <c r="M260" t="str">
        <f t="shared" si="33"/>
        <v>Unique</v>
      </c>
      <c r="N260" t="str">
        <f t="shared" si="34"/>
        <v>Spring</v>
      </c>
      <c r="O260" t="str">
        <f t="shared" si="32"/>
        <v>2011</v>
      </c>
      <c r="P260" t="str">
        <f t="shared" ref="P260:P323" si="39">IF(G259=FALSE,"Working Day","Holiday")</f>
        <v>Working Day</v>
      </c>
      <c r="Q260" t="str">
        <f t="shared" si="35"/>
        <v>Wednesday</v>
      </c>
      <c r="R260" t="str">
        <f t="shared" si="36"/>
        <v>Clear</v>
      </c>
      <c r="S260" t="str">
        <f t="shared" si="37"/>
        <v>Morning</v>
      </c>
      <c r="T260" t="str">
        <f t="shared" si="38"/>
        <v>Cold</v>
      </c>
    </row>
    <row r="261" spans="1:20">
      <c r="A261" s="1">
        <v>260</v>
      </c>
      <c r="B261" s="2">
        <v>40555</v>
      </c>
      <c r="C261" s="1">
        <v>1</v>
      </c>
      <c r="D261" s="1">
        <v>0</v>
      </c>
      <c r="E261" s="1">
        <v>1</v>
      </c>
      <c r="F261" s="1">
        <v>6</v>
      </c>
      <c r="G261" s="1" t="b">
        <v>0</v>
      </c>
      <c r="H261" s="1">
        <v>3</v>
      </c>
      <c r="I261" s="1">
        <v>1</v>
      </c>
      <c r="J261" s="1">
        <v>0.12</v>
      </c>
      <c r="M261" t="str">
        <f t="shared" si="33"/>
        <v>Unique</v>
      </c>
      <c r="N261" t="str">
        <f t="shared" si="34"/>
        <v>Spring</v>
      </c>
      <c r="O261" t="str">
        <f t="shared" si="32"/>
        <v>2011</v>
      </c>
      <c r="P261" t="str">
        <f t="shared" si="39"/>
        <v>Working Day</v>
      </c>
      <c r="Q261" t="str">
        <f t="shared" si="35"/>
        <v>Wednesday</v>
      </c>
      <c r="R261" t="str">
        <f t="shared" si="36"/>
        <v>Clear</v>
      </c>
      <c r="S261" t="str">
        <f t="shared" si="37"/>
        <v>Morning</v>
      </c>
      <c r="T261" t="str">
        <f t="shared" si="38"/>
        <v>Cold</v>
      </c>
    </row>
    <row r="262" spans="1:20">
      <c r="A262" s="1">
        <v>261</v>
      </c>
      <c r="B262" s="2">
        <v>40555</v>
      </c>
      <c r="C262" s="1">
        <v>1</v>
      </c>
      <c r="D262" s="1">
        <v>0</v>
      </c>
      <c r="E262" s="1">
        <v>1</v>
      </c>
      <c r="F262" s="1">
        <v>7</v>
      </c>
      <c r="G262" s="1" t="b">
        <v>0</v>
      </c>
      <c r="H262" s="1">
        <v>3</v>
      </c>
      <c r="I262" s="1">
        <v>1</v>
      </c>
      <c r="J262" s="1">
        <v>0.14000000000000001</v>
      </c>
      <c r="M262" t="str">
        <f t="shared" si="33"/>
        <v>Unique</v>
      </c>
      <c r="N262" t="str">
        <f t="shared" si="34"/>
        <v>Spring</v>
      </c>
      <c r="O262" t="str">
        <f t="shared" si="32"/>
        <v>2011</v>
      </c>
      <c r="P262" t="str">
        <f t="shared" si="39"/>
        <v>Working Day</v>
      </c>
      <c r="Q262" t="str">
        <f t="shared" si="35"/>
        <v>Wednesday</v>
      </c>
      <c r="R262" t="str">
        <f t="shared" si="36"/>
        <v>Clear</v>
      </c>
      <c r="S262" t="str">
        <f t="shared" si="37"/>
        <v>Morning</v>
      </c>
      <c r="T262" t="str">
        <f t="shared" si="38"/>
        <v>Cold</v>
      </c>
    </row>
    <row r="263" spans="1:20">
      <c r="A263" s="1">
        <v>262</v>
      </c>
      <c r="B263" s="2">
        <v>40555</v>
      </c>
      <c r="C263" s="1">
        <v>1</v>
      </c>
      <c r="D263" s="1">
        <v>0</v>
      </c>
      <c r="E263" s="1">
        <v>1</v>
      </c>
      <c r="F263" s="1">
        <v>8</v>
      </c>
      <c r="G263" s="1" t="b">
        <v>0</v>
      </c>
      <c r="H263" s="1">
        <v>3</v>
      </c>
      <c r="I263" s="1">
        <v>1</v>
      </c>
      <c r="J263" s="1">
        <v>0.16</v>
      </c>
      <c r="M263" t="str">
        <f t="shared" si="33"/>
        <v>Unique</v>
      </c>
      <c r="N263" t="str">
        <f t="shared" si="34"/>
        <v>Spring</v>
      </c>
      <c r="O263" t="str">
        <f t="shared" si="32"/>
        <v>2011</v>
      </c>
      <c r="P263" t="str">
        <f t="shared" si="39"/>
        <v>Working Day</v>
      </c>
      <c r="Q263" t="str">
        <f t="shared" si="35"/>
        <v>Wednesday</v>
      </c>
      <c r="R263" t="str">
        <f t="shared" si="36"/>
        <v>Clear</v>
      </c>
      <c r="S263" t="str">
        <f t="shared" si="37"/>
        <v>Morning</v>
      </c>
      <c r="T263" t="str">
        <f t="shared" si="38"/>
        <v>Cold</v>
      </c>
    </row>
    <row r="264" spans="1:20">
      <c r="A264" s="1">
        <v>263</v>
      </c>
      <c r="B264" s="2">
        <v>40555</v>
      </c>
      <c r="C264" s="1">
        <v>1</v>
      </c>
      <c r="D264" s="1">
        <v>0</v>
      </c>
      <c r="E264" s="1">
        <v>1</v>
      </c>
      <c r="F264" s="1">
        <v>9</v>
      </c>
      <c r="G264" s="1" t="b">
        <v>0</v>
      </c>
      <c r="H264" s="1">
        <v>3</v>
      </c>
      <c r="I264" s="1">
        <v>1</v>
      </c>
      <c r="J264" s="1">
        <v>0.16</v>
      </c>
      <c r="M264" t="str">
        <f t="shared" si="33"/>
        <v>Unique</v>
      </c>
      <c r="N264" t="str">
        <f t="shared" si="34"/>
        <v>Spring</v>
      </c>
      <c r="O264" t="str">
        <f t="shared" si="32"/>
        <v>2011</v>
      </c>
      <c r="P264" t="str">
        <f t="shared" si="39"/>
        <v>Working Day</v>
      </c>
      <c r="Q264" t="str">
        <f t="shared" si="35"/>
        <v>Wednesday</v>
      </c>
      <c r="R264" t="str">
        <f t="shared" si="36"/>
        <v>Clear</v>
      </c>
      <c r="S264" t="str">
        <f t="shared" si="37"/>
        <v>Morning</v>
      </c>
      <c r="T264" t="str">
        <f t="shared" si="38"/>
        <v>Cold</v>
      </c>
    </row>
    <row r="265" spans="1:20">
      <c r="A265" s="1">
        <v>264</v>
      </c>
      <c r="B265" s="2">
        <v>40555</v>
      </c>
      <c r="C265" s="1">
        <v>1</v>
      </c>
      <c r="D265" s="1">
        <v>0</v>
      </c>
      <c r="E265" s="1">
        <v>1</v>
      </c>
      <c r="F265" s="1">
        <v>10</v>
      </c>
      <c r="G265" s="1" t="b">
        <v>0</v>
      </c>
      <c r="H265" s="1">
        <v>3</v>
      </c>
      <c r="I265" s="1">
        <v>1</v>
      </c>
      <c r="J265" s="1">
        <v>0.18</v>
      </c>
      <c r="M265" t="str">
        <f t="shared" si="33"/>
        <v>Unique</v>
      </c>
      <c r="N265" t="str">
        <f t="shared" si="34"/>
        <v>Spring</v>
      </c>
      <c r="O265" t="str">
        <f t="shared" si="32"/>
        <v>2011</v>
      </c>
      <c r="P265" t="str">
        <f t="shared" si="39"/>
        <v>Working Day</v>
      </c>
      <c r="Q265" t="str">
        <f t="shared" si="35"/>
        <v>Wednesday</v>
      </c>
      <c r="R265" t="str">
        <f t="shared" si="36"/>
        <v>Clear</v>
      </c>
      <c r="S265" t="str">
        <f t="shared" si="37"/>
        <v>Morning</v>
      </c>
      <c r="T265" t="str">
        <f t="shared" si="38"/>
        <v>Cold</v>
      </c>
    </row>
    <row r="266" spans="1:20">
      <c r="A266" s="1">
        <v>265</v>
      </c>
      <c r="B266" s="2">
        <v>40555</v>
      </c>
      <c r="C266" s="1">
        <v>1</v>
      </c>
      <c r="D266" s="1">
        <v>0</v>
      </c>
      <c r="E266" s="1">
        <v>1</v>
      </c>
      <c r="F266" s="1">
        <v>11</v>
      </c>
      <c r="G266" s="1" t="b">
        <v>0</v>
      </c>
      <c r="H266" s="1">
        <v>3</v>
      </c>
      <c r="I266" s="1">
        <v>1</v>
      </c>
      <c r="J266" s="1">
        <v>0.2</v>
      </c>
      <c r="M266" t="str">
        <f t="shared" si="33"/>
        <v>Unique</v>
      </c>
      <c r="N266" t="str">
        <f t="shared" si="34"/>
        <v>Spring</v>
      </c>
      <c r="O266" t="str">
        <f t="shared" si="32"/>
        <v>2011</v>
      </c>
      <c r="P266" t="str">
        <f t="shared" si="39"/>
        <v>Working Day</v>
      </c>
      <c r="Q266" t="str">
        <f t="shared" si="35"/>
        <v>Wednesday</v>
      </c>
      <c r="R266" t="str">
        <f t="shared" si="36"/>
        <v>Clear</v>
      </c>
      <c r="S266" t="str">
        <f t="shared" si="37"/>
        <v>Morning</v>
      </c>
      <c r="T266" t="str">
        <f t="shared" si="38"/>
        <v>Cold</v>
      </c>
    </row>
    <row r="267" spans="1:20">
      <c r="A267" s="1">
        <v>266</v>
      </c>
      <c r="B267" s="2">
        <v>40555</v>
      </c>
      <c r="C267" s="1">
        <v>1</v>
      </c>
      <c r="D267" s="1">
        <v>0</v>
      </c>
      <c r="E267" s="1">
        <v>1</v>
      </c>
      <c r="F267" s="1">
        <v>12</v>
      </c>
      <c r="G267" s="1" t="b">
        <v>0</v>
      </c>
      <c r="H267" s="1">
        <v>3</v>
      </c>
      <c r="I267" s="1">
        <v>1</v>
      </c>
      <c r="J267" s="1">
        <v>0.2</v>
      </c>
      <c r="M267" t="str">
        <f t="shared" si="33"/>
        <v>Unique</v>
      </c>
      <c r="N267" t="str">
        <f t="shared" si="34"/>
        <v>Spring</v>
      </c>
      <c r="O267" t="str">
        <f t="shared" si="32"/>
        <v>2011</v>
      </c>
      <c r="P267" t="str">
        <f t="shared" si="39"/>
        <v>Working Day</v>
      </c>
      <c r="Q267" t="str">
        <f t="shared" si="35"/>
        <v>Wednesday</v>
      </c>
      <c r="R267" t="str">
        <f t="shared" si="36"/>
        <v>Clear</v>
      </c>
      <c r="S267" t="str">
        <f t="shared" si="37"/>
        <v>Afternoon</v>
      </c>
      <c r="T267" t="str">
        <f t="shared" si="38"/>
        <v>Cold</v>
      </c>
    </row>
    <row r="268" spans="1:20">
      <c r="A268" s="1">
        <v>267</v>
      </c>
      <c r="B268" s="2">
        <v>40555</v>
      </c>
      <c r="C268" s="1">
        <v>1</v>
      </c>
      <c r="D268" s="1">
        <v>0</v>
      </c>
      <c r="E268" s="1">
        <v>1</v>
      </c>
      <c r="F268" s="1">
        <v>13</v>
      </c>
      <c r="G268" s="1" t="b">
        <v>0</v>
      </c>
      <c r="H268" s="1">
        <v>3</v>
      </c>
      <c r="I268" s="1">
        <v>1</v>
      </c>
      <c r="J268" s="1">
        <v>0.22</v>
      </c>
      <c r="M268" t="str">
        <f t="shared" si="33"/>
        <v>Unique</v>
      </c>
      <c r="N268" t="str">
        <f t="shared" si="34"/>
        <v>Spring</v>
      </c>
      <c r="O268" t="str">
        <f t="shared" si="32"/>
        <v>2011</v>
      </c>
      <c r="P268" t="str">
        <f t="shared" si="39"/>
        <v>Working Day</v>
      </c>
      <c r="Q268" t="str">
        <f t="shared" si="35"/>
        <v>Wednesday</v>
      </c>
      <c r="R268" t="str">
        <f t="shared" si="36"/>
        <v>Clear</v>
      </c>
      <c r="S268" t="str">
        <f t="shared" si="37"/>
        <v>Afternoon</v>
      </c>
      <c r="T268" t="str">
        <f t="shared" si="38"/>
        <v>Cold</v>
      </c>
    </row>
    <row r="269" spans="1:20">
      <c r="A269" s="1">
        <v>268</v>
      </c>
      <c r="B269" s="2">
        <v>40555</v>
      </c>
      <c r="C269" s="1">
        <v>1</v>
      </c>
      <c r="D269" s="1">
        <v>0</v>
      </c>
      <c r="E269" s="1">
        <v>1</v>
      </c>
      <c r="F269" s="1">
        <v>14</v>
      </c>
      <c r="G269" s="1" t="b">
        <v>0</v>
      </c>
      <c r="H269" s="1">
        <v>3</v>
      </c>
      <c r="I269" s="1">
        <v>1</v>
      </c>
      <c r="J269" s="1">
        <v>0.2</v>
      </c>
      <c r="M269" t="str">
        <f t="shared" si="33"/>
        <v>Unique</v>
      </c>
      <c r="N269" t="str">
        <f t="shared" si="34"/>
        <v>Spring</v>
      </c>
      <c r="O269" t="str">
        <f t="shared" si="32"/>
        <v>2011</v>
      </c>
      <c r="P269" t="str">
        <f t="shared" si="39"/>
        <v>Working Day</v>
      </c>
      <c r="Q269" t="str">
        <f t="shared" si="35"/>
        <v>Wednesday</v>
      </c>
      <c r="R269" t="str">
        <f t="shared" si="36"/>
        <v>Clear</v>
      </c>
      <c r="S269" t="str">
        <f t="shared" si="37"/>
        <v>Afternoon</v>
      </c>
      <c r="T269" t="str">
        <f t="shared" si="38"/>
        <v>Cold</v>
      </c>
    </row>
    <row r="270" spans="1:20">
      <c r="A270" s="1">
        <v>269</v>
      </c>
      <c r="B270" s="2">
        <v>40555</v>
      </c>
      <c r="C270" s="1">
        <v>1</v>
      </c>
      <c r="D270" s="1">
        <v>0</v>
      </c>
      <c r="E270" s="1">
        <v>1</v>
      </c>
      <c r="F270" s="1">
        <v>15</v>
      </c>
      <c r="G270" s="1" t="b">
        <v>0</v>
      </c>
      <c r="H270" s="1">
        <v>3</v>
      </c>
      <c r="I270" s="1">
        <v>1</v>
      </c>
      <c r="J270" s="1">
        <v>0.2</v>
      </c>
      <c r="M270" t="str">
        <f t="shared" si="33"/>
        <v>Unique</v>
      </c>
      <c r="N270" t="str">
        <f t="shared" si="34"/>
        <v>Spring</v>
      </c>
      <c r="O270" t="str">
        <f t="shared" si="32"/>
        <v>2011</v>
      </c>
      <c r="P270" t="str">
        <f t="shared" si="39"/>
        <v>Working Day</v>
      </c>
      <c r="Q270" t="str">
        <f t="shared" si="35"/>
        <v>Wednesday</v>
      </c>
      <c r="R270" t="str">
        <f t="shared" si="36"/>
        <v>Clear</v>
      </c>
      <c r="S270" t="str">
        <f t="shared" si="37"/>
        <v>Afternoon</v>
      </c>
      <c r="T270" t="str">
        <f t="shared" si="38"/>
        <v>Cold</v>
      </c>
    </row>
    <row r="271" spans="1:20">
      <c r="A271" s="1">
        <v>270</v>
      </c>
      <c r="B271" s="2">
        <v>40555</v>
      </c>
      <c r="C271" s="1">
        <v>1</v>
      </c>
      <c r="D271" s="1">
        <v>0</v>
      </c>
      <c r="E271" s="1">
        <v>1</v>
      </c>
      <c r="F271" s="1">
        <v>16</v>
      </c>
      <c r="G271" s="1" t="b">
        <v>0</v>
      </c>
      <c r="H271" s="1">
        <v>3</v>
      </c>
      <c r="I271" s="1">
        <v>1</v>
      </c>
      <c r="J271" s="1">
        <v>0.22</v>
      </c>
      <c r="M271" t="str">
        <f t="shared" si="33"/>
        <v>Unique</v>
      </c>
      <c r="N271" t="str">
        <f t="shared" si="34"/>
        <v>Spring</v>
      </c>
      <c r="O271" t="str">
        <f t="shared" si="32"/>
        <v>2011</v>
      </c>
      <c r="P271" t="str">
        <f t="shared" si="39"/>
        <v>Working Day</v>
      </c>
      <c r="Q271" t="str">
        <f t="shared" si="35"/>
        <v>Wednesday</v>
      </c>
      <c r="R271" t="str">
        <f t="shared" si="36"/>
        <v>Clear</v>
      </c>
      <c r="S271" t="str">
        <f t="shared" si="37"/>
        <v>Afternoon</v>
      </c>
      <c r="T271" t="str">
        <f t="shared" si="38"/>
        <v>Cold</v>
      </c>
    </row>
    <row r="272" spans="1:20">
      <c r="A272" s="1">
        <v>271</v>
      </c>
      <c r="B272" s="2">
        <v>40555</v>
      </c>
      <c r="C272" s="1">
        <v>1</v>
      </c>
      <c r="D272" s="1">
        <v>0</v>
      </c>
      <c r="E272" s="1">
        <v>1</v>
      </c>
      <c r="F272" s="1">
        <v>17</v>
      </c>
      <c r="G272" s="1" t="b">
        <v>0</v>
      </c>
      <c r="H272" s="1">
        <v>3</v>
      </c>
      <c r="I272" s="1">
        <v>1</v>
      </c>
      <c r="J272" s="1">
        <v>0.2</v>
      </c>
      <c r="M272" t="str">
        <f t="shared" si="33"/>
        <v>Unique</v>
      </c>
      <c r="N272" t="str">
        <f t="shared" si="34"/>
        <v>Spring</v>
      </c>
      <c r="O272" t="str">
        <f t="shared" si="32"/>
        <v>2011</v>
      </c>
      <c r="P272" t="str">
        <f t="shared" si="39"/>
        <v>Working Day</v>
      </c>
      <c r="Q272" t="str">
        <f t="shared" si="35"/>
        <v>Wednesday</v>
      </c>
      <c r="R272" t="str">
        <f t="shared" si="36"/>
        <v>Clear</v>
      </c>
      <c r="S272" t="str">
        <f t="shared" si="37"/>
        <v>Afternoon</v>
      </c>
      <c r="T272" t="str">
        <f t="shared" si="38"/>
        <v>Cold</v>
      </c>
    </row>
    <row r="273" spans="1:20">
      <c r="A273" s="1">
        <v>272</v>
      </c>
      <c r="B273" s="2">
        <v>40555</v>
      </c>
      <c r="C273" s="1">
        <v>1</v>
      </c>
      <c r="D273" s="1">
        <v>0</v>
      </c>
      <c r="E273" s="1">
        <v>1</v>
      </c>
      <c r="F273" s="1">
        <v>18</v>
      </c>
      <c r="G273" s="1" t="b">
        <v>0</v>
      </c>
      <c r="H273" s="1">
        <v>3</v>
      </c>
      <c r="I273" s="1">
        <v>1</v>
      </c>
      <c r="J273" s="1">
        <v>0.2</v>
      </c>
      <c r="M273" t="str">
        <f t="shared" si="33"/>
        <v>Unique</v>
      </c>
      <c r="N273" t="str">
        <f t="shared" si="34"/>
        <v>Spring</v>
      </c>
      <c r="O273" t="str">
        <f t="shared" si="32"/>
        <v>2011</v>
      </c>
      <c r="P273" t="str">
        <f t="shared" si="39"/>
        <v>Working Day</v>
      </c>
      <c r="Q273" t="str">
        <f t="shared" si="35"/>
        <v>Wednesday</v>
      </c>
      <c r="R273" t="str">
        <f t="shared" si="36"/>
        <v>Clear</v>
      </c>
      <c r="S273" t="str">
        <f t="shared" si="37"/>
        <v>Night</v>
      </c>
      <c r="T273" t="str">
        <f t="shared" si="38"/>
        <v>Cold</v>
      </c>
    </row>
    <row r="274" spans="1:20">
      <c r="A274" s="1">
        <v>273</v>
      </c>
      <c r="B274" s="2">
        <v>40555</v>
      </c>
      <c r="C274" s="1">
        <v>1</v>
      </c>
      <c r="D274" s="1">
        <v>0</v>
      </c>
      <c r="E274" s="1">
        <v>1</v>
      </c>
      <c r="F274" s="1">
        <v>19</v>
      </c>
      <c r="G274" s="1" t="b">
        <v>0</v>
      </c>
      <c r="H274" s="1">
        <v>3</v>
      </c>
      <c r="I274" s="1">
        <v>1</v>
      </c>
      <c r="J274" s="1">
        <v>0.18</v>
      </c>
      <c r="M274" t="str">
        <f t="shared" si="33"/>
        <v>Unique</v>
      </c>
      <c r="N274" t="str">
        <f t="shared" si="34"/>
        <v>Spring</v>
      </c>
      <c r="O274" t="str">
        <f t="shared" si="32"/>
        <v>2011</v>
      </c>
      <c r="P274" t="str">
        <f t="shared" si="39"/>
        <v>Working Day</v>
      </c>
      <c r="Q274" t="str">
        <f t="shared" si="35"/>
        <v>Wednesday</v>
      </c>
      <c r="R274" t="str">
        <f t="shared" si="36"/>
        <v>Clear</v>
      </c>
      <c r="S274" t="str">
        <f t="shared" si="37"/>
        <v>Night</v>
      </c>
      <c r="T274" t="str">
        <f t="shared" si="38"/>
        <v>Cold</v>
      </c>
    </row>
    <row r="275" spans="1:20">
      <c r="A275" s="1">
        <v>274</v>
      </c>
      <c r="B275" s="2">
        <v>40555</v>
      </c>
      <c r="C275" s="1">
        <v>1</v>
      </c>
      <c r="D275" s="1">
        <v>0</v>
      </c>
      <c r="E275" s="1">
        <v>1</v>
      </c>
      <c r="F275" s="1">
        <v>20</v>
      </c>
      <c r="G275" s="1" t="b">
        <v>0</v>
      </c>
      <c r="H275" s="1">
        <v>3</v>
      </c>
      <c r="I275" s="1">
        <v>1</v>
      </c>
      <c r="J275" s="1">
        <v>0.16</v>
      </c>
      <c r="M275" t="str">
        <f t="shared" si="33"/>
        <v>Unique</v>
      </c>
      <c r="N275" t="str">
        <f t="shared" si="34"/>
        <v>Spring</v>
      </c>
      <c r="O275" t="str">
        <f t="shared" si="32"/>
        <v>2011</v>
      </c>
      <c r="P275" t="str">
        <f t="shared" si="39"/>
        <v>Working Day</v>
      </c>
      <c r="Q275" t="str">
        <f t="shared" si="35"/>
        <v>Wednesday</v>
      </c>
      <c r="R275" t="str">
        <f t="shared" si="36"/>
        <v>Clear</v>
      </c>
      <c r="S275" t="str">
        <f t="shared" si="37"/>
        <v>Night</v>
      </c>
      <c r="T275" t="str">
        <f t="shared" si="38"/>
        <v>Cold</v>
      </c>
    </row>
    <row r="276" spans="1:20">
      <c r="A276" s="1">
        <v>275</v>
      </c>
      <c r="B276" s="2">
        <v>40555</v>
      </c>
      <c r="C276" s="1">
        <v>1</v>
      </c>
      <c r="D276" s="1">
        <v>0</v>
      </c>
      <c r="E276" s="1">
        <v>1</v>
      </c>
      <c r="F276" s="1">
        <v>21</v>
      </c>
      <c r="G276" s="1" t="b">
        <v>0</v>
      </c>
      <c r="H276" s="1">
        <v>3</v>
      </c>
      <c r="I276" s="1">
        <v>1</v>
      </c>
      <c r="J276" s="1">
        <v>0.16</v>
      </c>
      <c r="M276" t="str">
        <f t="shared" si="33"/>
        <v>Unique</v>
      </c>
      <c r="N276" t="str">
        <f t="shared" si="34"/>
        <v>Spring</v>
      </c>
      <c r="O276" t="str">
        <f t="shared" si="32"/>
        <v>2011</v>
      </c>
      <c r="P276" t="str">
        <f t="shared" si="39"/>
        <v>Working Day</v>
      </c>
      <c r="Q276" t="str">
        <f t="shared" si="35"/>
        <v>Wednesday</v>
      </c>
      <c r="R276" t="str">
        <f t="shared" si="36"/>
        <v>Clear</v>
      </c>
      <c r="S276" t="str">
        <f t="shared" si="37"/>
        <v>Night</v>
      </c>
      <c r="T276" t="str">
        <f t="shared" si="38"/>
        <v>Cold</v>
      </c>
    </row>
    <row r="277" spans="1:20">
      <c r="A277" s="1">
        <v>276</v>
      </c>
      <c r="B277" s="2">
        <v>40555</v>
      </c>
      <c r="C277" s="1">
        <v>1</v>
      </c>
      <c r="D277" s="1">
        <v>0</v>
      </c>
      <c r="E277" s="1">
        <v>1</v>
      </c>
      <c r="F277" s="1">
        <v>22</v>
      </c>
      <c r="G277" s="1" t="b">
        <v>0</v>
      </c>
      <c r="H277" s="1">
        <v>3</v>
      </c>
      <c r="I277" s="1">
        <v>1</v>
      </c>
      <c r="J277" s="1">
        <v>0.16</v>
      </c>
      <c r="M277" t="str">
        <f t="shared" si="33"/>
        <v>Unique</v>
      </c>
      <c r="N277" t="str">
        <f t="shared" si="34"/>
        <v>Spring</v>
      </c>
      <c r="O277" t="str">
        <f t="shared" si="32"/>
        <v>2011</v>
      </c>
      <c r="P277" t="str">
        <f t="shared" si="39"/>
        <v>Working Day</v>
      </c>
      <c r="Q277" t="str">
        <f t="shared" si="35"/>
        <v>Wednesday</v>
      </c>
      <c r="R277" t="str">
        <f t="shared" si="36"/>
        <v>Clear</v>
      </c>
      <c r="S277" t="str">
        <f t="shared" si="37"/>
        <v>Night</v>
      </c>
      <c r="T277" t="str">
        <f t="shared" si="38"/>
        <v>Cold</v>
      </c>
    </row>
    <row r="278" spans="1:20">
      <c r="A278" s="1">
        <v>277</v>
      </c>
      <c r="B278" s="2">
        <v>40555</v>
      </c>
      <c r="C278" s="1">
        <v>1</v>
      </c>
      <c r="D278" s="1">
        <v>0</v>
      </c>
      <c r="E278" s="1">
        <v>1</v>
      </c>
      <c r="F278" s="1">
        <v>23</v>
      </c>
      <c r="G278" s="1" t="b">
        <v>0</v>
      </c>
      <c r="H278" s="1">
        <v>3</v>
      </c>
      <c r="I278" s="1">
        <v>1</v>
      </c>
      <c r="J278" s="1">
        <v>0.14000000000000001</v>
      </c>
      <c r="M278" t="str">
        <f t="shared" si="33"/>
        <v>Unique</v>
      </c>
      <c r="N278" t="str">
        <f t="shared" si="34"/>
        <v>Spring</v>
      </c>
      <c r="O278" t="str">
        <f t="shared" si="32"/>
        <v>2011</v>
      </c>
      <c r="P278" t="str">
        <f t="shared" si="39"/>
        <v>Working Day</v>
      </c>
      <c r="Q278" t="str">
        <f t="shared" si="35"/>
        <v>Wednesday</v>
      </c>
      <c r="R278" t="str">
        <f t="shared" si="36"/>
        <v>Clear</v>
      </c>
      <c r="S278" t="str">
        <f t="shared" si="37"/>
        <v>Night</v>
      </c>
      <c r="T278" t="str">
        <f t="shared" si="38"/>
        <v>Cold</v>
      </c>
    </row>
    <row r="279" spans="1:20">
      <c r="A279" s="1">
        <v>278</v>
      </c>
      <c r="B279" s="2">
        <v>40556</v>
      </c>
      <c r="C279" s="1">
        <v>1</v>
      </c>
      <c r="D279" s="1">
        <v>0</v>
      </c>
      <c r="E279" s="1">
        <v>1</v>
      </c>
      <c r="F279" s="1">
        <v>0</v>
      </c>
      <c r="G279" s="1" t="b">
        <v>0</v>
      </c>
      <c r="H279" s="1">
        <v>4</v>
      </c>
      <c r="I279" s="1">
        <v>1</v>
      </c>
      <c r="J279" s="1">
        <v>0.14000000000000001</v>
      </c>
      <c r="M279" t="str">
        <f t="shared" si="33"/>
        <v>Unique</v>
      </c>
      <c r="N279" t="str">
        <f t="shared" si="34"/>
        <v>Spring</v>
      </c>
      <c r="O279" t="str">
        <f t="shared" si="32"/>
        <v>2011</v>
      </c>
      <c r="P279" t="str">
        <f t="shared" si="39"/>
        <v>Working Day</v>
      </c>
      <c r="Q279" t="str">
        <f t="shared" si="35"/>
        <v>Thursday</v>
      </c>
      <c r="R279" t="str">
        <f t="shared" si="36"/>
        <v>Clear</v>
      </c>
      <c r="S279" t="str">
        <f t="shared" si="37"/>
        <v>Morning</v>
      </c>
      <c r="T279" t="str">
        <f t="shared" si="38"/>
        <v>Cold</v>
      </c>
    </row>
    <row r="280" spans="1:20">
      <c r="A280" s="1">
        <v>279</v>
      </c>
      <c r="B280" s="2">
        <v>40556</v>
      </c>
      <c r="C280" s="1">
        <v>1</v>
      </c>
      <c r="D280" s="1">
        <v>0</v>
      </c>
      <c r="E280" s="1">
        <v>1</v>
      </c>
      <c r="F280" s="1">
        <v>1</v>
      </c>
      <c r="G280" s="1" t="b">
        <v>0</v>
      </c>
      <c r="H280" s="1">
        <v>4</v>
      </c>
      <c r="I280" s="1">
        <v>1</v>
      </c>
      <c r="J280" s="1">
        <v>0.14000000000000001</v>
      </c>
      <c r="M280" t="str">
        <f t="shared" si="33"/>
        <v>Unique</v>
      </c>
      <c r="N280" t="str">
        <f t="shared" si="34"/>
        <v>Spring</v>
      </c>
      <c r="O280" t="str">
        <f t="shared" si="32"/>
        <v>2011</v>
      </c>
      <c r="P280" t="str">
        <f t="shared" si="39"/>
        <v>Working Day</v>
      </c>
      <c r="Q280" t="str">
        <f t="shared" si="35"/>
        <v>Thursday</v>
      </c>
      <c r="R280" t="str">
        <f t="shared" si="36"/>
        <v>Clear</v>
      </c>
      <c r="S280" t="str">
        <f t="shared" si="37"/>
        <v>Morning</v>
      </c>
      <c r="T280" t="str">
        <f t="shared" si="38"/>
        <v>Cold</v>
      </c>
    </row>
    <row r="281" spans="1:20">
      <c r="A281" s="1">
        <v>280</v>
      </c>
      <c r="B281" s="2">
        <v>40556</v>
      </c>
      <c r="C281" s="1">
        <v>1</v>
      </c>
      <c r="D281" s="1">
        <v>0</v>
      </c>
      <c r="E281" s="1">
        <v>1</v>
      </c>
      <c r="F281" s="1">
        <v>2</v>
      </c>
      <c r="G281" s="1" t="b">
        <v>0</v>
      </c>
      <c r="H281" s="1">
        <v>4</v>
      </c>
      <c r="I281" s="1">
        <v>1</v>
      </c>
      <c r="J281" s="1">
        <v>0.14000000000000001</v>
      </c>
      <c r="M281" t="str">
        <f t="shared" si="33"/>
        <v>Unique</v>
      </c>
      <c r="N281" t="str">
        <f t="shared" si="34"/>
        <v>Spring</v>
      </c>
      <c r="O281" t="str">
        <f t="shared" si="32"/>
        <v>2011</v>
      </c>
      <c r="P281" t="str">
        <f t="shared" si="39"/>
        <v>Working Day</v>
      </c>
      <c r="Q281" t="str">
        <f t="shared" si="35"/>
        <v>Thursday</v>
      </c>
      <c r="R281" t="str">
        <f t="shared" si="36"/>
        <v>Clear</v>
      </c>
      <c r="S281" t="str">
        <f t="shared" si="37"/>
        <v>Morning</v>
      </c>
      <c r="T281" t="str">
        <f t="shared" si="38"/>
        <v>Cold</v>
      </c>
    </row>
    <row r="282" spans="1:20">
      <c r="A282" s="1">
        <v>281</v>
      </c>
      <c r="B282" s="2">
        <v>40556</v>
      </c>
      <c r="C282" s="1">
        <v>1</v>
      </c>
      <c r="D282" s="1">
        <v>0</v>
      </c>
      <c r="E282" s="1">
        <v>1</v>
      </c>
      <c r="F282" s="1">
        <v>3</v>
      </c>
      <c r="G282" s="1" t="b">
        <v>0</v>
      </c>
      <c r="H282" s="1">
        <v>4</v>
      </c>
      <c r="I282" s="1">
        <v>1</v>
      </c>
      <c r="J282" s="1">
        <v>0.14000000000000001</v>
      </c>
      <c r="M282" t="str">
        <f t="shared" si="33"/>
        <v>Unique</v>
      </c>
      <c r="N282" t="str">
        <f t="shared" si="34"/>
        <v>Spring</v>
      </c>
      <c r="O282" t="str">
        <f t="shared" si="32"/>
        <v>2011</v>
      </c>
      <c r="P282" t="str">
        <f t="shared" si="39"/>
        <v>Working Day</v>
      </c>
      <c r="Q282" t="str">
        <f t="shared" si="35"/>
        <v>Thursday</v>
      </c>
      <c r="R282" t="str">
        <f t="shared" si="36"/>
        <v>Clear</v>
      </c>
      <c r="S282" t="str">
        <f t="shared" si="37"/>
        <v>Morning</v>
      </c>
      <c r="T282" t="str">
        <f t="shared" si="38"/>
        <v>Cold</v>
      </c>
    </row>
    <row r="283" spans="1:20">
      <c r="A283" s="1">
        <v>282</v>
      </c>
      <c r="B283" s="2">
        <v>40556</v>
      </c>
      <c r="C283" s="1">
        <v>1</v>
      </c>
      <c r="D283" s="1">
        <v>0</v>
      </c>
      <c r="E283" s="1">
        <v>1</v>
      </c>
      <c r="F283" s="1">
        <v>4</v>
      </c>
      <c r="G283" s="1" t="b">
        <v>0</v>
      </c>
      <c r="H283" s="1">
        <v>4</v>
      </c>
      <c r="I283" s="1">
        <v>1</v>
      </c>
      <c r="J283" s="1">
        <v>0.14000000000000001</v>
      </c>
      <c r="M283" t="str">
        <f t="shared" si="33"/>
        <v>Unique</v>
      </c>
      <c r="N283" t="str">
        <f t="shared" si="34"/>
        <v>Spring</v>
      </c>
      <c r="O283" t="str">
        <f t="shared" si="32"/>
        <v>2011</v>
      </c>
      <c r="P283" t="str">
        <f t="shared" si="39"/>
        <v>Working Day</v>
      </c>
      <c r="Q283" t="str">
        <f t="shared" si="35"/>
        <v>Thursday</v>
      </c>
      <c r="R283" t="str">
        <f t="shared" si="36"/>
        <v>Clear</v>
      </c>
      <c r="S283" t="str">
        <f t="shared" si="37"/>
        <v>Morning</v>
      </c>
      <c r="T283" t="str">
        <f t="shared" si="38"/>
        <v>Cold</v>
      </c>
    </row>
    <row r="284" spans="1:20">
      <c r="A284" s="1">
        <v>283</v>
      </c>
      <c r="B284" s="2">
        <v>40556</v>
      </c>
      <c r="C284" s="1">
        <v>1</v>
      </c>
      <c r="D284" s="1">
        <v>0</v>
      </c>
      <c r="E284" s="1">
        <v>1</v>
      </c>
      <c r="F284" s="1">
        <v>5</v>
      </c>
      <c r="G284" s="1" t="b">
        <v>0</v>
      </c>
      <c r="H284" s="1">
        <v>4</v>
      </c>
      <c r="I284" s="1">
        <v>1</v>
      </c>
      <c r="J284" s="1">
        <v>0.14000000000000001</v>
      </c>
      <c r="M284" t="str">
        <f t="shared" si="33"/>
        <v>Unique</v>
      </c>
      <c r="N284" t="str">
        <f t="shared" si="34"/>
        <v>Spring</v>
      </c>
      <c r="O284" t="str">
        <f t="shared" si="32"/>
        <v>2011</v>
      </c>
      <c r="P284" t="str">
        <f t="shared" si="39"/>
        <v>Working Day</v>
      </c>
      <c r="Q284" t="str">
        <f t="shared" si="35"/>
        <v>Thursday</v>
      </c>
      <c r="R284" t="str">
        <f t="shared" si="36"/>
        <v>Clear</v>
      </c>
      <c r="S284" t="str">
        <f t="shared" si="37"/>
        <v>Morning</v>
      </c>
      <c r="T284" t="str">
        <f t="shared" si="38"/>
        <v>Cold</v>
      </c>
    </row>
    <row r="285" spans="1:20">
      <c r="A285" s="1">
        <v>284</v>
      </c>
      <c r="B285" s="2">
        <v>40556</v>
      </c>
      <c r="C285" s="1">
        <v>1</v>
      </c>
      <c r="D285" s="1">
        <v>0</v>
      </c>
      <c r="E285" s="1">
        <v>1</v>
      </c>
      <c r="F285" s="1">
        <v>6</v>
      </c>
      <c r="G285" s="1" t="b">
        <v>0</v>
      </c>
      <c r="H285" s="1">
        <v>4</v>
      </c>
      <c r="I285" s="1">
        <v>1</v>
      </c>
      <c r="J285" s="1">
        <v>0.12</v>
      </c>
      <c r="M285" t="str">
        <f t="shared" si="33"/>
        <v>Unique</v>
      </c>
      <c r="N285" t="str">
        <f t="shared" si="34"/>
        <v>Spring</v>
      </c>
      <c r="O285" t="str">
        <f t="shared" si="32"/>
        <v>2011</v>
      </c>
      <c r="P285" t="str">
        <f t="shared" si="39"/>
        <v>Working Day</v>
      </c>
      <c r="Q285" t="str">
        <f t="shared" si="35"/>
        <v>Thursday</v>
      </c>
      <c r="R285" t="str">
        <f t="shared" si="36"/>
        <v>Clear</v>
      </c>
      <c r="S285" t="str">
        <f t="shared" si="37"/>
        <v>Morning</v>
      </c>
      <c r="T285" t="str">
        <f t="shared" si="38"/>
        <v>Cold</v>
      </c>
    </row>
    <row r="286" spans="1:20">
      <c r="A286" s="1">
        <v>285</v>
      </c>
      <c r="B286" s="2">
        <v>40556</v>
      </c>
      <c r="C286" s="1">
        <v>1</v>
      </c>
      <c r="D286" s="1">
        <v>0</v>
      </c>
      <c r="E286" s="1">
        <v>1</v>
      </c>
      <c r="F286" s="1">
        <v>7</v>
      </c>
      <c r="G286" s="1" t="b">
        <v>0</v>
      </c>
      <c r="H286" s="1">
        <v>4</v>
      </c>
      <c r="I286" s="1">
        <v>1</v>
      </c>
      <c r="J286" s="1">
        <v>0.12</v>
      </c>
      <c r="M286" t="str">
        <f t="shared" si="33"/>
        <v>Unique</v>
      </c>
      <c r="N286" t="str">
        <f t="shared" si="34"/>
        <v>Spring</v>
      </c>
      <c r="O286" t="str">
        <f t="shared" si="32"/>
        <v>2011</v>
      </c>
      <c r="P286" t="str">
        <f t="shared" si="39"/>
        <v>Working Day</v>
      </c>
      <c r="Q286" t="str">
        <f t="shared" si="35"/>
        <v>Thursday</v>
      </c>
      <c r="R286" t="str">
        <f t="shared" si="36"/>
        <v>Clear</v>
      </c>
      <c r="S286" t="str">
        <f t="shared" si="37"/>
        <v>Morning</v>
      </c>
      <c r="T286" t="str">
        <f t="shared" si="38"/>
        <v>Cold</v>
      </c>
    </row>
    <row r="287" spans="1:20">
      <c r="A287" s="1">
        <v>286</v>
      </c>
      <c r="B287" s="2">
        <v>40556</v>
      </c>
      <c r="C287" s="1">
        <v>1</v>
      </c>
      <c r="D287" s="1">
        <v>0</v>
      </c>
      <c r="E287" s="1">
        <v>1</v>
      </c>
      <c r="F287" s="1">
        <v>8</v>
      </c>
      <c r="G287" s="1" t="b">
        <v>0</v>
      </c>
      <c r="H287" s="1">
        <v>4</v>
      </c>
      <c r="I287" s="1">
        <v>1</v>
      </c>
      <c r="J287" s="1">
        <v>0.14000000000000001</v>
      </c>
      <c r="M287" t="str">
        <f t="shared" si="33"/>
        <v>Unique</v>
      </c>
      <c r="N287" t="str">
        <f t="shared" si="34"/>
        <v>Spring</v>
      </c>
      <c r="O287" t="str">
        <f t="shared" si="32"/>
        <v>2011</v>
      </c>
      <c r="P287" t="str">
        <f t="shared" si="39"/>
        <v>Working Day</v>
      </c>
      <c r="Q287" t="str">
        <f t="shared" si="35"/>
        <v>Thursday</v>
      </c>
      <c r="R287" t="str">
        <f t="shared" si="36"/>
        <v>Clear</v>
      </c>
      <c r="S287" t="str">
        <f t="shared" si="37"/>
        <v>Morning</v>
      </c>
      <c r="T287" t="str">
        <f t="shared" si="38"/>
        <v>Cold</v>
      </c>
    </row>
    <row r="288" spans="1:20">
      <c r="A288" s="1">
        <v>287</v>
      </c>
      <c r="B288" s="2">
        <v>40556</v>
      </c>
      <c r="C288" s="1">
        <v>1</v>
      </c>
      <c r="D288" s="1">
        <v>0</v>
      </c>
      <c r="E288" s="1">
        <v>1</v>
      </c>
      <c r="F288" s="1">
        <v>9</v>
      </c>
      <c r="G288" s="1" t="b">
        <v>0</v>
      </c>
      <c r="H288" s="1">
        <v>4</v>
      </c>
      <c r="I288" s="1">
        <v>1</v>
      </c>
      <c r="J288" s="1">
        <v>0.14000000000000001</v>
      </c>
      <c r="M288" t="str">
        <f t="shared" si="33"/>
        <v>Unique</v>
      </c>
      <c r="N288" t="str">
        <f t="shared" si="34"/>
        <v>Spring</v>
      </c>
      <c r="O288" t="str">
        <f t="shared" si="32"/>
        <v>2011</v>
      </c>
      <c r="P288" t="str">
        <f t="shared" si="39"/>
        <v>Working Day</v>
      </c>
      <c r="Q288" t="str">
        <f t="shared" si="35"/>
        <v>Thursday</v>
      </c>
      <c r="R288" t="str">
        <f t="shared" si="36"/>
        <v>Clear</v>
      </c>
      <c r="S288" t="str">
        <f t="shared" si="37"/>
        <v>Morning</v>
      </c>
      <c r="T288" t="str">
        <f t="shared" si="38"/>
        <v>Cold</v>
      </c>
    </row>
    <row r="289" spans="1:20">
      <c r="A289" s="1">
        <v>288</v>
      </c>
      <c r="B289" s="2">
        <v>40556</v>
      </c>
      <c r="C289" s="1">
        <v>1</v>
      </c>
      <c r="D289" s="1">
        <v>0</v>
      </c>
      <c r="E289" s="1">
        <v>1</v>
      </c>
      <c r="F289" s="1">
        <v>10</v>
      </c>
      <c r="G289" s="1" t="b">
        <v>0</v>
      </c>
      <c r="H289" s="1">
        <v>4</v>
      </c>
      <c r="I289" s="1">
        <v>2</v>
      </c>
      <c r="J289" s="1">
        <v>0.16</v>
      </c>
      <c r="M289" t="str">
        <f t="shared" si="33"/>
        <v>Unique</v>
      </c>
      <c r="N289" t="str">
        <f t="shared" si="34"/>
        <v>Spring</v>
      </c>
      <c r="O289" t="str">
        <f t="shared" si="32"/>
        <v>2011</v>
      </c>
      <c r="P289" t="str">
        <f t="shared" si="39"/>
        <v>Working Day</v>
      </c>
      <c r="Q289" t="str">
        <f t="shared" si="35"/>
        <v>Thursday</v>
      </c>
      <c r="R289" t="str">
        <f t="shared" si="36"/>
        <v>Cloudy</v>
      </c>
      <c r="S289" t="str">
        <f t="shared" si="37"/>
        <v>Morning</v>
      </c>
      <c r="T289" t="str">
        <f t="shared" si="38"/>
        <v>Cold</v>
      </c>
    </row>
    <row r="290" spans="1:20">
      <c r="A290" s="1">
        <v>289</v>
      </c>
      <c r="B290" s="2">
        <v>40556</v>
      </c>
      <c r="C290" s="1">
        <v>1</v>
      </c>
      <c r="D290" s="1">
        <v>0</v>
      </c>
      <c r="E290" s="1">
        <v>1</v>
      </c>
      <c r="F290" s="1">
        <v>11</v>
      </c>
      <c r="G290" s="1" t="b">
        <v>0</v>
      </c>
      <c r="H290" s="1">
        <v>4</v>
      </c>
      <c r="I290" s="1">
        <v>2</v>
      </c>
      <c r="J290" s="1">
        <v>0.2</v>
      </c>
      <c r="M290" t="str">
        <f t="shared" si="33"/>
        <v>Unique</v>
      </c>
      <c r="N290" t="str">
        <f t="shared" si="34"/>
        <v>Spring</v>
      </c>
      <c r="O290" t="str">
        <f t="shared" si="32"/>
        <v>2011</v>
      </c>
      <c r="P290" t="str">
        <f t="shared" si="39"/>
        <v>Working Day</v>
      </c>
      <c r="Q290" t="str">
        <f t="shared" si="35"/>
        <v>Thursday</v>
      </c>
      <c r="R290" t="str">
        <f t="shared" si="36"/>
        <v>Cloudy</v>
      </c>
      <c r="S290" t="str">
        <f t="shared" si="37"/>
        <v>Morning</v>
      </c>
      <c r="T290" t="str">
        <f t="shared" si="38"/>
        <v>Cold</v>
      </c>
    </row>
    <row r="291" spans="1:20">
      <c r="A291" s="1">
        <v>290</v>
      </c>
      <c r="B291" s="2">
        <v>40556</v>
      </c>
      <c r="C291" s="1">
        <v>1</v>
      </c>
      <c r="D291" s="1">
        <v>0</v>
      </c>
      <c r="E291" s="1">
        <v>1</v>
      </c>
      <c r="F291" s="1">
        <v>12</v>
      </c>
      <c r="G291" s="1" t="b">
        <v>0</v>
      </c>
      <c r="H291" s="1">
        <v>4</v>
      </c>
      <c r="I291" s="1">
        <v>1</v>
      </c>
      <c r="J291" s="1">
        <v>0.2</v>
      </c>
      <c r="M291" t="str">
        <f t="shared" si="33"/>
        <v>Unique</v>
      </c>
      <c r="N291" t="str">
        <f t="shared" si="34"/>
        <v>Spring</v>
      </c>
      <c r="O291" t="str">
        <f t="shared" si="32"/>
        <v>2011</v>
      </c>
      <c r="P291" t="str">
        <f t="shared" si="39"/>
        <v>Working Day</v>
      </c>
      <c r="Q291" t="str">
        <f t="shared" si="35"/>
        <v>Thursday</v>
      </c>
      <c r="R291" t="str">
        <f t="shared" si="36"/>
        <v>Clear</v>
      </c>
      <c r="S291" t="str">
        <f t="shared" si="37"/>
        <v>Afternoon</v>
      </c>
      <c r="T291" t="str">
        <f t="shared" si="38"/>
        <v>Cold</v>
      </c>
    </row>
    <row r="292" spans="1:20">
      <c r="A292" s="1">
        <v>291</v>
      </c>
      <c r="B292" s="2">
        <v>40556</v>
      </c>
      <c r="C292" s="1">
        <v>1</v>
      </c>
      <c r="D292" s="1">
        <v>0</v>
      </c>
      <c r="E292" s="1">
        <v>1</v>
      </c>
      <c r="F292" s="1">
        <v>13</v>
      </c>
      <c r="G292" s="1" t="b">
        <v>0</v>
      </c>
      <c r="H292" s="1">
        <v>4</v>
      </c>
      <c r="I292" s="1">
        <v>1</v>
      </c>
      <c r="J292" s="1">
        <v>0.22</v>
      </c>
      <c r="M292" t="str">
        <f t="shared" si="33"/>
        <v>Unique</v>
      </c>
      <c r="N292" t="str">
        <f t="shared" si="34"/>
        <v>Spring</v>
      </c>
      <c r="O292" t="str">
        <f t="shared" si="32"/>
        <v>2011</v>
      </c>
      <c r="P292" t="str">
        <f t="shared" si="39"/>
        <v>Working Day</v>
      </c>
      <c r="Q292" t="str">
        <f t="shared" si="35"/>
        <v>Thursday</v>
      </c>
      <c r="R292" t="str">
        <f t="shared" si="36"/>
        <v>Clear</v>
      </c>
      <c r="S292" t="str">
        <f t="shared" si="37"/>
        <v>Afternoon</v>
      </c>
      <c r="T292" t="str">
        <f t="shared" si="38"/>
        <v>Cold</v>
      </c>
    </row>
    <row r="293" spans="1:20">
      <c r="A293" s="1">
        <v>292</v>
      </c>
      <c r="B293" s="2">
        <v>40556</v>
      </c>
      <c r="C293" s="1">
        <v>1</v>
      </c>
      <c r="D293" s="1">
        <v>0</v>
      </c>
      <c r="E293" s="1">
        <v>1</v>
      </c>
      <c r="F293" s="1">
        <v>14</v>
      </c>
      <c r="G293" s="1" t="b">
        <v>0</v>
      </c>
      <c r="H293" s="1">
        <v>4</v>
      </c>
      <c r="I293" s="1">
        <v>1</v>
      </c>
      <c r="J293" s="1">
        <v>0.22</v>
      </c>
      <c r="M293" t="str">
        <f t="shared" si="33"/>
        <v>Unique</v>
      </c>
      <c r="N293" t="str">
        <f t="shared" si="34"/>
        <v>Spring</v>
      </c>
      <c r="O293" t="str">
        <f t="shared" si="32"/>
        <v>2011</v>
      </c>
      <c r="P293" t="str">
        <f t="shared" si="39"/>
        <v>Working Day</v>
      </c>
      <c r="Q293" t="str">
        <f t="shared" si="35"/>
        <v>Thursday</v>
      </c>
      <c r="R293" t="str">
        <f t="shared" si="36"/>
        <v>Clear</v>
      </c>
      <c r="S293" t="str">
        <f t="shared" si="37"/>
        <v>Afternoon</v>
      </c>
      <c r="T293" t="str">
        <f t="shared" si="38"/>
        <v>Cold</v>
      </c>
    </row>
    <row r="294" spans="1:20">
      <c r="A294" s="1">
        <v>293</v>
      </c>
      <c r="B294" s="2">
        <v>40556</v>
      </c>
      <c r="C294" s="1">
        <v>1</v>
      </c>
      <c r="D294" s="1">
        <v>0</v>
      </c>
      <c r="E294" s="1">
        <v>1</v>
      </c>
      <c r="F294" s="1">
        <v>15</v>
      </c>
      <c r="G294" s="1" t="b">
        <v>0</v>
      </c>
      <c r="H294" s="1">
        <v>4</v>
      </c>
      <c r="I294" s="1">
        <v>1</v>
      </c>
      <c r="J294" s="1">
        <v>0.24</v>
      </c>
      <c r="M294" t="str">
        <f t="shared" si="33"/>
        <v>Unique</v>
      </c>
      <c r="N294" t="str">
        <f t="shared" si="34"/>
        <v>Spring</v>
      </c>
      <c r="O294" t="str">
        <f t="shared" si="32"/>
        <v>2011</v>
      </c>
      <c r="P294" t="str">
        <f t="shared" si="39"/>
        <v>Working Day</v>
      </c>
      <c r="Q294" t="str">
        <f t="shared" si="35"/>
        <v>Thursday</v>
      </c>
      <c r="R294" t="str">
        <f t="shared" si="36"/>
        <v>Clear</v>
      </c>
      <c r="S294" t="str">
        <f t="shared" si="37"/>
        <v>Afternoon</v>
      </c>
      <c r="T294" t="str">
        <f t="shared" si="38"/>
        <v>Cold</v>
      </c>
    </row>
    <row r="295" spans="1:20">
      <c r="A295" s="1">
        <v>294</v>
      </c>
      <c r="B295" s="2">
        <v>40556</v>
      </c>
      <c r="C295" s="1">
        <v>1</v>
      </c>
      <c r="D295" s="1">
        <v>0</v>
      </c>
      <c r="E295" s="1">
        <v>1</v>
      </c>
      <c r="F295" s="1">
        <v>16</v>
      </c>
      <c r="G295" s="1" t="b">
        <v>0</v>
      </c>
      <c r="H295" s="1">
        <v>4</v>
      </c>
      <c r="I295" s="1">
        <v>1</v>
      </c>
      <c r="J295" s="1">
        <v>0.24</v>
      </c>
      <c r="M295" t="str">
        <f t="shared" si="33"/>
        <v>Unique</v>
      </c>
      <c r="N295" t="str">
        <f t="shared" si="34"/>
        <v>Spring</v>
      </c>
      <c r="O295" t="str">
        <f t="shared" si="32"/>
        <v>2011</v>
      </c>
      <c r="P295" t="str">
        <f t="shared" si="39"/>
        <v>Working Day</v>
      </c>
      <c r="Q295" t="str">
        <f t="shared" si="35"/>
        <v>Thursday</v>
      </c>
      <c r="R295" t="str">
        <f t="shared" si="36"/>
        <v>Clear</v>
      </c>
      <c r="S295" t="str">
        <f t="shared" si="37"/>
        <v>Afternoon</v>
      </c>
      <c r="T295" t="str">
        <f t="shared" si="38"/>
        <v>Cold</v>
      </c>
    </row>
    <row r="296" spans="1:20">
      <c r="A296" s="1">
        <v>295</v>
      </c>
      <c r="B296" s="2">
        <v>40556</v>
      </c>
      <c r="C296" s="1">
        <v>1</v>
      </c>
      <c r="D296" s="1">
        <v>0</v>
      </c>
      <c r="E296" s="1">
        <v>1</v>
      </c>
      <c r="F296" s="1">
        <v>17</v>
      </c>
      <c r="G296" s="1" t="b">
        <v>0</v>
      </c>
      <c r="H296" s="1">
        <v>4</v>
      </c>
      <c r="I296" s="1">
        <v>1</v>
      </c>
      <c r="J296" s="1">
        <v>0.2</v>
      </c>
      <c r="M296" t="str">
        <f t="shared" si="33"/>
        <v>Unique</v>
      </c>
      <c r="N296" t="str">
        <f t="shared" si="34"/>
        <v>Spring</v>
      </c>
      <c r="O296" t="str">
        <f t="shared" si="32"/>
        <v>2011</v>
      </c>
      <c r="P296" t="str">
        <f t="shared" si="39"/>
        <v>Working Day</v>
      </c>
      <c r="Q296" t="str">
        <f t="shared" si="35"/>
        <v>Thursday</v>
      </c>
      <c r="R296" t="str">
        <f t="shared" si="36"/>
        <v>Clear</v>
      </c>
      <c r="S296" t="str">
        <f t="shared" si="37"/>
        <v>Afternoon</v>
      </c>
      <c r="T296" t="str">
        <f t="shared" si="38"/>
        <v>Cold</v>
      </c>
    </row>
    <row r="297" spans="1:20">
      <c r="A297" s="1">
        <v>296</v>
      </c>
      <c r="B297" s="2">
        <v>40556</v>
      </c>
      <c r="C297" s="1">
        <v>1</v>
      </c>
      <c r="D297" s="1">
        <v>0</v>
      </c>
      <c r="E297" s="1">
        <v>1</v>
      </c>
      <c r="F297" s="1">
        <v>18</v>
      </c>
      <c r="G297" s="1" t="b">
        <v>0</v>
      </c>
      <c r="H297" s="1">
        <v>4</v>
      </c>
      <c r="I297" s="1">
        <v>1</v>
      </c>
      <c r="J297" s="1">
        <v>0.2</v>
      </c>
      <c r="M297" t="str">
        <f t="shared" si="33"/>
        <v>Unique</v>
      </c>
      <c r="N297" t="str">
        <f t="shared" si="34"/>
        <v>Spring</v>
      </c>
      <c r="O297" t="str">
        <f t="shared" si="32"/>
        <v>2011</v>
      </c>
      <c r="P297" t="str">
        <f t="shared" si="39"/>
        <v>Working Day</v>
      </c>
      <c r="Q297" t="str">
        <f t="shared" si="35"/>
        <v>Thursday</v>
      </c>
      <c r="R297" t="str">
        <f t="shared" si="36"/>
        <v>Clear</v>
      </c>
      <c r="S297" t="str">
        <f t="shared" si="37"/>
        <v>Night</v>
      </c>
      <c r="T297" t="str">
        <f t="shared" si="38"/>
        <v>Cold</v>
      </c>
    </row>
    <row r="298" spans="1:20">
      <c r="A298" s="1">
        <v>297</v>
      </c>
      <c r="B298" s="2">
        <v>40556</v>
      </c>
      <c r="C298" s="1">
        <v>1</v>
      </c>
      <c r="D298" s="1">
        <v>0</v>
      </c>
      <c r="E298" s="1">
        <v>1</v>
      </c>
      <c r="F298" s="1">
        <v>19</v>
      </c>
      <c r="G298" s="1" t="b">
        <v>0</v>
      </c>
      <c r="H298" s="1">
        <v>4</v>
      </c>
      <c r="I298" s="1">
        <v>1</v>
      </c>
      <c r="J298" s="1">
        <v>0.16</v>
      </c>
      <c r="M298" t="str">
        <f t="shared" si="33"/>
        <v>Unique</v>
      </c>
      <c r="N298" t="str">
        <f t="shared" si="34"/>
        <v>Spring</v>
      </c>
      <c r="O298" t="str">
        <f t="shared" si="32"/>
        <v>2011</v>
      </c>
      <c r="P298" t="str">
        <f t="shared" si="39"/>
        <v>Working Day</v>
      </c>
      <c r="Q298" t="str">
        <f t="shared" si="35"/>
        <v>Thursday</v>
      </c>
      <c r="R298" t="str">
        <f t="shared" si="36"/>
        <v>Clear</v>
      </c>
      <c r="S298" t="str">
        <f t="shared" si="37"/>
        <v>Night</v>
      </c>
      <c r="T298" t="str">
        <f t="shared" si="38"/>
        <v>Cold</v>
      </c>
    </row>
    <row r="299" spans="1:20">
      <c r="A299" s="1">
        <v>298</v>
      </c>
      <c r="B299" s="2">
        <v>40556</v>
      </c>
      <c r="C299" s="1">
        <v>1</v>
      </c>
      <c r="D299" s="1">
        <v>0</v>
      </c>
      <c r="E299" s="1">
        <v>1</v>
      </c>
      <c r="F299" s="1">
        <v>20</v>
      </c>
      <c r="G299" s="1" t="b">
        <v>0</v>
      </c>
      <c r="H299" s="1">
        <v>4</v>
      </c>
      <c r="I299" s="1">
        <v>1</v>
      </c>
      <c r="J299" s="1">
        <v>0.16</v>
      </c>
      <c r="M299" t="str">
        <f t="shared" si="33"/>
        <v>Unique</v>
      </c>
      <c r="N299" t="str">
        <f t="shared" si="34"/>
        <v>Spring</v>
      </c>
      <c r="O299" t="str">
        <f t="shared" si="32"/>
        <v>2011</v>
      </c>
      <c r="P299" t="str">
        <f t="shared" si="39"/>
        <v>Working Day</v>
      </c>
      <c r="Q299" t="str">
        <f t="shared" si="35"/>
        <v>Thursday</v>
      </c>
      <c r="R299" t="str">
        <f t="shared" si="36"/>
        <v>Clear</v>
      </c>
      <c r="S299" t="str">
        <f t="shared" si="37"/>
        <v>Night</v>
      </c>
      <c r="T299" t="str">
        <f t="shared" si="38"/>
        <v>Cold</v>
      </c>
    </row>
    <row r="300" spans="1:20">
      <c r="A300" s="1">
        <v>299</v>
      </c>
      <c r="B300" s="2">
        <v>40556</v>
      </c>
      <c r="C300" s="1">
        <v>1</v>
      </c>
      <c r="D300" s="1">
        <v>0</v>
      </c>
      <c r="E300" s="1">
        <v>1</v>
      </c>
      <c r="F300" s="1">
        <v>21</v>
      </c>
      <c r="G300" s="1" t="b">
        <v>0</v>
      </c>
      <c r="H300" s="1">
        <v>4</v>
      </c>
      <c r="I300" s="1">
        <v>1</v>
      </c>
      <c r="J300" s="1">
        <v>0.14000000000000001</v>
      </c>
      <c r="M300" t="str">
        <f t="shared" si="33"/>
        <v>Unique</v>
      </c>
      <c r="N300" t="str">
        <f t="shared" si="34"/>
        <v>Spring</v>
      </c>
      <c r="O300" t="str">
        <f t="shared" si="32"/>
        <v>2011</v>
      </c>
      <c r="P300" t="str">
        <f t="shared" si="39"/>
        <v>Working Day</v>
      </c>
      <c r="Q300" t="str">
        <f t="shared" si="35"/>
        <v>Thursday</v>
      </c>
      <c r="R300" t="str">
        <f t="shared" si="36"/>
        <v>Clear</v>
      </c>
      <c r="S300" t="str">
        <f t="shared" si="37"/>
        <v>Night</v>
      </c>
      <c r="T300" t="str">
        <f t="shared" si="38"/>
        <v>Cold</v>
      </c>
    </row>
    <row r="301" spans="1:20">
      <c r="A301" s="1">
        <v>300</v>
      </c>
      <c r="B301" s="2">
        <v>40556</v>
      </c>
      <c r="C301" s="1">
        <v>1</v>
      </c>
      <c r="D301" s="1">
        <v>0</v>
      </c>
      <c r="E301" s="1">
        <v>1</v>
      </c>
      <c r="F301" s="1">
        <v>22</v>
      </c>
      <c r="G301" s="1" t="b">
        <v>0</v>
      </c>
      <c r="H301" s="1">
        <v>4</v>
      </c>
      <c r="I301" s="1">
        <v>1</v>
      </c>
      <c r="J301" s="1">
        <v>0.14000000000000001</v>
      </c>
      <c r="M301" t="str">
        <f t="shared" si="33"/>
        <v>Unique</v>
      </c>
      <c r="N301" t="str">
        <f t="shared" si="34"/>
        <v>Spring</v>
      </c>
      <c r="O301" t="str">
        <f t="shared" si="32"/>
        <v>2011</v>
      </c>
      <c r="P301" t="str">
        <f t="shared" si="39"/>
        <v>Working Day</v>
      </c>
      <c r="Q301" t="str">
        <f t="shared" si="35"/>
        <v>Thursday</v>
      </c>
      <c r="R301" t="str">
        <f t="shared" si="36"/>
        <v>Clear</v>
      </c>
      <c r="S301" t="str">
        <f t="shared" si="37"/>
        <v>Night</v>
      </c>
      <c r="T301" t="str">
        <f t="shared" si="38"/>
        <v>Cold</v>
      </c>
    </row>
    <row r="302" spans="1:20">
      <c r="A302" s="1">
        <v>301</v>
      </c>
      <c r="B302" s="2">
        <v>40556</v>
      </c>
      <c r="C302" s="1">
        <v>1</v>
      </c>
      <c r="D302" s="1">
        <v>0</v>
      </c>
      <c r="E302" s="1">
        <v>1</v>
      </c>
      <c r="F302" s="1">
        <v>23</v>
      </c>
      <c r="G302" s="1" t="b">
        <v>0</v>
      </c>
      <c r="H302" s="1">
        <v>4</v>
      </c>
      <c r="I302" s="1">
        <v>1</v>
      </c>
      <c r="J302" s="1">
        <v>0.12</v>
      </c>
      <c r="M302" t="str">
        <f t="shared" si="33"/>
        <v>Unique</v>
      </c>
      <c r="N302" t="str">
        <f t="shared" si="34"/>
        <v>Spring</v>
      </c>
      <c r="O302" t="str">
        <f t="shared" si="32"/>
        <v>2011</v>
      </c>
      <c r="P302" t="str">
        <f t="shared" si="39"/>
        <v>Working Day</v>
      </c>
      <c r="Q302" t="str">
        <f t="shared" si="35"/>
        <v>Thursday</v>
      </c>
      <c r="R302" t="str">
        <f t="shared" si="36"/>
        <v>Clear</v>
      </c>
      <c r="S302" t="str">
        <f t="shared" si="37"/>
        <v>Night</v>
      </c>
      <c r="T302" t="str">
        <f t="shared" si="38"/>
        <v>Cold</v>
      </c>
    </row>
    <row r="303" spans="1:20">
      <c r="A303" s="1">
        <v>302</v>
      </c>
      <c r="B303" s="2">
        <v>40557</v>
      </c>
      <c r="C303" s="1">
        <v>1</v>
      </c>
      <c r="D303" s="1">
        <v>0</v>
      </c>
      <c r="E303" s="1">
        <v>1</v>
      </c>
      <c r="F303" s="1">
        <v>0</v>
      </c>
      <c r="G303" s="1" t="b">
        <v>0</v>
      </c>
      <c r="H303" s="1">
        <v>5</v>
      </c>
      <c r="I303" s="1">
        <v>1</v>
      </c>
      <c r="J303" s="1">
        <v>0.12</v>
      </c>
      <c r="M303" t="str">
        <f t="shared" si="33"/>
        <v>Unique</v>
      </c>
      <c r="N303" t="str">
        <f t="shared" si="34"/>
        <v>Spring</v>
      </c>
      <c r="O303" t="str">
        <f t="shared" si="32"/>
        <v>2011</v>
      </c>
      <c r="P303" t="str">
        <f t="shared" si="39"/>
        <v>Working Day</v>
      </c>
      <c r="Q303" t="str">
        <f t="shared" si="35"/>
        <v>Friday</v>
      </c>
      <c r="R303" t="str">
        <f t="shared" si="36"/>
        <v>Clear</v>
      </c>
      <c r="S303" t="str">
        <f t="shared" si="37"/>
        <v>Morning</v>
      </c>
      <c r="T303" t="str">
        <f t="shared" si="38"/>
        <v>Cold</v>
      </c>
    </row>
    <row r="304" spans="1:20">
      <c r="A304" s="1">
        <v>303</v>
      </c>
      <c r="B304" s="2">
        <v>40557</v>
      </c>
      <c r="C304" s="1">
        <v>1</v>
      </c>
      <c r="D304" s="1">
        <v>0</v>
      </c>
      <c r="E304" s="1">
        <v>1</v>
      </c>
      <c r="F304" s="1">
        <v>1</v>
      </c>
      <c r="G304" s="1" t="b">
        <v>0</v>
      </c>
      <c r="H304" s="1">
        <v>5</v>
      </c>
      <c r="I304" s="1">
        <v>1</v>
      </c>
      <c r="J304" s="1">
        <v>0.1</v>
      </c>
      <c r="M304" t="str">
        <f t="shared" si="33"/>
        <v>Unique</v>
      </c>
      <c r="N304" t="str">
        <f t="shared" si="34"/>
        <v>Spring</v>
      </c>
      <c r="O304" t="str">
        <f t="shared" si="32"/>
        <v>2011</v>
      </c>
      <c r="P304" t="str">
        <f t="shared" si="39"/>
        <v>Working Day</v>
      </c>
      <c r="Q304" t="str">
        <f t="shared" si="35"/>
        <v>Friday</v>
      </c>
      <c r="R304" t="str">
        <f t="shared" si="36"/>
        <v>Clear</v>
      </c>
      <c r="S304" t="str">
        <f t="shared" si="37"/>
        <v>Morning</v>
      </c>
      <c r="T304" t="str">
        <f t="shared" si="38"/>
        <v>Cold</v>
      </c>
    </row>
    <row r="305" spans="1:20">
      <c r="A305" s="1">
        <v>304</v>
      </c>
      <c r="B305" s="2">
        <v>40557</v>
      </c>
      <c r="C305" s="1">
        <v>1</v>
      </c>
      <c r="D305" s="1">
        <v>0</v>
      </c>
      <c r="E305" s="1">
        <v>1</v>
      </c>
      <c r="F305" s="1">
        <v>2</v>
      </c>
      <c r="G305" s="1" t="b">
        <v>0</v>
      </c>
      <c r="H305" s="1">
        <v>5</v>
      </c>
      <c r="I305" s="1">
        <v>1</v>
      </c>
      <c r="J305" s="1">
        <v>0.1</v>
      </c>
      <c r="M305" t="str">
        <f t="shared" si="33"/>
        <v>Unique</v>
      </c>
      <c r="N305" t="str">
        <f t="shared" si="34"/>
        <v>Spring</v>
      </c>
      <c r="O305" t="str">
        <f t="shared" si="32"/>
        <v>2011</v>
      </c>
      <c r="P305" t="str">
        <f t="shared" si="39"/>
        <v>Working Day</v>
      </c>
      <c r="Q305" t="str">
        <f t="shared" si="35"/>
        <v>Friday</v>
      </c>
      <c r="R305" t="str">
        <f t="shared" si="36"/>
        <v>Clear</v>
      </c>
      <c r="S305" t="str">
        <f t="shared" si="37"/>
        <v>Morning</v>
      </c>
      <c r="T305" t="str">
        <f t="shared" si="38"/>
        <v>Cold</v>
      </c>
    </row>
    <row r="306" spans="1:20">
      <c r="A306" s="1">
        <v>305</v>
      </c>
      <c r="B306" s="2">
        <v>40557</v>
      </c>
      <c r="C306" s="1">
        <v>1</v>
      </c>
      <c r="D306" s="1">
        <v>0</v>
      </c>
      <c r="E306" s="1">
        <v>1</v>
      </c>
      <c r="F306" s="1">
        <v>3</v>
      </c>
      <c r="G306" s="1" t="b">
        <v>0</v>
      </c>
      <c r="H306" s="1">
        <v>5</v>
      </c>
      <c r="I306" s="1">
        <v>1</v>
      </c>
      <c r="J306" s="1">
        <v>0.1</v>
      </c>
      <c r="M306" t="str">
        <f t="shared" si="33"/>
        <v>Unique</v>
      </c>
      <c r="N306" t="str">
        <f t="shared" si="34"/>
        <v>Spring</v>
      </c>
      <c r="O306" t="str">
        <f t="shared" si="32"/>
        <v>2011</v>
      </c>
      <c r="P306" t="str">
        <f t="shared" si="39"/>
        <v>Working Day</v>
      </c>
      <c r="Q306" t="str">
        <f t="shared" si="35"/>
        <v>Friday</v>
      </c>
      <c r="R306" t="str">
        <f t="shared" si="36"/>
        <v>Clear</v>
      </c>
      <c r="S306" t="str">
        <f t="shared" si="37"/>
        <v>Morning</v>
      </c>
      <c r="T306" t="str">
        <f t="shared" si="38"/>
        <v>Cold</v>
      </c>
    </row>
    <row r="307" spans="1:20">
      <c r="A307" s="1">
        <v>306</v>
      </c>
      <c r="B307" s="2">
        <v>40557</v>
      </c>
      <c r="C307" s="1">
        <v>1</v>
      </c>
      <c r="D307" s="1">
        <v>0</v>
      </c>
      <c r="E307" s="1">
        <v>1</v>
      </c>
      <c r="F307" s="1">
        <v>5</v>
      </c>
      <c r="G307" s="1" t="b">
        <v>0</v>
      </c>
      <c r="H307" s="1">
        <v>5</v>
      </c>
      <c r="I307" s="1">
        <v>1</v>
      </c>
      <c r="J307" s="1">
        <v>0.1</v>
      </c>
      <c r="M307" t="str">
        <f t="shared" si="33"/>
        <v>Unique</v>
      </c>
      <c r="N307" t="str">
        <f t="shared" si="34"/>
        <v>Spring</v>
      </c>
      <c r="O307" t="str">
        <f t="shared" si="32"/>
        <v>2011</v>
      </c>
      <c r="P307" t="str">
        <f t="shared" si="39"/>
        <v>Working Day</v>
      </c>
      <c r="Q307" t="str">
        <f t="shared" si="35"/>
        <v>Friday</v>
      </c>
      <c r="R307" t="str">
        <f t="shared" si="36"/>
        <v>Clear</v>
      </c>
      <c r="S307" t="str">
        <f t="shared" si="37"/>
        <v>Morning</v>
      </c>
      <c r="T307" t="str">
        <f t="shared" si="38"/>
        <v>Cold</v>
      </c>
    </row>
    <row r="308" spans="1:20">
      <c r="A308" s="1">
        <v>307</v>
      </c>
      <c r="B308" s="2">
        <v>40557</v>
      </c>
      <c r="C308" s="1">
        <v>1</v>
      </c>
      <c r="D308" s="1">
        <v>0</v>
      </c>
      <c r="E308" s="1">
        <v>1</v>
      </c>
      <c r="F308" s="1">
        <v>6</v>
      </c>
      <c r="G308" s="1" t="b">
        <v>0</v>
      </c>
      <c r="H308" s="1">
        <v>5</v>
      </c>
      <c r="I308" s="1">
        <v>1</v>
      </c>
      <c r="J308" s="1">
        <v>0.1</v>
      </c>
      <c r="M308" t="str">
        <f t="shared" si="33"/>
        <v>Unique</v>
      </c>
      <c r="N308" t="str">
        <f t="shared" si="34"/>
        <v>Spring</v>
      </c>
      <c r="O308" t="str">
        <f t="shared" si="32"/>
        <v>2011</v>
      </c>
      <c r="P308" t="str">
        <f t="shared" si="39"/>
        <v>Working Day</v>
      </c>
      <c r="Q308" t="str">
        <f t="shared" si="35"/>
        <v>Friday</v>
      </c>
      <c r="R308" t="str">
        <f t="shared" si="36"/>
        <v>Clear</v>
      </c>
      <c r="S308" t="str">
        <f t="shared" si="37"/>
        <v>Morning</v>
      </c>
      <c r="T308" t="str">
        <f t="shared" si="38"/>
        <v>Cold</v>
      </c>
    </row>
    <row r="309" spans="1:20">
      <c r="A309" s="1">
        <v>308</v>
      </c>
      <c r="B309" s="2">
        <v>40557</v>
      </c>
      <c r="C309" s="1">
        <v>1</v>
      </c>
      <c r="D309" s="1">
        <v>0</v>
      </c>
      <c r="E309" s="1">
        <v>1</v>
      </c>
      <c r="F309" s="1">
        <v>7</v>
      </c>
      <c r="G309" s="1" t="b">
        <v>0</v>
      </c>
      <c r="H309" s="1">
        <v>5</v>
      </c>
      <c r="I309" s="1">
        <v>1</v>
      </c>
      <c r="J309" s="1">
        <v>0.1</v>
      </c>
      <c r="M309" t="str">
        <f t="shared" si="33"/>
        <v>Unique</v>
      </c>
      <c r="N309" t="str">
        <f t="shared" si="34"/>
        <v>Spring</v>
      </c>
      <c r="O309" t="str">
        <f t="shared" si="32"/>
        <v>2011</v>
      </c>
      <c r="P309" t="str">
        <f t="shared" si="39"/>
        <v>Working Day</v>
      </c>
      <c r="Q309" t="str">
        <f t="shared" si="35"/>
        <v>Friday</v>
      </c>
      <c r="R309" t="str">
        <f t="shared" si="36"/>
        <v>Clear</v>
      </c>
      <c r="S309" t="str">
        <f t="shared" si="37"/>
        <v>Morning</v>
      </c>
      <c r="T309" t="str">
        <f t="shared" si="38"/>
        <v>Cold</v>
      </c>
    </row>
    <row r="310" spans="1:20">
      <c r="A310" s="1">
        <v>309</v>
      </c>
      <c r="B310" s="2">
        <v>40557</v>
      </c>
      <c r="C310" s="1">
        <v>1</v>
      </c>
      <c r="D310" s="1">
        <v>0</v>
      </c>
      <c r="E310" s="1">
        <v>1</v>
      </c>
      <c r="F310" s="1">
        <v>8</v>
      </c>
      <c r="G310" s="1" t="b">
        <v>0</v>
      </c>
      <c r="H310" s="1">
        <v>5</v>
      </c>
      <c r="I310" s="1">
        <v>1</v>
      </c>
      <c r="J310" s="1">
        <v>0.12</v>
      </c>
      <c r="M310" t="str">
        <f t="shared" si="33"/>
        <v>Unique</v>
      </c>
      <c r="N310" t="str">
        <f t="shared" si="34"/>
        <v>Spring</v>
      </c>
      <c r="O310" t="str">
        <f t="shared" si="32"/>
        <v>2011</v>
      </c>
      <c r="P310" t="str">
        <f t="shared" si="39"/>
        <v>Working Day</v>
      </c>
      <c r="Q310" t="str">
        <f t="shared" si="35"/>
        <v>Friday</v>
      </c>
      <c r="R310" t="str">
        <f t="shared" si="36"/>
        <v>Clear</v>
      </c>
      <c r="S310" t="str">
        <f t="shared" si="37"/>
        <v>Morning</v>
      </c>
      <c r="T310" t="str">
        <f t="shared" si="38"/>
        <v>Cold</v>
      </c>
    </row>
    <row r="311" spans="1:20">
      <c r="A311" s="1">
        <v>310</v>
      </c>
      <c r="B311" s="2">
        <v>40557</v>
      </c>
      <c r="C311" s="1">
        <v>1</v>
      </c>
      <c r="D311" s="1">
        <v>0</v>
      </c>
      <c r="E311" s="1">
        <v>1</v>
      </c>
      <c r="F311" s="1">
        <v>9</v>
      </c>
      <c r="G311" s="1" t="b">
        <v>0</v>
      </c>
      <c r="H311" s="1">
        <v>5</v>
      </c>
      <c r="I311" s="1">
        <v>1</v>
      </c>
      <c r="J311" s="1">
        <v>0.14000000000000001</v>
      </c>
      <c r="M311" t="str">
        <f t="shared" si="33"/>
        <v>Unique</v>
      </c>
      <c r="N311" t="str">
        <f t="shared" si="34"/>
        <v>Spring</v>
      </c>
      <c r="O311" t="str">
        <f t="shared" si="32"/>
        <v>2011</v>
      </c>
      <c r="P311" t="str">
        <f t="shared" si="39"/>
        <v>Working Day</v>
      </c>
      <c r="Q311" t="str">
        <f t="shared" si="35"/>
        <v>Friday</v>
      </c>
      <c r="R311" t="str">
        <f t="shared" si="36"/>
        <v>Clear</v>
      </c>
      <c r="S311" t="str">
        <f t="shared" si="37"/>
        <v>Morning</v>
      </c>
      <c r="T311" t="str">
        <f t="shared" si="38"/>
        <v>Cold</v>
      </c>
    </row>
    <row r="312" spans="1:20">
      <c r="A312" s="1">
        <v>311</v>
      </c>
      <c r="B312" s="2">
        <v>40557</v>
      </c>
      <c r="C312" s="1">
        <v>1</v>
      </c>
      <c r="D312" s="1">
        <v>0</v>
      </c>
      <c r="E312" s="1">
        <v>1</v>
      </c>
      <c r="F312" s="1">
        <v>10</v>
      </c>
      <c r="G312" s="1" t="b">
        <v>0</v>
      </c>
      <c r="H312" s="1">
        <v>5</v>
      </c>
      <c r="I312" s="1">
        <v>1</v>
      </c>
      <c r="J312" s="1">
        <v>0.18</v>
      </c>
      <c r="M312" t="str">
        <f t="shared" si="33"/>
        <v>Unique</v>
      </c>
      <c r="N312" t="str">
        <f t="shared" si="34"/>
        <v>Spring</v>
      </c>
      <c r="O312" t="str">
        <f t="shared" si="32"/>
        <v>2011</v>
      </c>
      <c r="P312" t="str">
        <f t="shared" si="39"/>
        <v>Working Day</v>
      </c>
      <c r="Q312" t="str">
        <f t="shared" si="35"/>
        <v>Friday</v>
      </c>
      <c r="R312" t="str">
        <f t="shared" si="36"/>
        <v>Clear</v>
      </c>
      <c r="S312" t="str">
        <f t="shared" si="37"/>
        <v>Morning</v>
      </c>
      <c r="T312" t="str">
        <f t="shared" si="38"/>
        <v>Cold</v>
      </c>
    </row>
    <row r="313" spans="1:20">
      <c r="A313" s="1">
        <v>312</v>
      </c>
      <c r="B313" s="2">
        <v>40557</v>
      </c>
      <c r="C313" s="1">
        <v>1</v>
      </c>
      <c r="D313" s="1">
        <v>0</v>
      </c>
      <c r="E313" s="1">
        <v>1</v>
      </c>
      <c r="F313" s="1">
        <v>11</v>
      </c>
      <c r="G313" s="1" t="b">
        <v>0</v>
      </c>
      <c r="H313" s="1">
        <v>5</v>
      </c>
      <c r="I313" s="1">
        <v>1</v>
      </c>
      <c r="J313" s="1">
        <v>0.18</v>
      </c>
      <c r="M313" t="str">
        <f t="shared" si="33"/>
        <v>Unique</v>
      </c>
      <c r="N313" t="str">
        <f t="shared" si="34"/>
        <v>Spring</v>
      </c>
      <c r="O313" t="str">
        <f t="shared" si="32"/>
        <v>2011</v>
      </c>
      <c r="P313" t="str">
        <f t="shared" si="39"/>
        <v>Working Day</v>
      </c>
      <c r="Q313" t="str">
        <f t="shared" si="35"/>
        <v>Friday</v>
      </c>
      <c r="R313" t="str">
        <f t="shared" si="36"/>
        <v>Clear</v>
      </c>
      <c r="S313" t="str">
        <f t="shared" si="37"/>
        <v>Morning</v>
      </c>
      <c r="T313" t="str">
        <f t="shared" si="38"/>
        <v>Cold</v>
      </c>
    </row>
    <row r="314" spans="1:20">
      <c r="A314" s="1">
        <v>313</v>
      </c>
      <c r="B314" s="2">
        <v>40557</v>
      </c>
      <c r="C314" s="1">
        <v>1</v>
      </c>
      <c r="D314" s="1">
        <v>0</v>
      </c>
      <c r="E314" s="1">
        <v>1</v>
      </c>
      <c r="F314" s="1">
        <v>12</v>
      </c>
      <c r="G314" s="1" t="b">
        <v>0</v>
      </c>
      <c r="H314" s="1">
        <v>5</v>
      </c>
      <c r="I314" s="1">
        <v>1</v>
      </c>
      <c r="J314" s="1">
        <v>0.2</v>
      </c>
      <c r="M314" t="str">
        <f t="shared" si="33"/>
        <v>Unique</v>
      </c>
      <c r="N314" t="str">
        <f t="shared" si="34"/>
        <v>Spring</v>
      </c>
      <c r="O314" t="str">
        <f t="shared" si="32"/>
        <v>2011</v>
      </c>
      <c r="P314" t="str">
        <f t="shared" si="39"/>
        <v>Working Day</v>
      </c>
      <c r="Q314" t="str">
        <f t="shared" si="35"/>
        <v>Friday</v>
      </c>
      <c r="R314" t="str">
        <f t="shared" si="36"/>
        <v>Clear</v>
      </c>
      <c r="S314" t="str">
        <f t="shared" si="37"/>
        <v>Afternoon</v>
      </c>
      <c r="T314" t="str">
        <f t="shared" si="38"/>
        <v>Cold</v>
      </c>
    </row>
    <row r="315" spans="1:20">
      <c r="A315" s="1">
        <v>314</v>
      </c>
      <c r="B315" s="2">
        <v>40557</v>
      </c>
      <c r="C315" s="1">
        <v>1</v>
      </c>
      <c r="D315" s="1">
        <v>0</v>
      </c>
      <c r="E315" s="1">
        <v>1</v>
      </c>
      <c r="F315" s="1">
        <v>13</v>
      </c>
      <c r="G315" s="1" t="b">
        <v>0</v>
      </c>
      <c r="H315" s="1">
        <v>5</v>
      </c>
      <c r="I315" s="1">
        <v>1</v>
      </c>
      <c r="J315" s="1">
        <v>0.22</v>
      </c>
      <c r="M315" t="str">
        <f t="shared" si="33"/>
        <v>Unique</v>
      </c>
      <c r="N315" t="str">
        <f t="shared" si="34"/>
        <v>Spring</v>
      </c>
      <c r="O315" t="str">
        <f t="shared" si="32"/>
        <v>2011</v>
      </c>
      <c r="P315" t="str">
        <f t="shared" si="39"/>
        <v>Working Day</v>
      </c>
      <c r="Q315" t="str">
        <f t="shared" si="35"/>
        <v>Friday</v>
      </c>
      <c r="R315" t="str">
        <f t="shared" si="36"/>
        <v>Clear</v>
      </c>
      <c r="S315" t="str">
        <f t="shared" si="37"/>
        <v>Afternoon</v>
      </c>
      <c r="T315" t="str">
        <f t="shared" si="38"/>
        <v>Cold</v>
      </c>
    </row>
    <row r="316" spans="1:20">
      <c r="A316" s="1">
        <v>315</v>
      </c>
      <c r="B316" s="2">
        <v>40557</v>
      </c>
      <c r="C316" s="1">
        <v>1</v>
      </c>
      <c r="D316" s="1">
        <v>0</v>
      </c>
      <c r="E316" s="1">
        <v>1</v>
      </c>
      <c r="F316" s="1">
        <v>14</v>
      </c>
      <c r="G316" s="1" t="b">
        <v>0</v>
      </c>
      <c r="H316" s="1">
        <v>5</v>
      </c>
      <c r="I316" s="1">
        <v>1</v>
      </c>
      <c r="J316" s="1">
        <v>0.22</v>
      </c>
      <c r="M316" t="str">
        <f t="shared" si="33"/>
        <v>Unique</v>
      </c>
      <c r="N316" t="str">
        <f t="shared" si="34"/>
        <v>Spring</v>
      </c>
      <c r="O316" t="str">
        <f t="shared" si="32"/>
        <v>2011</v>
      </c>
      <c r="P316" t="str">
        <f t="shared" si="39"/>
        <v>Working Day</v>
      </c>
      <c r="Q316" t="str">
        <f t="shared" si="35"/>
        <v>Friday</v>
      </c>
      <c r="R316" t="str">
        <f t="shared" si="36"/>
        <v>Clear</v>
      </c>
      <c r="S316" t="str">
        <f t="shared" si="37"/>
        <v>Afternoon</v>
      </c>
      <c r="T316" t="str">
        <f t="shared" si="38"/>
        <v>Cold</v>
      </c>
    </row>
    <row r="317" spans="1:20">
      <c r="A317" s="1">
        <v>316</v>
      </c>
      <c r="B317" s="2">
        <v>40557</v>
      </c>
      <c r="C317" s="1">
        <v>1</v>
      </c>
      <c r="D317" s="1">
        <v>0</v>
      </c>
      <c r="E317" s="1">
        <v>1</v>
      </c>
      <c r="F317" s="1">
        <v>15</v>
      </c>
      <c r="G317" s="1" t="b">
        <v>0</v>
      </c>
      <c r="H317" s="1">
        <v>5</v>
      </c>
      <c r="I317" s="1">
        <v>1</v>
      </c>
      <c r="J317" s="1">
        <v>0.24</v>
      </c>
      <c r="M317" t="str">
        <f t="shared" si="33"/>
        <v>Unique</v>
      </c>
      <c r="N317" t="str">
        <f t="shared" si="34"/>
        <v>Spring</v>
      </c>
      <c r="O317" t="str">
        <f t="shared" si="32"/>
        <v>2011</v>
      </c>
      <c r="P317" t="str">
        <f t="shared" si="39"/>
        <v>Working Day</v>
      </c>
      <c r="Q317" t="str">
        <f t="shared" si="35"/>
        <v>Friday</v>
      </c>
      <c r="R317" t="str">
        <f t="shared" si="36"/>
        <v>Clear</v>
      </c>
      <c r="S317" t="str">
        <f t="shared" si="37"/>
        <v>Afternoon</v>
      </c>
      <c r="T317" t="str">
        <f t="shared" si="38"/>
        <v>Cold</v>
      </c>
    </row>
    <row r="318" spans="1:20">
      <c r="A318" s="1">
        <v>317</v>
      </c>
      <c r="B318" s="2">
        <v>40557</v>
      </c>
      <c r="C318" s="1">
        <v>1</v>
      </c>
      <c r="D318" s="1">
        <v>0</v>
      </c>
      <c r="E318" s="1">
        <v>1</v>
      </c>
      <c r="F318" s="1">
        <v>16</v>
      </c>
      <c r="G318" s="1" t="b">
        <v>0</v>
      </c>
      <c r="H318" s="1">
        <v>5</v>
      </c>
      <c r="I318" s="1">
        <v>1</v>
      </c>
      <c r="J318" s="1">
        <v>0.22</v>
      </c>
      <c r="M318" t="str">
        <f t="shared" si="33"/>
        <v>Unique</v>
      </c>
      <c r="N318" t="str">
        <f t="shared" si="34"/>
        <v>Spring</v>
      </c>
      <c r="O318" t="str">
        <f t="shared" si="32"/>
        <v>2011</v>
      </c>
      <c r="P318" t="str">
        <f t="shared" si="39"/>
        <v>Working Day</v>
      </c>
      <c r="Q318" t="str">
        <f t="shared" si="35"/>
        <v>Friday</v>
      </c>
      <c r="R318" t="str">
        <f t="shared" si="36"/>
        <v>Clear</v>
      </c>
      <c r="S318" t="str">
        <f t="shared" si="37"/>
        <v>Afternoon</v>
      </c>
      <c r="T318" t="str">
        <f t="shared" si="38"/>
        <v>Cold</v>
      </c>
    </row>
    <row r="319" spans="1:20">
      <c r="A319" s="1">
        <v>318</v>
      </c>
      <c r="B319" s="2">
        <v>40557</v>
      </c>
      <c r="C319" s="1">
        <v>1</v>
      </c>
      <c r="D319" s="1">
        <v>0</v>
      </c>
      <c r="E319" s="1">
        <v>1</v>
      </c>
      <c r="F319" s="1">
        <v>17</v>
      </c>
      <c r="G319" s="1" t="b">
        <v>0</v>
      </c>
      <c r="H319" s="1">
        <v>5</v>
      </c>
      <c r="I319" s="1">
        <v>1</v>
      </c>
      <c r="J319" s="1">
        <v>0.22</v>
      </c>
      <c r="M319" t="str">
        <f t="shared" si="33"/>
        <v>Unique</v>
      </c>
      <c r="N319" t="str">
        <f t="shared" si="34"/>
        <v>Spring</v>
      </c>
      <c r="O319" t="str">
        <f t="shared" si="32"/>
        <v>2011</v>
      </c>
      <c r="P319" t="str">
        <f t="shared" si="39"/>
        <v>Working Day</v>
      </c>
      <c r="Q319" t="str">
        <f t="shared" si="35"/>
        <v>Friday</v>
      </c>
      <c r="R319" t="str">
        <f t="shared" si="36"/>
        <v>Clear</v>
      </c>
      <c r="S319" t="str">
        <f t="shared" si="37"/>
        <v>Afternoon</v>
      </c>
      <c r="T319" t="str">
        <f t="shared" si="38"/>
        <v>Cold</v>
      </c>
    </row>
    <row r="320" spans="1:20">
      <c r="A320" s="1">
        <v>319</v>
      </c>
      <c r="B320" s="2">
        <v>40557</v>
      </c>
      <c r="C320" s="1">
        <v>1</v>
      </c>
      <c r="D320" s="1">
        <v>0</v>
      </c>
      <c r="E320" s="1">
        <v>1</v>
      </c>
      <c r="F320" s="1">
        <v>18</v>
      </c>
      <c r="G320" s="1" t="b">
        <v>0</v>
      </c>
      <c r="H320" s="1">
        <v>5</v>
      </c>
      <c r="I320" s="1">
        <v>1</v>
      </c>
      <c r="J320" s="1">
        <v>0.2</v>
      </c>
      <c r="M320" t="str">
        <f t="shared" si="33"/>
        <v>Unique</v>
      </c>
      <c r="N320" t="str">
        <f t="shared" si="34"/>
        <v>Spring</v>
      </c>
      <c r="O320" t="str">
        <f t="shared" si="32"/>
        <v>2011</v>
      </c>
      <c r="P320" t="str">
        <f t="shared" si="39"/>
        <v>Working Day</v>
      </c>
      <c r="Q320" t="str">
        <f t="shared" si="35"/>
        <v>Friday</v>
      </c>
      <c r="R320" t="str">
        <f t="shared" si="36"/>
        <v>Clear</v>
      </c>
      <c r="S320" t="str">
        <f t="shared" si="37"/>
        <v>Night</v>
      </c>
      <c r="T320" t="str">
        <f t="shared" si="38"/>
        <v>Cold</v>
      </c>
    </row>
    <row r="321" spans="1:20">
      <c r="A321" s="1">
        <v>320</v>
      </c>
      <c r="B321" s="2">
        <v>40557</v>
      </c>
      <c r="C321" s="1">
        <v>1</v>
      </c>
      <c r="D321" s="1">
        <v>0</v>
      </c>
      <c r="E321" s="1">
        <v>1</v>
      </c>
      <c r="F321" s="1">
        <v>19</v>
      </c>
      <c r="G321" s="1" t="b">
        <v>0</v>
      </c>
      <c r="H321" s="1">
        <v>5</v>
      </c>
      <c r="I321" s="1">
        <v>1</v>
      </c>
      <c r="J321" s="1">
        <v>0.16</v>
      </c>
      <c r="M321" t="str">
        <f t="shared" si="33"/>
        <v>Unique</v>
      </c>
      <c r="N321" t="str">
        <f t="shared" si="34"/>
        <v>Spring</v>
      </c>
      <c r="O321" t="str">
        <f t="shared" si="32"/>
        <v>2011</v>
      </c>
      <c r="P321" t="str">
        <f t="shared" si="39"/>
        <v>Working Day</v>
      </c>
      <c r="Q321" t="str">
        <f t="shared" si="35"/>
        <v>Friday</v>
      </c>
      <c r="R321" t="str">
        <f t="shared" si="36"/>
        <v>Clear</v>
      </c>
      <c r="S321" t="str">
        <f t="shared" si="37"/>
        <v>Night</v>
      </c>
      <c r="T321" t="str">
        <f t="shared" si="38"/>
        <v>Cold</v>
      </c>
    </row>
    <row r="322" spans="1:20">
      <c r="A322" s="1">
        <v>321</v>
      </c>
      <c r="B322" s="2">
        <v>40557</v>
      </c>
      <c r="C322" s="1">
        <v>1</v>
      </c>
      <c r="D322" s="1">
        <v>0</v>
      </c>
      <c r="E322" s="1">
        <v>1</v>
      </c>
      <c r="F322" s="1">
        <v>20</v>
      </c>
      <c r="G322" s="1" t="b">
        <v>0</v>
      </c>
      <c r="H322" s="1">
        <v>5</v>
      </c>
      <c r="I322" s="1">
        <v>1</v>
      </c>
      <c r="J322" s="1">
        <v>0.18</v>
      </c>
      <c r="M322" t="str">
        <f t="shared" si="33"/>
        <v>Unique</v>
      </c>
      <c r="N322" t="str">
        <f t="shared" si="34"/>
        <v>Spring</v>
      </c>
      <c r="O322" t="str">
        <f t="shared" ref="O322:O385" si="40">IF(D322=0,"2011","2012")</f>
        <v>2011</v>
      </c>
      <c r="P322" t="str">
        <f t="shared" si="39"/>
        <v>Working Day</v>
      </c>
      <c r="Q322" t="str">
        <f t="shared" si="35"/>
        <v>Friday</v>
      </c>
      <c r="R322" t="str">
        <f t="shared" si="36"/>
        <v>Clear</v>
      </c>
      <c r="S322" t="str">
        <f t="shared" si="37"/>
        <v>Night</v>
      </c>
      <c r="T322" t="str">
        <f t="shared" si="38"/>
        <v>Cold</v>
      </c>
    </row>
    <row r="323" spans="1:20">
      <c r="A323" s="1">
        <v>322</v>
      </c>
      <c r="B323" s="2">
        <v>40557</v>
      </c>
      <c r="C323" s="1">
        <v>1</v>
      </c>
      <c r="D323" s="1">
        <v>0</v>
      </c>
      <c r="E323" s="1">
        <v>1</v>
      </c>
      <c r="F323" s="1">
        <v>21</v>
      </c>
      <c r="G323" s="1" t="b">
        <v>0</v>
      </c>
      <c r="H323" s="1">
        <v>5</v>
      </c>
      <c r="I323" s="1">
        <v>1</v>
      </c>
      <c r="J323" s="1">
        <v>0.16</v>
      </c>
      <c r="M323" t="str">
        <f t="shared" ref="M323:M386" si="41">IF(COUNTIF(A:A,A323)&gt;1,"Duplicate","Unique")</f>
        <v>Unique</v>
      </c>
      <c r="N323" t="str">
        <f t="shared" ref="N323:N386" si="42">IF(C323=1,"Spring",IF(C323=2,"Summer",IF(C323=3,"Fall","Winter")))</f>
        <v>Spring</v>
      </c>
      <c r="O323" t="str">
        <f t="shared" si="40"/>
        <v>2011</v>
      </c>
      <c r="P323" t="str">
        <f t="shared" si="39"/>
        <v>Working Day</v>
      </c>
      <c r="Q323" t="str">
        <f t="shared" ref="Q323:Q386" si="43">CHOOSE(H323+1,"Sunday","Monday","Tuesday","Wednesday","Thursday","Friday","Saturday")</f>
        <v>Friday</v>
      </c>
      <c r="R323" t="str">
        <f t="shared" ref="R323:R386" si="44">IF(I323=1,"Clear",IF(I323=2,"Cloudy",IF(I323=3,"Rainy","Storm")))</f>
        <v>Clear</v>
      </c>
      <c r="S323" t="str">
        <f t="shared" ref="S323:S386" si="45">IF(F323&lt;12,"Morning",IF(F323&lt;18,"Afternoon","Night"))</f>
        <v>Night</v>
      </c>
      <c r="T323" t="str">
        <f t="shared" ref="T323:T386" si="46">IF(J323&lt;0.3,"Cold",IF(J323&lt;0.6,"Normal","Hot"))</f>
        <v>Cold</v>
      </c>
    </row>
    <row r="324" spans="1:20">
      <c r="A324" s="1">
        <v>323</v>
      </c>
      <c r="B324" s="2">
        <v>40557</v>
      </c>
      <c r="C324" s="1">
        <v>1</v>
      </c>
      <c r="D324" s="1">
        <v>0</v>
      </c>
      <c r="E324" s="1">
        <v>1</v>
      </c>
      <c r="F324" s="1">
        <v>22</v>
      </c>
      <c r="G324" s="1" t="b">
        <v>0</v>
      </c>
      <c r="H324" s="1">
        <v>5</v>
      </c>
      <c r="I324" s="1">
        <v>2</v>
      </c>
      <c r="J324" s="1">
        <v>0.16</v>
      </c>
      <c r="M324" t="str">
        <f t="shared" si="41"/>
        <v>Unique</v>
      </c>
      <c r="N324" t="str">
        <f t="shared" si="42"/>
        <v>Spring</v>
      </c>
      <c r="O324" t="str">
        <f t="shared" si="40"/>
        <v>2011</v>
      </c>
      <c r="P324" t="str">
        <f t="shared" ref="P324:P387" si="47">IF(G323=FALSE,"Working Day","Holiday")</f>
        <v>Working Day</v>
      </c>
      <c r="Q324" t="str">
        <f t="shared" si="43"/>
        <v>Friday</v>
      </c>
      <c r="R324" t="str">
        <f t="shared" si="44"/>
        <v>Cloudy</v>
      </c>
      <c r="S324" t="str">
        <f t="shared" si="45"/>
        <v>Night</v>
      </c>
      <c r="T324" t="str">
        <f t="shared" si="46"/>
        <v>Cold</v>
      </c>
    </row>
    <row r="325" spans="1:20">
      <c r="A325" s="1">
        <v>324</v>
      </c>
      <c r="B325" s="2">
        <v>40557</v>
      </c>
      <c r="C325" s="1">
        <v>1</v>
      </c>
      <c r="D325" s="1">
        <v>0</v>
      </c>
      <c r="E325" s="1">
        <v>1</v>
      </c>
      <c r="F325" s="1">
        <v>23</v>
      </c>
      <c r="G325" s="1" t="b">
        <v>0</v>
      </c>
      <c r="H325" s="1">
        <v>5</v>
      </c>
      <c r="I325" s="1">
        <v>2</v>
      </c>
      <c r="J325" s="1">
        <v>0.18</v>
      </c>
      <c r="M325" t="str">
        <f t="shared" si="41"/>
        <v>Unique</v>
      </c>
      <c r="N325" t="str">
        <f t="shared" si="42"/>
        <v>Spring</v>
      </c>
      <c r="O325" t="str">
        <f t="shared" si="40"/>
        <v>2011</v>
      </c>
      <c r="P325" t="str">
        <f t="shared" si="47"/>
        <v>Working Day</v>
      </c>
      <c r="Q325" t="str">
        <f t="shared" si="43"/>
        <v>Friday</v>
      </c>
      <c r="R325" t="str">
        <f t="shared" si="44"/>
        <v>Cloudy</v>
      </c>
      <c r="S325" t="str">
        <f t="shared" si="45"/>
        <v>Night</v>
      </c>
      <c r="T325" t="str">
        <f t="shared" si="46"/>
        <v>Cold</v>
      </c>
    </row>
    <row r="326" spans="1:20">
      <c r="A326" s="1">
        <v>325</v>
      </c>
      <c r="B326" s="2">
        <v>40558</v>
      </c>
      <c r="C326" s="1">
        <v>1</v>
      </c>
      <c r="D326" s="1">
        <v>0</v>
      </c>
      <c r="E326" s="1">
        <v>1</v>
      </c>
      <c r="F326" s="1">
        <v>0</v>
      </c>
      <c r="G326" s="1" t="b">
        <v>0</v>
      </c>
      <c r="H326" s="1">
        <v>6</v>
      </c>
      <c r="I326" s="1">
        <v>1</v>
      </c>
      <c r="J326" s="1">
        <v>0.18</v>
      </c>
      <c r="M326" t="str">
        <f t="shared" si="41"/>
        <v>Unique</v>
      </c>
      <c r="N326" t="str">
        <f t="shared" si="42"/>
        <v>Spring</v>
      </c>
      <c r="O326" t="str">
        <f t="shared" si="40"/>
        <v>2011</v>
      </c>
      <c r="P326" t="str">
        <f t="shared" si="47"/>
        <v>Working Day</v>
      </c>
      <c r="Q326" t="str">
        <f t="shared" si="43"/>
        <v>Saturday</v>
      </c>
      <c r="R326" t="str">
        <f t="shared" si="44"/>
        <v>Clear</v>
      </c>
      <c r="S326" t="str">
        <f t="shared" si="45"/>
        <v>Morning</v>
      </c>
      <c r="T326" t="str">
        <f t="shared" si="46"/>
        <v>Cold</v>
      </c>
    </row>
    <row r="327" spans="1:20">
      <c r="A327" s="1">
        <v>326</v>
      </c>
      <c r="B327" s="2">
        <v>40558</v>
      </c>
      <c r="C327" s="1">
        <v>1</v>
      </c>
      <c r="D327" s="1">
        <v>0</v>
      </c>
      <c r="E327" s="1">
        <v>1</v>
      </c>
      <c r="F327" s="1">
        <v>1</v>
      </c>
      <c r="G327" s="1" t="b">
        <v>0</v>
      </c>
      <c r="H327" s="1">
        <v>6</v>
      </c>
      <c r="I327" s="1">
        <v>2</v>
      </c>
      <c r="J327" s="1">
        <v>0.16</v>
      </c>
      <c r="M327" t="str">
        <f t="shared" si="41"/>
        <v>Unique</v>
      </c>
      <c r="N327" t="str">
        <f t="shared" si="42"/>
        <v>Spring</v>
      </c>
      <c r="O327" t="str">
        <f t="shared" si="40"/>
        <v>2011</v>
      </c>
      <c r="P327" t="str">
        <f t="shared" si="47"/>
        <v>Working Day</v>
      </c>
      <c r="Q327" t="str">
        <f t="shared" si="43"/>
        <v>Saturday</v>
      </c>
      <c r="R327" t="str">
        <f t="shared" si="44"/>
        <v>Cloudy</v>
      </c>
      <c r="S327" t="str">
        <f t="shared" si="45"/>
        <v>Morning</v>
      </c>
      <c r="T327" t="str">
        <f t="shared" si="46"/>
        <v>Cold</v>
      </c>
    </row>
    <row r="328" spans="1:20">
      <c r="A328" s="1">
        <v>327</v>
      </c>
      <c r="B328" s="2">
        <v>40558</v>
      </c>
      <c r="C328" s="1">
        <v>1</v>
      </c>
      <c r="D328" s="1">
        <v>0</v>
      </c>
      <c r="E328" s="1">
        <v>1</v>
      </c>
      <c r="F328" s="1">
        <v>2</v>
      </c>
      <c r="G328" s="1" t="b">
        <v>0</v>
      </c>
      <c r="H328" s="1">
        <v>6</v>
      </c>
      <c r="I328" s="1">
        <v>2</v>
      </c>
      <c r="J328" s="1">
        <v>0.16</v>
      </c>
      <c r="M328" t="str">
        <f t="shared" si="41"/>
        <v>Unique</v>
      </c>
      <c r="N328" t="str">
        <f t="shared" si="42"/>
        <v>Spring</v>
      </c>
      <c r="O328" t="str">
        <f t="shared" si="40"/>
        <v>2011</v>
      </c>
      <c r="P328" t="str">
        <f t="shared" si="47"/>
        <v>Working Day</v>
      </c>
      <c r="Q328" t="str">
        <f t="shared" si="43"/>
        <v>Saturday</v>
      </c>
      <c r="R328" t="str">
        <f t="shared" si="44"/>
        <v>Cloudy</v>
      </c>
      <c r="S328" t="str">
        <f t="shared" si="45"/>
        <v>Morning</v>
      </c>
      <c r="T328" t="str">
        <f t="shared" si="46"/>
        <v>Cold</v>
      </c>
    </row>
    <row r="329" spans="1:20">
      <c r="A329" s="1">
        <v>328</v>
      </c>
      <c r="B329" s="2">
        <v>40558</v>
      </c>
      <c r="C329" s="1">
        <v>1</v>
      </c>
      <c r="D329" s="1">
        <v>0</v>
      </c>
      <c r="E329" s="1">
        <v>1</v>
      </c>
      <c r="F329" s="1">
        <v>3</v>
      </c>
      <c r="G329" s="1" t="b">
        <v>0</v>
      </c>
      <c r="H329" s="1">
        <v>6</v>
      </c>
      <c r="I329" s="1">
        <v>2</v>
      </c>
      <c r="J329" s="1">
        <v>0.16</v>
      </c>
      <c r="M329" t="str">
        <f t="shared" si="41"/>
        <v>Unique</v>
      </c>
      <c r="N329" t="str">
        <f t="shared" si="42"/>
        <v>Spring</v>
      </c>
      <c r="O329" t="str">
        <f t="shared" si="40"/>
        <v>2011</v>
      </c>
      <c r="P329" t="str">
        <f t="shared" si="47"/>
        <v>Working Day</v>
      </c>
      <c r="Q329" t="str">
        <f t="shared" si="43"/>
        <v>Saturday</v>
      </c>
      <c r="R329" t="str">
        <f t="shared" si="44"/>
        <v>Cloudy</v>
      </c>
      <c r="S329" t="str">
        <f t="shared" si="45"/>
        <v>Morning</v>
      </c>
      <c r="T329" t="str">
        <f t="shared" si="46"/>
        <v>Cold</v>
      </c>
    </row>
    <row r="330" spans="1:20">
      <c r="A330" s="1">
        <v>329</v>
      </c>
      <c r="B330" s="2">
        <v>40558</v>
      </c>
      <c r="C330" s="1">
        <v>1</v>
      </c>
      <c r="D330" s="1">
        <v>0</v>
      </c>
      <c r="E330" s="1">
        <v>1</v>
      </c>
      <c r="F330" s="1">
        <v>4</v>
      </c>
      <c r="G330" s="1" t="b">
        <v>0</v>
      </c>
      <c r="H330" s="1">
        <v>6</v>
      </c>
      <c r="I330" s="1">
        <v>2</v>
      </c>
      <c r="J330" s="1">
        <v>0.16</v>
      </c>
      <c r="M330" t="str">
        <f t="shared" si="41"/>
        <v>Unique</v>
      </c>
      <c r="N330" t="str">
        <f t="shared" si="42"/>
        <v>Spring</v>
      </c>
      <c r="O330" t="str">
        <f t="shared" si="40"/>
        <v>2011</v>
      </c>
      <c r="P330" t="str">
        <f t="shared" si="47"/>
        <v>Working Day</v>
      </c>
      <c r="Q330" t="str">
        <f t="shared" si="43"/>
        <v>Saturday</v>
      </c>
      <c r="R330" t="str">
        <f t="shared" si="44"/>
        <v>Cloudy</v>
      </c>
      <c r="S330" t="str">
        <f t="shared" si="45"/>
        <v>Morning</v>
      </c>
      <c r="T330" t="str">
        <f t="shared" si="46"/>
        <v>Cold</v>
      </c>
    </row>
    <row r="331" spans="1:20">
      <c r="A331" s="1">
        <v>330</v>
      </c>
      <c r="B331" s="2">
        <v>40558</v>
      </c>
      <c r="C331" s="1">
        <v>1</v>
      </c>
      <c r="D331" s="1">
        <v>0</v>
      </c>
      <c r="E331" s="1">
        <v>1</v>
      </c>
      <c r="F331" s="1">
        <v>5</v>
      </c>
      <c r="G331" s="1" t="b">
        <v>0</v>
      </c>
      <c r="H331" s="1">
        <v>6</v>
      </c>
      <c r="I331" s="1">
        <v>1</v>
      </c>
      <c r="J331" s="1">
        <v>0.16</v>
      </c>
      <c r="M331" t="str">
        <f t="shared" si="41"/>
        <v>Unique</v>
      </c>
      <c r="N331" t="str">
        <f t="shared" si="42"/>
        <v>Spring</v>
      </c>
      <c r="O331" t="str">
        <f t="shared" si="40"/>
        <v>2011</v>
      </c>
      <c r="P331" t="str">
        <f t="shared" si="47"/>
        <v>Working Day</v>
      </c>
      <c r="Q331" t="str">
        <f t="shared" si="43"/>
        <v>Saturday</v>
      </c>
      <c r="R331" t="str">
        <f t="shared" si="44"/>
        <v>Clear</v>
      </c>
      <c r="S331" t="str">
        <f t="shared" si="45"/>
        <v>Morning</v>
      </c>
      <c r="T331" t="str">
        <f t="shared" si="46"/>
        <v>Cold</v>
      </c>
    </row>
    <row r="332" spans="1:20">
      <c r="A332" s="1">
        <v>331</v>
      </c>
      <c r="B332" s="2">
        <v>40558</v>
      </c>
      <c r="C332" s="1">
        <v>1</v>
      </c>
      <c r="D332" s="1">
        <v>0</v>
      </c>
      <c r="E332" s="1">
        <v>1</v>
      </c>
      <c r="F332" s="1">
        <v>6</v>
      </c>
      <c r="G332" s="1" t="b">
        <v>0</v>
      </c>
      <c r="H332" s="1">
        <v>6</v>
      </c>
      <c r="I332" s="1">
        <v>1</v>
      </c>
      <c r="J332" s="1">
        <v>0.14000000000000001</v>
      </c>
      <c r="M332" t="str">
        <f t="shared" si="41"/>
        <v>Unique</v>
      </c>
      <c r="N332" t="str">
        <f t="shared" si="42"/>
        <v>Spring</v>
      </c>
      <c r="O332" t="str">
        <f t="shared" si="40"/>
        <v>2011</v>
      </c>
      <c r="P332" t="str">
        <f t="shared" si="47"/>
        <v>Working Day</v>
      </c>
      <c r="Q332" t="str">
        <f t="shared" si="43"/>
        <v>Saturday</v>
      </c>
      <c r="R332" t="str">
        <f t="shared" si="44"/>
        <v>Clear</v>
      </c>
      <c r="S332" t="str">
        <f t="shared" si="45"/>
        <v>Morning</v>
      </c>
      <c r="T332" t="str">
        <f t="shared" si="46"/>
        <v>Cold</v>
      </c>
    </row>
    <row r="333" spans="1:20">
      <c r="A333" s="1">
        <v>332</v>
      </c>
      <c r="B333" s="2">
        <v>40558</v>
      </c>
      <c r="C333" s="1">
        <v>1</v>
      </c>
      <c r="D333" s="1">
        <v>0</v>
      </c>
      <c r="E333" s="1">
        <v>1</v>
      </c>
      <c r="F333" s="1">
        <v>7</v>
      </c>
      <c r="G333" s="1" t="b">
        <v>0</v>
      </c>
      <c r="H333" s="1">
        <v>6</v>
      </c>
      <c r="I333" s="1">
        <v>1</v>
      </c>
      <c r="J333" s="1">
        <v>0.14000000000000001</v>
      </c>
      <c r="M333" t="str">
        <f t="shared" si="41"/>
        <v>Unique</v>
      </c>
      <c r="N333" t="str">
        <f t="shared" si="42"/>
        <v>Spring</v>
      </c>
      <c r="O333" t="str">
        <f t="shared" si="40"/>
        <v>2011</v>
      </c>
      <c r="P333" t="str">
        <f t="shared" si="47"/>
        <v>Working Day</v>
      </c>
      <c r="Q333" t="str">
        <f t="shared" si="43"/>
        <v>Saturday</v>
      </c>
      <c r="R333" t="str">
        <f t="shared" si="44"/>
        <v>Clear</v>
      </c>
      <c r="S333" t="str">
        <f t="shared" si="45"/>
        <v>Morning</v>
      </c>
      <c r="T333" t="str">
        <f t="shared" si="46"/>
        <v>Cold</v>
      </c>
    </row>
    <row r="334" spans="1:20">
      <c r="A334" s="1">
        <v>333</v>
      </c>
      <c r="B334" s="2">
        <v>40558</v>
      </c>
      <c r="C334" s="1">
        <v>1</v>
      </c>
      <c r="D334" s="1">
        <v>0</v>
      </c>
      <c r="E334" s="1">
        <v>1</v>
      </c>
      <c r="F334" s="1">
        <v>8</v>
      </c>
      <c r="G334" s="1" t="b">
        <v>0</v>
      </c>
      <c r="H334" s="1">
        <v>6</v>
      </c>
      <c r="I334" s="1">
        <v>1</v>
      </c>
      <c r="J334" s="1">
        <v>0.14000000000000001</v>
      </c>
      <c r="M334" t="str">
        <f t="shared" si="41"/>
        <v>Unique</v>
      </c>
      <c r="N334" t="str">
        <f t="shared" si="42"/>
        <v>Spring</v>
      </c>
      <c r="O334" t="str">
        <f t="shared" si="40"/>
        <v>2011</v>
      </c>
      <c r="P334" t="str">
        <f t="shared" si="47"/>
        <v>Working Day</v>
      </c>
      <c r="Q334" t="str">
        <f t="shared" si="43"/>
        <v>Saturday</v>
      </c>
      <c r="R334" t="str">
        <f t="shared" si="44"/>
        <v>Clear</v>
      </c>
      <c r="S334" t="str">
        <f t="shared" si="45"/>
        <v>Morning</v>
      </c>
      <c r="T334" t="str">
        <f t="shared" si="46"/>
        <v>Cold</v>
      </c>
    </row>
    <row r="335" spans="1:20">
      <c r="A335" s="1">
        <v>334</v>
      </c>
      <c r="B335" s="2">
        <v>40558</v>
      </c>
      <c r="C335" s="1">
        <v>1</v>
      </c>
      <c r="D335" s="1">
        <v>0</v>
      </c>
      <c r="E335" s="1">
        <v>1</v>
      </c>
      <c r="F335" s="1">
        <v>9</v>
      </c>
      <c r="G335" s="1" t="b">
        <v>0</v>
      </c>
      <c r="H335" s="1">
        <v>6</v>
      </c>
      <c r="I335" s="1">
        <v>1</v>
      </c>
      <c r="J335" s="1">
        <v>0.16</v>
      </c>
      <c r="M335" t="str">
        <f t="shared" si="41"/>
        <v>Unique</v>
      </c>
      <c r="N335" t="str">
        <f t="shared" si="42"/>
        <v>Spring</v>
      </c>
      <c r="O335" t="str">
        <f t="shared" si="40"/>
        <v>2011</v>
      </c>
      <c r="P335" t="str">
        <f t="shared" si="47"/>
        <v>Working Day</v>
      </c>
      <c r="Q335" t="str">
        <f t="shared" si="43"/>
        <v>Saturday</v>
      </c>
      <c r="R335" t="str">
        <f t="shared" si="44"/>
        <v>Clear</v>
      </c>
      <c r="S335" t="str">
        <f t="shared" si="45"/>
        <v>Morning</v>
      </c>
      <c r="T335" t="str">
        <f t="shared" si="46"/>
        <v>Cold</v>
      </c>
    </row>
    <row r="336" spans="1:20">
      <c r="A336" s="1">
        <v>335</v>
      </c>
      <c r="B336" s="2">
        <v>40558</v>
      </c>
      <c r="C336" s="1">
        <v>1</v>
      </c>
      <c r="D336" s="1">
        <v>0</v>
      </c>
      <c r="E336" s="1">
        <v>1</v>
      </c>
      <c r="F336" s="1">
        <v>10</v>
      </c>
      <c r="G336" s="1" t="b">
        <v>0</v>
      </c>
      <c r="H336" s="1">
        <v>6</v>
      </c>
      <c r="I336" s="1">
        <v>1</v>
      </c>
      <c r="J336" s="1">
        <v>0.18</v>
      </c>
      <c r="M336" t="str">
        <f t="shared" si="41"/>
        <v>Unique</v>
      </c>
      <c r="N336" t="str">
        <f t="shared" si="42"/>
        <v>Spring</v>
      </c>
      <c r="O336" t="str">
        <f t="shared" si="40"/>
        <v>2011</v>
      </c>
      <c r="P336" t="str">
        <f t="shared" si="47"/>
        <v>Working Day</v>
      </c>
      <c r="Q336" t="str">
        <f t="shared" si="43"/>
        <v>Saturday</v>
      </c>
      <c r="R336" t="str">
        <f t="shared" si="44"/>
        <v>Clear</v>
      </c>
      <c r="S336" t="str">
        <f t="shared" si="45"/>
        <v>Morning</v>
      </c>
      <c r="T336" t="str">
        <f t="shared" si="46"/>
        <v>Cold</v>
      </c>
    </row>
    <row r="337" spans="1:20">
      <c r="A337" s="1">
        <v>336</v>
      </c>
      <c r="B337" s="2">
        <v>40558</v>
      </c>
      <c r="C337" s="1">
        <v>1</v>
      </c>
      <c r="D337" s="1">
        <v>0</v>
      </c>
      <c r="E337" s="1">
        <v>1</v>
      </c>
      <c r="F337" s="1">
        <v>11</v>
      </c>
      <c r="G337" s="1" t="b">
        <v>0</v>
      </c>
      <c r="H337" s="1">
        <v>6</v>
      </c>
      <c r="I337" s="1">
        <v>1</v>
      </c>
      <c r="J337" s="1">
        <v>0.2</v>
      </c>
      <c r="M337" t="str">
        <f t="shared" si="41"/>
        <v>Unique</v>
      </c>
      <c r="N337" t="str">
        <f t="shared" si="42"/>
        <v>Spring</v>
      </c>
      <c r="O337" t="str">
        <f t="shared" si="40"/>
        <v>2011</v>
      </c>
      <c r="P337" t="str">
        <f t="shared" si="47"/>
        <v>Working Day</v>
      </c>
      <c r="Q337" t="str">
        <f t="shared" si="43"/>
        <v>Saturday</v>
      </c>
      <c r="R337" t="str">
        <f t="shared" si="44"/>
        <v>Clear</v>
      </c>
      <c r="S337" t="str">
        <f t="shared" si="45"/>
        <v>Morning</v>
      </c>
      <c r="T337" t="str">
        <f t="shared" si="46"/>
        <v>Cold</v>
      </c>
    </row>
    <row r="338" spans="1:20">
      <c r="A338" s="1">
        <v>337</v>
      </c>
      <c r="B338" s="2">
        <v>40558</v>
      </c>
      <c r="C338" s="1">
        <v>1</v>
      </c>
      <c r="D338" s="1">
        <v>0</v>
      </c>
      <c r="E338" s="1">
        <v>1</v>
      </c>
      <c r="F338" s="1">
        <v>12</v>
      </c>
      <c r="G338" s="1" t="b">
        <v>0</v>
      </c>
      <c r="H338" s="1">
        <v>6</v>
      </c>
      <c r="I338" s="1">
        <v>1</v>
      </c>
      <c r="J338" s="1">
        <v>0.24</v>
      </c>
      <c r="M338" t="str">
        <f t="shared" si="41"/>
        <v>Unique</v>
      </c>
      <c r="N338" t="str">
        <f t="shared" si="42"/>
        <v>Spring</v>
      </c>
      <c r="O338" t="str">
        <f t="shared" si="40"/>
        <v>2011</v>
      </c>
      <c r="P338" t="str">
        <f t="shared" si="47"/>
        <v>Working Day</v>
      </c>
      <c r="Q338" t="str">
        <f t="shared" si="43"/>
        <v>Saturday</v>
      </c>
      <c r="R338" t="str">
        <f t="shared" si="44"/>
        <v>Clear</v>
      </c>
      <c r="S338" t="str">
        <f t="shared" si="45"/>
        <v>Afternoon</v>
      </c>
      <c r="T338" t="str">
        <f t="shared" si="46"/>
        <v>Cold</v>
      </c>
    </row>
    <row r="339" spans="1:20">
      <c r="A339" s="1">
        <v>338</v>
      </c>
      <c r="B339" s="2">
        <v>40558</v>
      </c>
      <c r="C339" s="1">
        <v>1</v>
      </c>
      <c r="D339" s="1">
        <v>0</v>
      </c>
      <c r="E339" s="1">
        <v>1</v>
      </c>
      <c r="F339" s="1">
        <v>13</v>
      </c>
      <c r="G339" s="1" t="b">
        <v>0</v>
      </c>
      <c r="H339" s="1">
        <v>6</v>
      </c>
      <c r="I339" s="1">
        <v>1</v>
      </c>
      <c r="J339" s="1">
        <v>0.28000000000000003</v>
      </c>
      <c r="M339" t="str">
        <f t="shared" si="41"/>
        <v>Unique</v>
      </c>
      <c r="N339" t="str">
        <f t="shared" si="42"/>
        <v>Spring</v>
      </c>
      <c r="O339" t="str">
        <f t="shared" si="40"/>
        <v>2011</v>
      </c>
      <c r="P339" t="str">
        <f t="shared" si="47"/>
        <v>Working Day</v>
      </c>
      <c r="Q339" t="str">
        <f t="shared" si="43"/>
        <v>Saturday</v>
      </c>
      <c r="R339" t="str">
        <f t="shared" si="44"/>
        <v>Clear</v>
      </c>
      <c r="S339" t="str">
        <f t="shared" si="45"/>
        <v>Afternoon</v>
      </c>
      <c r="T339" t="str">
        <f t="shared" si="46"/>
        <v>Cold</v>
      </c>
    </row>
    <row r="340" spans="1:20">
      <c r="A340" s="1">
        <v>339</v>
      </c>
      <c r="B340" s="2">
        <v>40558</v>
      </c>
      <c r="C340" s="1">
        <v>1</v>
      </c>
      <c r="D340" s="1">
        <v>0</v>
      </c>
      <c r="E340" s="1">
        <v>1</v>
      </c>
      <c r="F340" s="1">
        <v>14</v>
      </c>
      <c r="G340" s="1" t="b">
        <v>0</v>
      </c>
      <c r="H340" s="1">
        <v>6</v>
      </c>
      <c r="I340" s="1">
        <v>1</v>
      </c>
      <c r="J340" s="1">
        <v>0.3</v>
      </c>
      <c r="M340" t="str">
        <f t="shared" si="41"/>
        <v>Unique</v>
      </c>
      <c r="N340" t="str">
        <f t="shared" si="42"/>
        <v>Spring</v>
      </c>
      <c r="O340" t="str">
        <f t="shared" si="40"/>
        <v>2011</v>
      </c>
      <c r="P340" t="str">
        <f t="shared" si="47"/>
        <v>Working Day</v>
      </c>
      <c r="Q340" t="str">
        <f t="shared" si="43"/>
        <v>Saturday</v>
      </c>
      <c r="R340" t="str">
        <f t="shared" si="44"/>
        <v>Clear</v>
      </c>
      <c r="S340" t="str">
        <f t="shared" si="45"/>
        <v>Afternoon</v>
      </c>
      <c r="T340" t="str">
        <f t="shared" si="46"/>
        <v>Normal</v>
      </c>
    </row>
    <row r="341" spans="1:20">
      <c r="A341" s="1">
        <v>340</v>
      </c>
      <c r="B341" s="2">
        <v>40558</v>
      </c>
      <c r="C341" s="1">
        <v>1</v>
      </c>
      <c r="D341" s="1">
        <v>0</v>
      </c>
      <c r="E341" s="1">
        <v>1</v>
      </c>
      <c r="F341" s="1">
        <v>15</v>
      </c>
      <c r="G341" s="1" t="b">
        <v>0</v>
      </c>
      <c r="H341" s="1">
        <v>6</v>
      </c>
      <c r="I341" s="1">
        <v>2</v>
      </c>
      <c r="J341" s="1">
        <v>0.32</v>
      </c>
      <c r="M341" t="str">
        <f t="shared" si="41"/>
        <v>Unique</v>
      </c>
      <c r="N341" t="str">
        <f t="shared" si="42"/>
        <v>Spring</v>
      </c>
      <c r="O341" t="str">
        <f t="shared" si="40"/>
        <v>2011</v>
      </c>
      <c r="P341" t="str">
        <f t="shared" si="47"/>
        <v>Working Day</v>
      </c>
      <c r="Q341" t="str">
        <f t="shared" si="43"/>
        <v>Saturday</v>
      </c>
      <c r="R341" t="str">
        <f t="shared" si="44"/>
        <v>Cloudy</v>
      </c>
      <c r="S341" t="str">
        <f t="shared" si="45"/>
        <v>Afternoon</v>
      </c>
      <c r="T341" t="str">
        <f t="shared" si="46"/>
        <v>Normal</v>
      </c>
    </row>
    <row r="342" spans="1:20">
      <c r="A342" s="1">
        <v>341</v>
      </c>
      <c r="B342" s="2">
        <v>40558</v>
      </c>
      <c r="C342" s="1">
        <v>1</v>
      </c>
      <c r="D342" s="1">
        <v>0</v>
      </c>
      <c r="E342" s="1">
        <v>1</v>
      </c>
      <c r="F342" s="1">
        <v>16</v>
      </c>
      <c r="G342" s="1" t="b">
        <v>0</v>
      </c>
      <c r="H342" s="1">
        <v>6</v>
      </c>
      <c r="I342" s="1">
        <v>2</v>
      </c>
      <c r="J342" s="1">
        <v>0.34</v>
      </c>
      <c r="M342" t="str">
        <f t="shared" si="41"/>
        <v>Unique</v>
      </c>
      <c r="N342" t="str">
        <f t="shared" si="42"/>
        <v>Spring</v>
      </c>
      <c r="O342" t="str">
        <f t="shared" si="40"/>
        <v>2011</v>
      </c>
      <c r="P342" t="str">
        <f t="shared" si="47"/>
        <v>Working Day</v>
      </c>
      <c r="Q342" t="str">
        <f t="shared" si="43"/>
        <v>Saturday</v>
      </c>
      <c r="R342" t="str">
        <f t="shared" si="44"/>
        <v>Cloudy</v>
      </c>
      <c r="S342" t="str">
        <f t="shared" si="45"/>
        <v>Afternoon</v>
      </c>
      <c r="T342" t="str">
        <f t="shared" si="46"/>
        <v>Normal</v>
      </c>
    </row>
    <row r="343" spans="1:20">
      <c r="A343" s="1">
        <v>342</v>
      </c>
      <c r="B343" s="2">
        <v>40558</v>
      </c>
      <c r="C343" s="1">
        <v>1</v>
      </c>
      <c r="D343" s="1">
        <v>0</v>
      </c>
      <c r="E343" s="1">
        <v>1</v>
      </c>
      <c r="F343" s="1">
        <v>17</v>
      </c>
      <c r="G343" s="1" t="b">
        <v>0</v>
      </c>
      <c r="H343" s="1">
        <v>6</v>
      </c>
      <c r="I343" s="1">
        <v>2</v>
      </c>
      <c r="J343" s="1">
        <v>0.32</v>
      </c>
      <c r="M343" t="str">
        <f t="shared" si="41"/>
        <v>Unique</v>
      </c>
      <c r="N343" t="str">
        <f t="shared" si="42"/>
        <v>Spring</v>
      </c>
      <c r="O343" t="str">
        <f t="shared" si="40"/>
        <v>2011</v>
      </c>
      <c r="P343" t="str">
        <f t="shared" si="47"/>
        <v>Working Day</v>
      </c>
      <c r="Q343" t="str">
        <f t="shared" si="43"/>
        <v>Saturday</v>
      </c>
      <c r="R343" t="str">
        <f t="shared" si="44"/>
        <v>Cloudy</v>
      </c>
      <c r="S343" t="str">
        <f t="shared" si="45"/>
        <v>Afternoon</v>
      </c>
      <c r="T343" t="str">
        <f t="shared" si="46"/>
        <v>Normal</v>
      </c>
    </row>
    <row r="344" spans="1:20">
      <c r="A344" s="1">
        <v>343</v>
      </c>
      <c r="B344" s="2">
        <v>40558</v>
      </c>
      <c r="C344" s="1">
        <v>1</v>
      </c>
      <c r="D344" s="1">
        <v>0</v>
      </c>
      <c r="E344" s="1">
        <v>1</v>
      </c>
      <c r="F344" s="1">
        <v>18</v>
      </c>
      <c r="G344" s="1" t="b">
        <v>0</v>
      </c>
      <c r="H344" s="1">
        <v>6</v>
      </c>
      <c r="I344" s="1">
        <v>2</v>
      </c>
      <c r="J344" s="1">
        <v>0.3</v>
      </c>
      <c r="M344" t="str">
        <f t="shared" si="41"/>
        <v>Unique</v>
      </c>
      <c r="N344" t="str">
        <f t="shared" si="42"/>
        <v>Spring</v>
      </c>
      <c r="O344" t="str">
        <f t="shared" si="40"/>
        <v>2011</v>
      </c>
      <c r="P344" t="str">
        <f t="shared" si="47"/>
        <v>Working Day</v>
      </c>
      <c r="Q344" t="str">
        <f t="shared" si="43"/>
        <v>Saturday</v>
      </c>
      <c r="R344" t="str">
        <f t="shared" si="44"/>
        <v>Cloudy</v>
      </c>
      <c r="S344" t="str">
        <f t="shared" si="45"/>
        <v>Night</v>
      </c>
      <c r="T344" t="str">
        <f t="shared" si="46"/>
        <v>Normal</v>
      </c>
    </row>
    <row r="345" spans="1:20">
      <c r="A345" s="1">
        <v>344</v>
      </c>
      <c r="B345" s="2">
        <v>40558</v>
      </c>
      <c r="C345" s="1">
        <v>1</v>
      </c>
      <c r="D345" s="1">
        <v>0</v>
      </c>
      <c r="E345" s="1">
        <v>1</v>
      </c>
      <c r="F345" s="1">
        <v>19</v>
      </c>
      <c r="G345" s="1" t="b">
        <v>0</v>
      </c>
      <c r="H345" s="1">
        <v>6</v>
      </c>
      <c r="I345" s="1">
        <v>2</v>
      </c>
      <c r="J345" s="1">
        <v>0.32</v>
      </c>
      <c r="M345" t="str">
        <f t="shared" si="41"/>
        <v>Unique</v>
      </c>
      <c r="N345" t="str">
        <f t="shared" si="42"/>
        <v>Spring</v>
      </c>
      <c r="O345" t="str">
        <f t="shared" si="40"/>
        <v>2011</v>
      </c>
      <c r="P345" t="str">
        <f t="shared" si="47"/>
        <v>Working Day</v>
      </c>
      <c r="Q345" t="str">
        <f t="shared" si="43"/>
        <v>Saturday</v>
      </c>
      <c r="R345" t="str">
        <f t="shared" si="44"/>
        <v>Cloudy</v>
      </c>
      <c r="S345" t="str">
        <f t="shared" si="45"/>
        <v>Night</v>
      </c>
      <c r="T345" t="str">
        <f t="shared" si="46"/>
        <v>Normal</v>
      </c>
    </row>
    <row r="346" spans="1:20">
      <c r="A346" s="1">
        <v>345</v>
      </c>
      <c r="B346" s="2">
        <v>40558</v>
      </c>
      <c r="C346" s="1">
        <v>1</v>
      </c>
      <c r="D346" s="1">
        <v>0</v>
      </c>
      <c r="E346" s="1">
        <v>1</v>
      </c>
      <c r="F346" s="1">
        <v>20</v>
      </c>
      <c r="G346" s="1" t="b">
        <v>0</v>
      </c>
      <c r="H346" s="1">
        <v>6</v>
      </c>
      <c r="I346" s="1">
        <v>2</v>
      </c>
      <c r="J346" s="1">
        <v>0.32</v>
      </c>
      <c r="M346" t="str">
        <f t="shared" si="41"/>
        <v>Unique</v>
      </c>
      <c r="N346" t="str">
        <f t="shared" si="42"/>
        <v>Spring</v>
      </c>
      <c r="O346" t="str">
        <f t="shared" si="40"/>
        <v>2011</v>
      </c>
      <c r="P346" t="str">
        <f t="shared" si="47"/>
        <v>Working Day</v>
      </c>
      <c r="Q346" t="str">
        <f t="shared" si="43"/>
        <v>Saturday</v>
      </c>
      <c r="R346" t="str">
        <f t="shared" si="44"/>
        <v>Cloudy</v>
      </c>
      <c r="S346" t="str">
        <f t="shared" si="45"/>
        <v>Night</v>
      </c>
      <c r="T346" t="str">
        <f t="shared" si="46"/>
        <v>Normal</v>
      </c>
    </row>
    <row r="347" spans="1:20">
      <c r="A347" s="1">
        <v>346</v>
      </c>
      <c r="B347" s="2">
        <v>40558</v>
      </c>
      <c r="C347" s="1">
        <v>1</v>
      </c>
      <c r="D347" s="1">
        <v>0</v>
      </c>
      <c r="E347" s="1">
        <v>1</v>
      </c>
      <c r="F347" s="1">
        <v>21</v>
      </c>
      <c r="G347" s="1" t="b">
        <v>0</v>
      </c>
      <c r="H347" s="1">
        <v>6</v>
      </c>
      <c r="I347" s="1">
        <v>2</v>
      </c>
      <c r="J347" s="1">
        <v>0.32</v>
      </c>
      <c r="M347" t="str">
        <f t="shared" si="41"/>
        <v>Unique</v>
      </c>
      <c r="N347" t="str">
        <f t="shared" si="42"/>
        <v>Spring</v>
      </c>
      <c r="O347" t="str">
        <f t="shared" si="40"/>
        <v>2011</v>
      </c>
      <c r="P347" t="str">
        <f t="shared" si="47"/>
        <v>Working Day</v>
      </c>
      <c r="Q347" t="str">
        <f t="shared" si="43"/>
        <v>Saturday</v>
      </c>
      <c r="R347" t="str">
        <f t="shared" si="44"/>
        <v>Cloudy</v>
      </c>
      <c r="S347" t="str">
        <f t="shared" si="45"/>
        <v>Night</v>
      </c>
      <c r="T347" t="str">
        <f t="shared" si="46"/>
        <v>Normal</v>
      </c>
    </row>
    <row r="348" spans="1:20">
      <c r="A348" s="1">
        <v>347</v>
      </c>
      <c r="B348" s="2">
        <v>40558</v>
      </c>
      <c r="C348" s="1">
        <v>1</v>
      </c>
      <c r="D348" s="1">
        <v>0</v>
      </c>
      <c r="E348" s="1">
        <v>1</v>
      </c>
      <c r="F348" s="1">
        <v>22</v>
      </c>
      <c r="G348" s="1" t="b">
        <v>0</v>
      </c>
      <c r="H348" s="1">
        <v>6</v>
      </c>
      <c r="I348" s="1">
        <v>2</v>
      </c>
      <c r="J348" s="1">
        <v>0.3</v>
      </c>
      <c r="M348" t="str">
        <f t="shared" si="41"/>
        <v>Unique</v>
      </c>
      <c r="N348" t="str">
        <f t="shared" si="42"/>
        <v>Spring</v>
      </c>
      <c r="O348" t="str">
        <f t="shared" si="40"/>
        <v>2011</v>
      </c>
      <c r="P348" t="str">
        <f t="shared" si="47"/>
        <v>Working Day</v>
      </c>
      <c r="Q348" t="str">
        <f t="shared" si="43"/>
        <v>Saturday</v>
      </c>
      <c r="R348" t="str">
        <f t="shared" si="44"/>
        <v>Cloudy</v>
      </c>
      <c r="S348" t="str">
        <f t="shared" si="45"/>
        <v>Night</v>
      </c>
      <c r="T348" t="str">
        <f t="shared" si="46"/>
        <v>Normal</v>
      </c>
    </row>
    <row r="349" spans="1:20">
      <c r="A349" s="1">
        <v>348</v>
      </c>
      <c r="B349" s="2">
        <v>40558</v>
      </c>
      <c r="C349" s="1">
        <v>1</v>
      </c>
      <c r="D349" s="1">
        <v>0</v>
      </c>
      <c r="E349" s="1">
        <v>1</v>
      </c>
      <c r="F349" s="1">
        <v>23</v>
      </c>
      <c r="G349" s="1" t="b">
        <v>0</v>
      </c>
      <c r="H349" s="1">
        <v>6</v>
      </c>
      <c r="I349" s="1">
        <v>1</v>
      </c>
      <c r="J349" s="1">
        <v>0.3</v>
      </c>
      <c r="M349" t="str">
        <f t="shared" si="41"/>
        <v>Unique</v>
      </c>
      <c r="N349" t="str">
        <f t="shared" si="42"/>
        <v>Spring</v>
      </c>
      <c r="O349" t="str">
        <f t="shared" si="40"/>
        <v>2011</v>
      </c>
      <c r="P349" t="str">
        <f t="shared" si="47"/>
        <v>Working Day</v>
      </c>
      <c r="Q349" t="str">
        <f t="shared" si="43"/>
        <v>Saturday</v>
      </c>
      <c r="R349" t="str">
        <f t="shared" si="44"/>
        <v>Clear</v>
      </c>
      <c r="S349" t="str">
        <f t="shared" si="45"/>
        <v>Night</v>
      </c>
      <c r="T349" t="str">
        <f t="shared" si="46"/>
        <v>Normal</v>
      </c>
    </row>
    <row r="350" spans="1:20">
      <c r="A350" s="1">
        <v>349</v>
      </c>
      <c r="B350" s="2">
        <v>40559</v>
      </c>
      <c r="C350" s="1">
        <v>1</v>
      </c>
      <c r="D350" s="1">
        <v>0</v>
      </c>
      <c r="E350" s="1">
        <v>1</v>
      </c>
      <c r="F350" s="1">
        <v>0</v>
      </c>
      <c r="G350" s="1" t="b">
        <v>0</v>
      </c>
      <c r="H350" s="1">
        <v>0</v>
      </c>
      <c r="I350" s="1">
        <v>1</v>
      </c>
      <c r="J350" s="1">
        <v>0.26</v>
      </c>
      <c r="M350" t="str">
        <f t="shared" si="41"/>
        <v>Unique</v>
      </c>
      <c r="N350" t="str">
        <f t="shared" si="42"/>
        <v>Spring</v>
      </c>
      <c r="O350" t="str">
        <f t="shared" si="40"/>
        <v>2011</v>
      </c>
      <c r="P350" t="str">
        <f t="shared" si="47"/>
        <v>Working Day</v>
      </c>
      <c r="Q350" t="str">
        <f t="shared" si="43"/>
        <v>Sunday</v>
      </c>
      <c r="R350" t="str">
        <f t="shared" si="44"/>
        <v>Clear</v>
      </c>
      <c r="S350" t="str">
        <f t="shared" si="45"/>
        <v>Morning</v>
      </c>
      <c r="T350" t="str">
        <f t="shared" si="46"/>
        <v>Cold</v>
      </c>
    </row>
    <row r="351" spans="1:20">
      <c r="A351" s="1">
        <v>350</v>
      </c>
      <c r="B351" s="2">
        <v>40559</v>
      </c>
      <c r="C351" s="1">
        <v>1</v>
      </c>
      <c r="D351" s="1">
        <v>0</v>
      </c>
      <c r="E351" s="1">
        <v>1</v>
      </c>
      <c r="F351" s="1">
        <v>1</v>
      </c>
      <c r="G351" s="1" t="b">
        <v>0</v>
      </c>
      <c r="H351" s="1">
        <v>0</v>
      </c>
      <c r="I351" s="1">
        <v>1</v>
      </c>
      <c r="J351" s="1">
        <v>0.26</v>
      </c>
      <c r="M351" t="str">
        <f t="shared" si="41"/>
        <v>Unique</v>
      </c>
      <c r="N351" t="str">
        <f t="shared" si="42"/>
        <v>Spring</v>
      </c>
      <c r="O351" t="str">
        <f t="shared" si="40"/>
        <v>2011</v>
      </c>
      <c r="P351" t="str">
        <f t="shared" si="47"/>
        <v>Working Day</v>
      </c>
      <c r="Q351" t="str">
        <f t="shared" si="43"/>
        <v>Sunday</v>
      </c>
      <c r="R351" t="str">
        <f t="shared" si="44"/>
        <v>Clear</v>
      </c>
      <c r="S351" t="str">
        <f t="shared" si="45"/>
        <v>Morning</v>
      </c>
      <c r="T351" t="str">
        <f t="shared" si="46"/>
        <v>Cold</v>
      </c>
    </row>
    <row r="352" spans="1:20">
      <c r="A352" s="1">
        <v>351</v>
      </c>
      <c r="B352" s="2">
        <v>40559</v>
      </c>
      <c r="C352" s="1">
        <v>1</v>
      </c>
      <c r="D352" s="1">
        <v>0</v>
      </c>
      <c r="E352" s="1">
        <v>1</v>
      </c>
      <c r="F352" s="1">
        <v>2</v>
      </c>
      <c r="G352" s="1" t="b">
        <v>0</v>
      </c>
      <c r="H352" s="1">
        <v>0</v>
      </c>
      <c r="I352" s="1">
        <v>1</v>
      </c>
      <c r="J352" s="1">
        <v>0.26</v>
      </c>
      <c r="M352" t="str">
        <f t="shared" si="41"/>
        <v>Unique</v>
      </c>
      <c r="N352" t="str">
        <f t="shared" si="42"/>
        <v>Spring</v>
      </c>
      <c r="O352" t="str">
        <f t="shared" si="40"/>
        <v>2011</v>
      </c>
      <c r="P352" t="str">
        <f t="shared" si="47"/>
        <v>Working Day</v>
      </c>
      <c r="Q352" t="str">
        <f t="shared" si="43"/>
        <v>Sunday</v>
      </c>
      <c r="R352" t="str">
        <f t="shared" si="44"/>
        <v>Clear</v>
      </c>
      <c r="S352" t="str">
        <f t="shared" si="45"/>
        <v>Morning</v>
      </c>
      <c r="T352" t="str">
        <f t="shared" si="46"/>
        <v>Cold</v>
      </c>
    </row>
    <row r="353" spans="1:20">
      <c r="A353" s="1">
        <v>352</v>
      </c>
      <c r="B353" s="2">
        <v>40559</v>
      </c>
      <c r="C353" s="1">
        <v>1</v>
      </c>
      <c r="D353" s="1">
        <v>0</v>
      </c>
      <c r="E353" s="1">
        <v>1</v>
      </c>
      <c r="F353" s="1">
        <v>3</v>
      </c>
      <c r="G353" s="1" t="b">
        <v>0</v>
      </c>
      <c r="H353" s="1">
        <v>0</v>
      </c>
      <c r="I353" s="1">
        <v>1</v>
      </c>
      <c r="J353" s="1">
        <v>0.22</v>
      </c>
      <c r="M353" t="str">
        <f t="shared" si="41"/>
        <v>Unique</v>
      </c>
      <c r="N353" t="str">
        <f t="shared" si="42"/>
        <v>Spring</v>
      </c>
      <c r="O353" t="str">
        <f t="shared" si="40"/>
        <v>2011</v>
      </c>
      <c r="P353" t="str">
        <f t="shared" si="47"/>
        <v>Working Day</v>
      </c>
      <c r="Q353" t="str">
        <f t="shared" si="43"/>
        <v>Sunday</v>
      </c>
      <c r="R353" t="str">
        <f t="shared" si="44"/>
        <v>Clear</v>
      </c>
      <c r="S353" t="str">
        <f t="shared" si="45"/>
        <v>Morning</v>
      </c>
      <c r="T353" t="str">
        <f t="shared" si="46"/>
        <v>Cold</v>
      </c>
    </row>
    <row r="354" spans="1:20">
      <c r="A354" s="1">
        <v>353</v>
      </c>
      <c r="B354" s="2">
        <v>40559</v>
      </c>
      <c r="C354" s="1">
        <v>1</v>
      </c>
      <c r="D354" s="1">
        <v>0</v>
      </c>
      <c r="E354" s="1">
        <v>1</v>
      </c>
      <c r="F354" s="1">
        <v>4</v>
      </c>
      <c r="G354" s="1" t="b">
        <v>0</v>
      </c>
      <c r="H354" s="1">
        <v>0</v>
      </c>
      <c r="I354" s="1">
        <v>1</v>
      </c>
      <c r="J354" s="1">
        <v>0.26</v>
      </c>
      <c r="M354" t="str">
        <f t="shared" si="41"/>
        <v>Unique</v>
      </c>
      <c r="N354" t="str">
        <f t="shared" si="42"/>
        <v>Spring</v>
      </c>
      <c r="O354" t="str">
        <f t="shared" si="40"/>
        <v>2011</v>
      </c>
      <c r="P354" t="str">
        <f t="shared" si="47"/>
        <v>Working Day</v>
      </c>
      <c r="Q354" t="str">
        <f t="shared" si="43"/>
        <v>Sunday</v>
      </c>
      <c r="R354" t="str">
        <f t="shared" si="44"/>
        <v>Clear</v>
      </c>
      <c r="S354" t="str">
        <f t="shared" si="45"/>
        <v>Morning</v>
      </c>
      <c r="T354" t="str">
        <f t="shared" si="46"/>
        <v>Cold</v>
      </c>
    </row>
    <row r="355" spans="1:20">
      <c r="A355" s="1">
        <v>354</v>
      </c>
      <c r="B355" s="2">
        <v>40559</v>
      </c>
      <c r="C355" s="1">
        <v>1</v>
      </c>
      <c r="D355" s="1">
        <v>0</v>
      </c>
      <c r="E355" s="1">
        <v>1</v>
      </c>
      <c r="F355" s="1">
        <v>5</v>
      </c>
      <c r="G355" s="1" t="b">
        <v>0</v>
      </c>
      <c r="H355" s="1">
        <v>0</v>
      </c>
      <c r="I355" s="1">
        <v>2</v>
      </c>
      <c r="J355" s="1">
        <v>0.26</v>
      </c>
      <c r="M355" t="str">
        <f t="shared" si="41"/>
        <v>Unique</v>
      </c>
      <c r="N355" t="str">
        <f t="shared" si="42"/>
        <v>Spring</v>
      </c>
      <c r="O355" t="str">
        <f t="shared" si="40"/>
        <v>2011</v>
      </c>
      <c r="P355" t="str">
        <f t="shared" si="47"/>
        <v>Working Day</v>
      </c>
      <c r="Q355" t="str">
        <f t="shared" si="43"/>
        <v>Sunday</v>
      </c>
      <c r="R355" t="str">
        <f t="shared" si="44"/>
        <v>Cloudy</v>
      </c>
      <c r="S355" t="str">
        <f t="shared" si="45"/>
        <v>Morning</v>
      </c>
      <c r="T355" t="str">
        <f t="shared" si="46"/>
        <v>Cold</v>
      </c>
    </row>
    <row r="356" spans="1:20">
      <c r="A356" s="1">
        <v>355</v>
      </c>
      <c r="B356" s="2">
        <v>40559</v>
      </c>
      <c r="C356" s="1">
        <v>1</v>
      </c>
      <c r="D356" s="1">
        <v>0</v>
      </c>
      <c r="E356" s="1">
        <v>1</v>
      </c>
      <c r="F356" s="1">
        <v>6</v>
      </c>
      <c r="G356" s="1" t="b">
        <v>0</v>
      </c>
      <c r="H356" s="1">
        <v>0</v>
      </c>
      <c r="I356" s="1">
        <v>2</v>
      </c>
      <c r="J356" s="1">
        <v>0.26</v>
      </c>
      <c r="M356" t="str">
        <f t="shared" si="41"/>
        <v>Unique</v>
      </c>
      <c r="N356" t="str">
        <f t="shared" si="42"/>
        <v>Spring</v>
      </c>
      <c r="O356" t="str">
        <f t="shared" si="40"/>
        <v>2011</v>
      </c>
      <c r="P356" t="str">
        <f t="shared" si="47"/>
        <v>Working Day</v>
      </c>
      <c r="Q356" t="str">
        <f t="shared" si="43"/>
        <v>Sunday</v>
      </c>
      <c r="R356" t="str">
        <f t="shared" si="44"/>
        <v>Cloudy</v>
      </c>
      <c r="S356" t="str">
        <f t="shared" si="45"/>
        <v>Morning</v>
      </c>
      <c r="T356" t="str">
        <f t="shared" si="46"/>
        <v>Cold</v>
      </c>
    </row>
    <row r="357" spans="1:20">
      <c r="A357" s="1">
        <v>356</v>
      </c>
      <c r="B357" s="2">
        <v>40559</v>
      </c>
      <c r="C357" s="1">
        <v>1</v>
      </c>
      <c r="D357" s="1">
        <v>0</v>
      </c>
      <c r="E357" s="1">
        <v>1</v>
      </c>
      <c r="F357" s="1">
        <v>7</v>
      </c>
      <c r="G357" s="1" t="b">
        <v>0</v>
      </c>
      <c r="H357" s="1">
        <v>0</v>
      </c>
      <c r="I357" s="1">
        <v>2</v>
      </c>
      <c r="J357" s="1">
        <v>0.24</v>
      </c>
      <c r="M357" t="str">
        <f t="shared" si="41"/>
        <v>Unique</v>
      </c>
      <c r="N357" t="str">
        <f t="shared" si="42"/>
        <v>Spring</v>
      </c>
      <c r="O357" t="str">
        <f t="shared" si="40"/>
        <v>2011</v>
      </c>
      <c r="P357" t="str">
        <f t="shared" si="47"/>
        <v>Working Day</v>
      </c>
      <c r="Q357" t="str">
        <f t="shared" si="43"/>
        <v>Sunday</v>
      </c>
      <c r="R357" t="str">
        <f t="shared" si="44"/>
        <v>Cloudy</v>
      </c>
      <c r="S357" t="str">
        <f t="shared" si="45"/>
        <v>Morning</v>
      </c>
      <c r="T357" t="str">
        <f t="shared" si="46"/>
        <v>Cold</v>
      </c>
    </row>
    <row r="358" spans="1:20">
      <c r="A358" s="1">
        <v>357</v>
      </c>
      <c r="B358" s="2">
        <v>40559</v>
      </c>
      <c r="C358" s="1">
        <v>1</v>
      </c>
      <c r="D358" s="1">
        <v>0</v>
      </c>
      <c r="E358" s="1">
        <v>1</v>
      </c>
      <c r="F358" s="1">
        <v>8</v>
      </c>
      <c r="G358" s="1" t="b">
        <v>0</v>
      </c>
      <c r="H358" s="1">
        <v>0</v>
      </c>
      <c r="I358" s="1">
        <v>1</v>
      </c>
      <c r="J358" s="1">
        <v>0.22</v>
      </c>
      <c r="M358" t="str">
        <f t="shared" si="41"/>
        <v>Unique</v>
      </c>
      <c r="N358" t="str">
        <f t="shared" si="42"/>
        <v>Spring</v>
      </c>
      <c r="O358" t="str">
        <f t="shared" si="40"/>
        <v>2011</v>
      </c>
      <c r="P358" t="str">
        <f t="shared" si="47"/>
        <v>Working Day</v>
      </c>
      <c r="Q358" t="str">
        <f t="shared" si="43"/>
        <v>Sunday</v>
      </c>
      <c r="R358" t="str">
        <f t="shared" si="44"/>
        <v>Clear</v>
      </c>
      <c r="S358" t="str">
        <f t="shared" si="45"/>
        <v>Morning</v>
      </c>
      <c r="T358" t="str">
        <f t="shared" si="46"/>
        <v>Cold</v>
      </c>
    </row>
    <row r="359" spans="1:20">
      <c r="A359" s="1">
        <v>358</v>
      </c>
      <c r="B359" s="2">
        <v>40559</v>
      </c>
      <c r="C359" s="1">
        <v>1</v>
      </c>
      <c r="D359" s="1">
        <v>0</v>
      </c>
      <c r="E359" s="1">
        <v>1</v>
      </c>
      <c r="F359" s="1">
        <v>9</v>
      </c>
      <c r="G359" s="1" t="b">
        <v>0</v>
      </c>
      <c r="H359" s="1">
        <v>0</v>
      </c>
      <c r="I359" s="1">
        <v>1</v>
      </c>
      <c r="J359" s="1">
        <v>0.22</v>
      </c>
      <c r="M359" t="str">
        <f t="shared" si="41"/>
        <v>Unique</v>
      </c>
      <c r="N359" t="str">
        <f t="shared" si="42"/>
        <v>Spring</v>
      </c>
      <c r="O359" t="str">
        <f t="shared" si="40"/>
        <v>2011</v>
      </c>
      <c r="P359" t="str">
        <f t="shared" si="47"/>
        <v>Working Day</v>
      </c>
      <c r="Q359" t="str">
        <f t="shared" si="43"/>
        <v>Sunday</v>
      </c>
      <c r="R359" t="str">
        <f t="shared" si="44"/>
        <v>Clear</v>
      </c>
      <c r="S359" t="str">
        <f t="shared" si="45"/>
        <v>Morning</v>
      </c>
      <c r="T359" t="str">
        <f t="shared" si="46"/>
        <v>Cold</v>
      </c>
    </row>
    <row r="360" spans="1:20">
      <c r="A360" s="1">
        <v>359</v>
      </c>
      <c r="B360" s="2">
        <v>40559</v>
      </c>
      <c r="C360" s="1">
        <v>1</v>
      </c>
      <c r="D360" s="1">
        <v>0</v>
      </c>
      <c r="E360" s="1">
        <v>1</v>
      </c>
      <c r="F360" s="1">
        <v>10</v>
      </c>
      <c r="G360" s="1" t="b">
        <v>0</v>
      </c>
      <c r="H360" s="1">
        <v>0</v>
      </c>
      <c r="I360" s="1">
        <v>1</v>
      </c>
      <c r="J360" s="1">
        <v>0.22</v>
      </c>
      <c r="M360" t="str">
        <f t="shared" si="41"/>
        <v>Unique</v>
      </c>
      <c r="N360" t="str">
        <f t="shared" si="42"/>
        <v>Spring</v>
      </c>
      <c r="O360" t="str">
        <f t="shared" si="40"/>
        <v>2011</v>
      </c>
      <c r="P360" t="str">
        <f t="shared" si="47"/>
        <v>Working Day</v>
      </c>
      <c r="Q360" t="str">
        <f t="shared" si="43"/>
        <v>Sunday</v>
      </c>
      <c r="R360" t="str">
        <f t="shared" si="44"/>
        <v>Clear</v>
      </c>
      <c r="S360" t="str">
        <f t="shared" si="45"/>
        <v>Morning</v>
      </c>
      <c r="T360" t="str">
        <f t="shared" si="46"/>
        <v>Cold</v>
      </c>
    </row>
    <row r="361" spans="1:20">
      <c r="A361" s="1">
        <v>360</v>
      </c>
      <c r="B361" s="2">
        <v>40559</v>
      </c>
      <c r="C361" s="1">
        <v>1</v>
      </c>
      <c r="D361" s="1">
        <v>0</v>
      </c>
      <c r="E361" s="1">
        <v>1</v>
      </c>
      <c r="F361" s="1">
        <v>11</v>
      </c>
      <c r="G361" s="1" t="b">
        <v>0</v>
      </c>
      <c r="H361" s="1">
        <v>0</v>
      </c>
      <c r="I361" s="1">
        <v>1</v>
      </c>
      <c r="J361" s="1">
        <v>0.24</v>
      </c>
      <c r="M361" t="str">
        <f t="shared" si="41"/>
        <v>Unique</v>
      </c>
      <c r="N361" t="str">
        <f t="shared" si="42"/>
        <v>Spring</v>
      </c>
      <c r="O361" t="str">
        <f t="shared" si="40"/>
        <v>2011</v>
      </c>
      <c r="P361" t="str">
        <f t="shared" si="47"/>
        <v>Working Day</v>
      </c>
      <c r="Q361" t="str">
        <f t="shared" si="43"/>
        <v>Sunday</v>
      </c>
      <c r="R361" t="str">
        <f t="shared" si="44"/>
        <v>Clear</v>
      </c>
      <c r="S361" t="str">
        <f t="shared" si="45"/>
        <v>Morning</v>
      </c>
      <c r="T361" t="str">
        <f t="shared" si="46"/>
        <v>Cold</v>
      </c>
    </row>
    <row r="362" spans="1:20">
      <c r="A362" s="1">
        <v>361</v>
      </c>
      <c r="B362" s="2">
        <v>40559</v>
      </c>
      <c r="C362" s="1">
        <v>1</v>
      </c>
      <c r="D362" s="1">
        <v>0</v>
      </c>
      <c r="E362" s="1">
        <v>1</v>
      </c>
      <c r="F362" s="1">
        <v>12</v>
      </c>
      <c r="G362" s="1" t="b">
        <v>0</v>
      </c>
      <c r="H362" s="1">
        <v>0</v>
      </c>
      <c r="I362" s="1">
        <v>1</v>
      </c>
      <c r="J362" s="1">
        <v>0.24</v>
      </c>
      <c r="M362" t="str">
        <f t="shared" si="41"/>
        <v>Unique</v>
      </c>
      <c r="N362" t="str">
        <f t="shared" si="42"/>
        <v>Spring</v>
      </c>
      <c r="O362" t="str">
        <f t="shared" si="40"/>
        <v>2011</v>
      </c>
      <c r="P362" t="str">
        <f t="shared" si="47"/>
        <v>Working Day</v>
      </c>
      <c r="Q362" t="str">
        <f t="shared" si="43"/>
        <v>Sunday</v>
      </c>
      <c r="R362" t="str">
        <f t="shared" si="44"/>
        <v>Clear</v>
      </c>
      <c r="S362" t="str">
        <f t="shared" si="45"/>
        <v>Afternoon</v>
      </c>
      <c r="T362" t="str">
        <f t="shared" si="46"/>
        <v>Cold</v>
      </c>
    </row>
    <row r="363" spans="1:20">
      <c r="A363" s="1">
        <v>362</v>
      </c>
      <c r="B363" s="2">
        <v>40559</v>
      </c>
      <c r="C363" s="1">
        <v>1</v>
      </c>
      <c r="D363" s="1">
        <v>0</v>
      </c>
      <c r="E363" s="1">
        <v>1</v>
      </c>
      <c r="F363" s="1">
        <v>13</v>
      </c>
      <c r="G363" s="1" t="b">
        <v>0</v>
      </c>
      <c r="H363" s="1">
        <v>0</v>
      </c>
      <c r="I363" s="1">
        <v>1</v>
      </c>
      <c r="J363" s="1">
        <v>0.26</v>
      </c>
      <c r="M363" t="str">
        <f t="shared" si="41"/>
        <v>Unique</v>
      </c>
      <c r="N363" t="str">
        <f t="shared" si="42"/>
        <v>Spring</v>
      </c>
      <c r="O363" t="str">
        <f t="shared" si="40"/>
        <v>2011</v>
      </c>
      <c r="P363" t="str">
        <f t="shared" si="47"/>
        <v>Working Day</v>
      </c>
      <c r="Q363" t="str">
        <f t="shared" si="43"/>
        <v>Sunday</v>
      </c>
      <c r="R363" t="str">
        <f t="shared" si="44"/>
        <v>Clear</v>
      </c>
      <c r="S363" t="str">
        <f t="shared" si="45"/>
        <v>Afternoon</v>
      </c>
      <c r="T363" t="str">
        <f t="shared" si="46"/>
        <v>Cold</v>
      </c>
    </row>
    <row r="364" spans="1:20">
      <c r="A364" s="1">
        <v>363</v>
      </c>
      <c r="B364" s="2">
        <v>40559</v>
      </c>
      <c r="C364" s="1">
        <v>1</v>
      </c>
      <c r="D364" s="1">
        <v>0</v>
      </c>
      <c r="E364" s="1">
        <v>1</v>
      </c>
      <c r="F364" s="1">
        <v>14</v>
      </c>
      <c r="G364" s="1" t="b">
        <v>0</v>
      </c>
      <c r="H364" s="1">
        <v>0</v>
      </c>
      <c r="I364" s="1">
        <v>1</v>
      </c>
      <c r="J364" s="1">
        <v>0.28000000000000003</v>
      </c>
      <c r="M364" t="str">
        <f t="shared" si="41"/>
        <v>Unique</v>
      </c>
      <c r="N364" t="str">
        <f t="shared" si="42"/>
        <v>Spring</v>
      </c>
      <c r="O364" t="str">
        <f t="shared" si="40"/>
        <v>2011</v>
      </c>
      <c r="P364" t="str">
        <f t="shared" si="47"/>
        <v>Working Day</v>
      </c>
      <c r="Q364" t="str">
        <f t="shared" si="43"/>
        <v>Sunday</v>
      </c>
      <c r="R364" t="str">
        <f t="shared" si="44"/>
        <v>Clear</v>
      </c>
      <c r="S364" t="str">
        <f t="shared" si="45"/>
        <v>Afternoon</v>
      </c>
      <c r="T364" t="str">
        <f t="shared" si="46"/>
        <v>Cold</v>
      </c>
    </row>
    <row r="365" spans="1:20">
      <c r="A365" s="1">
        <v>364</v>
      </c>
      <c r="B365" s="2">
        <v>40559</v>
      </c>
      <c r="C365" s="1">
        <v>1</v>
      </c>
      <c r="D365" s="1">
        <v>0</v>
      </c>
      <c r="E365" s="1">
        <v>1</v>
      </c>
      <c r="F365" s="1">
        <v>15</v>
      </c>
      <c r="G365" s="1" t="b">
        <v>0</v>
      </c>
      <c r="H365" s="1">
        <v>0</v>
      </c>
      <c r="I365" s="1">
        <v>1</v>
      </c>
      <c r="J365" s="1">
        <v>0.26</v>
      </c>
      <c r="M365" t="str">
        <f t="shared" si="41"/>
        <v>Unique</v>
      </c>
      <c r="N365" t="str">
        <f t="shared" si="42"/>
        <v>Spring</v>
      </c>
      <c r="O365" t="str">
        <f t="shared" si="40"/>
        <v>2011</v>
      </c>
      <c r="P365" t="str">
        <f t="shared" si="47"/>
        <v>Working Day</v>
      </c>
      <c r="Q365" t="str">
        <f t="shared" si="43"/>
        <v>Sunday</v>
      </c>
      <c r="R365" t="str">
        <f t="shared" si="44"/>
        <v>Clear</v>
      </c>
      <c r="S365" t="str">
        <f t="shared" si="45"/>
        <v>Afternoon</v>
      </c>
      <c r="T365" t="str">
        <f t="shared" si="46"/>
        <v>Cold</v>
      </c>
    </row>
    <row r="366" spans="1:20">
      <c r="A366" s="1">
        <v>365</v>
      </c>
      <c r="B366" s="2">
        <v>40559</v>
      </c>
      <c r="C366" s="1">
        <v>1</v>
      </c>
      <c r="D366" s="1">
        <v>0</v>
      </c>
      <c r="E366" s="1">
        <v>1</v>
      </c>
      <c r="F366" s="1">
        <v>16</v>
      </c>
      <c r="G366" s="1" t="b">
        <v>0</v>
      </c>
      <c r="H366" s="1">
        <v>0</v>
      </c>
      <c r="I366" s="1">
        <v>1</v>
      </c>
      <c r="J366" s="1">
        <v>0.24</v>
      </c>
      <c r="M366" t="str">
        <f t="shared" si="41"/>
        <v>Unique</v>
      </c>
      <c r="N366" t="str">
        <f t="shared" si="42"/>
        <v>Spring</v>
      </c>
      <c r="O366" t="str">
        <f t="shared" si="40"/>
        <v>2011</v>
      </c>
      <c r="P366" t="str">
        <f t="shared" si="47"/>
        <v>Working Day</v>
      </c>
      <c r="Q366" t="str">
        <f t="shared" si="43"/>
        <v>Sunday</v>
      </c>
      <c r="R366" t="str">
        <f t="shared" si="44"/>
        <v>Clear</v>
      </c>
      <c r="S366" t="str">
        <f t="shared" si="45"/>
        <v>Afternoon</v>
      </c>
      <c r="T366" t="str">
        <f t="shared" si="46"/>
        <v>Cold</v>
      </c>
    </row>
    <row r="367" spans="1:20">
      <c r="A367" s="1">
        <v>366</v>
      </c>
      <c r="B367" s="2">
        <v>40559</v>
      </c>
      <c r="C367" s="1">
        <v>1</v>
      </c>
      <c r="D367" s="1">
        <v>0</v>
      </c>
      <c r="E367" s="1">
        <v>1</v>
      </c>
      <c r="F367" s="1">
        <v>17</v>
      </c>
      <c r="G367" s="1" t="b">
        <v>0</v>
      </c>
      <c r="H367" s="1">
        <v>0</v>
      </c>
      <c r="I367" s="1">
        <v>1</v>
      </c>
      <c r="J367" s="1">
        <v>0.22</v>
      </c>
      <c r="M367" t="str">
        <f t="shared" si="41"/>
        <v>Unique</v>
      </c>
      <c r="N367" t="str">
        <f t="shared" si="42"/>
        <v>Spring</v>
      </c>
      <c r="O367" t="str">
        <f t="shared" si="40"/>
        <v>2011</v>
      </c>
      <c r="P367" t="str">
        <f t="shared" si="47"/>
        <v>Working Day</v>
      </c>
      <c r="Q367" t="str">
        <f t="shared" si="43"/>
        <v>Sunday</v>
      </c>
      <c r="R367" t="str">
        <f t="shared" si="44"/>
        <v>Clear</v>
      </c>
      <c r="S367" t="str">
        <f t="shared" si="45"/>
        <v>Afternoon</v>
      </c>
      <c r="T367" t="str">
        <f t="shared" si="46"/>
        <v>Cold</v>
      </c>
    </row>
    <row r="368" spans="1:20">
      <c r="A368" s="1">
        <v>367</v>
      </c>
      <c r="B368" s="2">
        <v>40559</v>
      </c>
      <c r="C368" s="1">
        <v>1</v>
      </c>
      <c r="D368" s="1">
        <v>0</v>
      </c>
      <c r="E368" s="1">
        <v>1</v>
      </c>
      <c r="F368" s="1">
        <v>18</v>
      </c>
      <c r="G368" s="1" t="b">
        <v>0</v>
      </c>
      <c r="H368" s="1">
        <v>0</v>
      </c>
      <c r="I368" s="1">
        <v>1</v>
      </c>
      <c r="J368" s="1">
        <v>0.2</v>
      </c>
      <c r="M368" t="str">
        <f t="shared" si="41"/>
        <v>Unique</v>
      </c>
      <c r="N368" t="str">
        <f t="shared" si="42"/>
        <v>Spring</v>
      </c>
      <c r="O368" t="str">
        <f t="shared" si="40"/>
        <v>2011</v>
      </c>
      <c r="P368" t="str">
        <f t="shared" si="47"/>
        <v>Working Day</v>
      </c>
      <c r="Q368" t="str">
        <f t="shared" si="43"/>
        <v>Sunday</v>
      </c>
      <c r="R368" t="str">
        <f t="shared" si="44"/>
        <v>Clear</v>
      </c>
      <c r="S368" t="str">
        <f t="shared" si="45"/>
        <v>Night</v>
      </c>
      <c r="T368" t="str">
        <f t="shared" si="46"/>
        <v>Cold</v>
      </c>
    </row>
    <row r="369" spans="1:20">
      <c r="A369" s="1">
        <v>368</v>
      </c>
      <c r="B369" s="2">
        <v>40559</v>
      </c>
      <c r="C369" s="1">
        <v>1</v>
      </c>
      <c r="D369" s="1">
        <v>0</v>
      </c>
      <c r="E369" s="1">
        <v>1</v>
      </c>
      <c r="F369" s="1">
        <v>19</v>
      </c>
      <c r="G369" s="1" t="b">
        <v>0</v>
      </c>
      <c r="H369" s="1">
        <v>0</v>
      </c>
      <c r="I369" s="1">
        <v>1</v>
      </c>
      <c r="J369" s="1">
        <v>0.18</v>
      </c>
      <c r="M369" t="str">
        <f t="shared" si="41"/>
        <v>Unique</v>
      </c>
      <c r="N369" t="str">
        <f t="shared" si="42"/>
        <v>Spring</v>
      </c>
      <c r="O369" t="str">
        <f t="shared" si="40"/>
        <v>2011</v>
      </c>
      <c r="P369" t="str">
        <f t="shared" si="47"/>
        <v>Working Day</v>
      </c>
      <c r="Q369" t="str">
        <f t="shared" si="43"/>
        <v>Sunday</v>
      </c>
      <c r="R369" t="str">
        <f t="shared" si="44"/>
        <v>Clear</v>
      </c>
      <c r="S369" t="str">
        <f t="shared" si="45"/>
        <v>Night</v>
      </c>
      <c r="T369" t="str">
        <f t="shared" si="46"/>
        <v>Cold</v>
      </c>
    </row>
    <row r="370" spans="1:20">
      <c r="A370" s="1">
        <v>369</v>
      </c>
      <c r="B370" s="2">
        <v>40559</v>
      </c>
      <c r="C370" s="1">
        <v>1</v>
      </c>
      <c r="D370" s="1">
        <v>0</v>
      </c>
      <c r="E370" s="1">
        <v>1</v>
      </c>
      <c r="F370" s="1">
        <v>20</v>
      </c>
      <c r="G370" s="1" t="b">
        <v>0</v>
      </c>
      <c r="H370" s="1">
        <v>0</v>
      </c>
      <c r="I370" s="1">
        <v>1</v>
      </c>
      <c r="J370" s="1">
        <v>0.18</v>
      </c>
      <c r="M370" t="str">
        <f t="shared" si="41"/>
        <v>Unique</v>
      </c>
      <c r="N370" t="str">
        <f t="shared" si="42"/>
        <v>Spring</v>
      </c>
      <c r="O370" t="str">
        <f t="shared" si="40"/>
        <v>2011</v>
      </c>
      <c r="P370" t="str">
        <f t="shared" si="47"/>
        <v>Working Day</v>
      </c>
      <c r="Q370" t="str">
        <f t="shared" si="43"/>
        <v>Sunday</v>
      </c>
      <c r="R370" t="str">
        <f t="shared" si="44"/>
        <v>Clear</v>
      </c>
      <c r="S370" t="str">
        <f t="shared" si="45"/>
        <v>Night</v>
      </c>
      <c r="T370" t="str">
        <f t="shared" si="46"/>
        <v>Cold</v>
      </c>
    </row>
    <row r="371" spans="1:20">
      <c r="A371" s="1">
        <v>370</v>
      </c>
      <c r="B371" s="2">
        <v>40559</v>
      </c>
      <c r="C371" s="1">
        <v>1</v>
      </c>
      <c r="D371" s="1">
        <v>0</v>
      </c>
      <c r="E371" s="1">
        <v>1</v>
      </c>
      <c r="F371" s="1">
        <v>21</v>
      </c>
      <c r="G371" s="1" t="b">
        <v>0</v>
      </c>
      <c r="H371" s="1">
        <v>0</v>
      </c>
      <c r="I371" s="1">
        <v>1</v>
      </c>
      <c r="J371" s="1">
        <v>0.18</v>
      </c>
      <c r="M371" t="str">
        <f t="shared" si="41"/>
        <v>Unique</v>
      </c>
      <c r="N371" t="str">
        <f t="shared" si="42"/>
        <v>Spring</v>
      </c>
      <c r="O371" t="str">
        <f t="shared" si="40"/>
        <v>2011</v>
      </c>
      <c r="P371" t="str">
        <f t="shared" si="47"/>
        <v>Working Day</v>
      </c>
      <c r="Q371" t="str">
        <f t="shared" si="43"/>
        <v>Sunday</v>
      </c>
      <c r="R371" t="str">
        <f t="shared" si="44"/>
        <v>Clear</v>
      </c>
      <c r="S371" t="str">
        <f t="shared" si="45"/>
        <v>Night</v>
      </c>
      <c r="T371" t="str">
        <f t="shared" si="46"/>
        <v>Cold</v>
      </c>
    </row>
    <row r="372" spans="1:20">
      <c r="A372" s="1">
        <v>371</v>
      </c>
      <c r="B372" s="2">
        <v>40559</v>
      </c>
      <c r="C372" s="1">
        <v>1</v>
      </c>
      <c r="D372" s="1">
        <v>0</v>
      </c>
      <c r="E372" s="1">
        <v>1</v>
      </c>
      <c r="F372" s="1">
        <v>22</v>
      </c>
      <c r="G372" s="1" t="b">
        <v>0</v>
      </c>
      <c r="H372" s="1">
        <v>0</v>
      </c>
      <c r="I372" s="1">
        <v>2</v>
      </c>
      <c r="J372" s="1">
        <v>0.2</v>
      </c>
      <c r="M372" t="str">
        <f t="shared" si="41"/>
        <v>Unique</v>
      </c>
      <c r="N372" t="str">
        <f t="shared" si="42"/>
        <v>Spring</v>
      </c>
      <c r="O372" t="str">
        <f t="shared" si="40"/>
        <v>2011</v>
      </c>
      <c r="P372" t="str">
        <f t="shared" si="47"/>
        <v>Working Day</v>
      </c>
      <c r="Q372" t="str">
        <f t="shared" si="43"/>
        <v>Sunday</v>
      </c>
      <c r="R372" t="str">
        <f t="shared" si="44"/>
        <v>Cloudy</v>
      </c>
      <c r="S372" t="str">
        <f t="shared" si="45"/>
        <v>Night</v>
      </c>
      <c r="T372" t="str">
        <f t="shared" si="46"/>
        <v>Cold</v>
      </c>
    </row>
    <row r="373" spans="1:20">
      <c r="A373" s="1">
        <v>372</v>
      </c>
      <c r="B373" s="2">
        <v>40559</v>
      </c>
      <c r="C373" s="1">
        <v>1</v>
      </c>
      <c r="D373" s="1">
        <v>0</v>
      </c>
      <c r="E373" s="1">
        <v>1</v>
      </c>
      <c r="F373" s="1">
        <v>23</v>
      </c>
      <c r="G373" s="1" t="b">
        <v>0</v>
      </c>
      <c r="H373" s="1">
        <v>0</v>
      </c>
      <c r="I373" s="1">
        <v>2</v>
      </c>
      <c r="J373" s="1">
        <v>0.2</v>
      </c>
      <c r="M373" t="str">
        <f t="shared" si="41"/>
        <v>Unique</v>
      </c>
      <c r="N373" t="str">
        <f t="shared" si="42"/>
        <v>Spring</v>
      </c>
      <c r="O373" t="str">
        <f t="shared" si="40"/>
        <v>2011</v>
      </c>
      <c r="P373" t="str">
        <f t="shared" si="47"/>
        <v>Working Day</v>
      </c>
      <c r="Q373" t="str">
        <f t="shared" si="43"/>
        <v>Sunday</v>
      </c>
      <c r="R373" t="str">
        <f t="shared" si="44"/>
        <v>Cloudy</v>
      </c>
      <c r="S373" t="str">
        <f t="shared" si="45"/>
        <v>Night</v>
      </c>
      <c r="T373" t="str">
        <f t="shared" si="46"/>
        <v>Cold</v>
      </c>
    </row>
    <row r="374" spans="1:20">
      <c r="A374" s="1">
        <v>373</v>
      </c>
      <c r="B374" s="2">
        <v>40560</v>
      </c>
      <c r="C374" s="1">
        <v>1</v>
      </c>
      <c r="D374" s="1">
        <v>0</v>
      </c>
      <c r="E374" s="1">
        <v>1</v>
      </c>
      <c r="F374" s="1">
        <v>0</v>
      </c>
      <c r="G374" s="1" t="b">
        <v>1</v>
      </c>
      <c r="H374" s="1">
        <v>1</v>
      </c>
      <c r="I374" s="1">
        <v>2</v>
      </c>
      <c r="J374" s="1">
        <v>0.2</v>
      </c>
      <c r="M374" t="str">
        <f t="shared" si="41"/>
        <v>Unique</v>
      </c>
      <c r="N374" t="str">
        <f t="shared" si="42"/>
        <v>Spring</v>
      </c>
      <c r="O374" t="str">
        <f t="shared" si="40"/>
        <v>2011</v>
      </c>
      <c r="P374" t="str">
        <f t="shared" si="47"/>
        <v>Working Day</v>
      </c>
      <c r="Q374" t="str">
        <f t="shared" si="43"/>
        <v>Monday</v>
      </c>
      <c r="R374" t="str">
        <f t="shared" si="44"/>
        <v>Cloudy</v>
      </c>
      <c r="S374" t="str">
        <f t="shared" si="45"/>
        <v>Morning</v>
      </c>
      <c r="T374" t="str">
        <f t="shared" si="46"/>
        <v>Cold</v>
      </c>
    </row>
    <row r="375" spans="1:20">
      <c r="A375" s="1">
        <v>374</v>
      </c>
      <c r="B375" s="2">
        <v>40560</v>
      </c>
      <c r="C375" s="1">
        <v>1</v>
      </c>
      <c r="D375" s="1">
        <v>0</v>
      </c>
      <c r="E375" s="1">
        <v>1</v>
      </c>
      <c r="F375" s="1">
        <v>1</v>
      </c>
      <c r="G375" s="1" t="b">
        <v>1</v>
      </c>
      <c r="H375" s="1">
        <v>1</v>
      </c>
      <c r="I375" s="1">
        <v>2</v>
      </c>
      <c r="J375" s="1">
        <v>0.2</v>
      </c>
      <c r="M375" t="str">
        <f t="shared" si="41"/>
        <v>Unique</v>
      </c>
      <c r="N375" t="str">
        <f t="shared" si="42"/>
        <v>Spring</v>
      </c>
      <c r="O375" t="str">
        <f t="shared" si="40"/>
        <v>2011</v>
      </c>
      <c r="P375" t="str">
        <f t="shared" si="47"/>
        <v>Holiday</v>
      </c>
      <c r="Q375" t="str">
        <f t="shared" si="43"/>
        <v>Monday</v>
      </c>
      <c r="R375" t="str">
        <f t="shared" si="44"/>
        <v>Cloudy</v>
      </c>
      <c r="S375" t="str">
        <f t="shared" si="45"/>
        <v>Morning</v>
      </c>
      <c r="T375" t="str">
        <f t="shared" si="46"/>
        <v>Cold</v>
      </c>
    </row>
    <row r="376" spans="1:20">
      <c r="A376" s="1">
        <v>375</v>
      </c>
      <c r="B376" s="2">
        <v>40560</v>
      </c>
      <c r="C376" s="1">
        <v>1</v>
      </c>
      <c r="D376" s="1">
        <v>0</v>
      </c>
      <c r="E376" s="1">
        <v>1</v>
      </c>
      <c r="F376" s="1">
        <v>2</v>
      </c>
      <c r="G376" s="1" t="b">
        <v>1</v>
      </c>
      <c r="H376" s="1">
        <v>1</v>
      </c>
      <c r="I376" s="1">
        <v>2</v>
      </c>
      <c r="J376" s="1">
        <v>0.18</v>
      </c>
      <c r="M376" t="str">
        <f t="shared" si="41"/>
        <v>Unique</v>
      </c>
      <c r="N376" t="str">
        <f t="shared" si="42"/>
        <v>Spring</v>
      </c>
      <c r="O376" t="str">
        <f t="shared" si="40"/>
        <v>2011</v>
      </c>
      <c r="P376" t="str">
        <f t="shared" si="47"/>
        <v>Holiday</v>
      </c>
      <c r="Q376" t="str">
        <f t="shared" si="43"/>
        <v>Monday</v>
      </c>
      <c r="R376" t="str">
        <f t="shared" si="44"/>
        <v>Cloudy</v>
      </c>
      <c r="S376" t="str">
        <f t="shared" si="45"/>
        <v>Morning</v>
      </c>
      <c r="T376" t="str">
        <f t="shared" si="46"/>
        <v>Cold</v>
      </c>
    </row>
    <row r="377" spans="1:20">
      <c r="A377" s="1">
        <v>376</v>
      </c>
      <c r="B377" s="2">
        <v>40560</v>
      </c>
      <c r="C377" s="1">
        <v>1</v>
      </c>
      <c r="D377" s="1">
        <v>0</v>
      </c>
      <c r="E377" s="1">
        <v>1</v>
      </c>
      <c r="F377" s="1">
        <v>3</v>
      </c>
      <c r="G377" s="1" t="b">
        <v>1</v>
      </c>
      <c r="H377" s="1">
        <v>1</v>
      </c>
      <c r="I377" s="1">
        <v>2</v>
      </c>
      <c r="J377" s="1">
        <v>0.18</v>
      </c>
      <c r="M377" t="str">
        <f t="shared" si="41"/>
        <v>Unique</v>
      </c>
      <c r="N377" t="str">
        <f t="shared" si="42"/>
        <v>Spring</v>
      </c>
      <c r="O377" t="str">
        <f t="shared" si="40"/>
        <v>2011</v>
      </c>
      <c r="P377" t="str">
        <f t="shared" si="47"/>
        <v>Holiday</v>
      </c>
      <c r="Q377" t="str">
        <f t="shared" si="43"/>
        <v>Monday</v>
      </c>
      <c r="R377" t="str">
        <f t="shared" si="44"/>
        <v>Cloudy</v>
      </c>
      <c r="S377" t="str">
        <f t="shared" si="45"/>
        <v>Morning</v>
      </c>
      <c r="T377" t="str">
        <f t="shared" si="46"/>
        <v>Cold</v>
      </c>
    </row>
    <row r="378" spans="1:20">
      <c r="A378" s="1">
        <v>377</v>
      </c>
      <c r="B378" s="2">
        <v>40560</v>
      </c>
      <c r="C378" s="1">
        <v>1</v>
      </c>
      <c r="D378" s="1">
        <v>0</v>
      </c>
      <c r="E378" s="1">
        <v>1</v>
      </c>
      <c r="F378" s="1">
        <v>4</v>
      </c>
      <c r="G378" s="1" t="b">
        <v>1</v>
      </c>
      <c r="H378" s="1">
        <v>1</v>
      </c>
      <c r="I378" s="1">
        <v>2</v>
      </c>
      <c r="J378" s="1">
        <v>0.18</v>
      </c>
      <c r="M378" t="str">
        <f t="shared" si="41"/>
        <v>Unique</v>
      </c>
      <c r="N378" t="str">
        <f t="shared" si="42"/>
        <v>Spring</v>
      </c>
      <c r="O378" t="str">
        <f t="shared" si="40"/>
        <v>2011</v>
      </c>
      <c r="P378" t="str">
        <f t="shared" si="47"/>
        <v>Holiday</v>
      </c>
      <c r="Q378" t="str">
        <f t="shared" si="43"/>
        <v>Monday</v>
      </c>
      <c r="R378" t="str">
        <f t="shared" si="44"/>
        <v>Cloudy</v>
      </c>
      <c r="S378" t="str">
        <f t="shared" si="45"/>
        <v>Morning</v>
      </c>
      <c r="T378" t="str">
        <f t="shared" si="46"/>
        <v>Cold</v>
      </c>
    </row>
    <row r="379" spans="1:20">
      <c r="A379" s="1">
        <v>378</v>
      </c>
      <c r="B379" s="2">
        <v>40560</v>
      </c>
      <c r="C379" s="1">
        <v>1</v>
      </c>
      <c r="D379" s="1">
        <v>0</v>
      </c>
      <c r="E379" s="1">
        <v>1</v>
      </c>
      <c r="F379" s="1">
        <v>5</v>
      </c>
      <c r="G379" s="1" t="b">
        <v>1</v>
      </c>
      <c r="H379" s="1">
        <v>1</v>
      </c>
      <c r="I379" s="1">
        <v>2</v>
      </c>
      <c r="J379" s="1">
        <v>0.18</v>
      </c>
      <c r="M379" t="str">
        <f t="shared" si="41"/>
        <v>Unique</v>
      </c>
      <c r="N379" t="str">
        <f t="shared" si="42"/>
        <v>Spring</v>
      </c>
      <c r="O379" t="str">
        <f t="shared" si="40"/>
        <v>2011</v>
      </c>
      <c r="P379" t="str">
        <f t="shared" si="47"/>
        <v>Holiday</v>
      </c>
      <c r="Q379" t="str">
        <f t="shared" si="43"/>
        <v>Monday</v>
      </c>
      <c r="R379" t="str">
        <f t="shared" si="44"/>
        <v>Cloudy</v>
      </c>
      <c r="S379" t="str">
        <f t="shared" si="45"/>
        <v>Morning</v>
      </c>
      <c r="T379" t="str">
        <f t="shared" si="46"/>
        <v>Cold</v>
      </c>
    </row>
    <row r="380" spans="1:20">
      <c r="A380" s="1">
        <v>379</v>
      </c>
      <c r="B380" s="2">
        <v>40560</v>
      </c>
      <c r="C380" s="1">
        <v>1</v>
      </c>
      <c r="D380" s="1">
        <v>0</v>
      </c>
      <c r="E380" s="1">
        <v>1</v>
      </c>
      <c r="F380" s="1">
        <v>6</v>
      </c>
      <c r="G380" s="1" t="b">
        <v>1</v>
      </c>
      <c r="H380" s="1">
        <v>1</v>
      </c>
      <c r="I380" s="1">
        <v>2</v>
      </c>
      <c r="J380" s="1">
        <v>0.18</v>
      </c>
      <c r="M380" t="str">
        <f t="shared" si="41"/>
        <v>Unique</v>
      </c>
      <c r="N380" t="str">
        <f t="shared" si="42"/>
        <v>Spring</v>
      </c>
      <c r="O380" t="str">
        <f t="shared" si="40"/>
        <v>2011</v>
      </c>
      <c r="P380" t="str">
        <f t="shared" si="47"/>
        <v>Holiday</v>
      </c>
      <c r="Q380" t="str">
        <f t="shared" si="43"/>
        <v>Monday</v>
      </c>
      <c r="R380" t="str">
        <f t="shared" si="44"/>
        <v>Cloudy</v>
      </c>
      <c r="S380" t="str">
        <f t="shared" si="45"/>
        <v>Morning</v>
      </c>
      <c r="T380" t="str">
        <f t="shared" si="46"/>
        <v>Cold</v>
      </c>
    </row>
    <row r="381" spans="1:20">
      <c r="A381" s="1">
        <v>380</v>
      </c>
      <c r="B381" s="2">
        <v>40560</v>
      </c>
      <c r="C381" s="1">
        <v>1</v>
      </c>
      <c r="D381" s="1">
        <v>0</v>
      </c>
      <c r="E381" s="1">
        <v>1</v>
      </c>
      <c r="F381" s="1">
        <v>7</v>
      </c>
      <c r="G381" s="1" t="b">
        <v>1</v>
      </c>
      <c r="H381" s="1">
        <v>1</v>
      </c>
      <c r="I381" s="1">
        <v>2</v>
      </c>
      <c r="J381" s="1">
        <v>0.16</v>
      </c>
      <c r="M381" t="str">
        <f t="shared" si="41"/>
        <v>Unique</v>
      </c>
      <c r="N381" t="str">
        <f t="shared" si="42"/>
        <v>Spring</v>
      </c>
      <c r="O381" t="str">
        <f t="shared" si="40"/>
        <v>2011</v>
      </c>
      <c r="P381" t="str">
        <f t="shared" si="47"/>
        <v>Holiday</v>
      </c>
      <c r="Q381" t="str">
        <f t="shared" si="43"/>
        <v>Monday</v>
      </c>
      <c r="R381" t="str">
        <f t="shared" si="44"/>
        <v>Cloudy</v>
      </c>
      <c r="S381" t="str">
        <f t="shared" si="45"/>
        <v>Morning</v>
      </c>
      <c r="T381" t="str">
        <f t="shared" si="46"/>
        <v>Cold</v>
      </c>
    </row>
    <row r="382" spans="1:20">
      <c r="A382" s="1">
        <v>381</v>
      </c>
      <c r="B382" s="2">
        <v>40560</v>
      </c>
      <c r="C382" s="1">
        <v>1</v>
      </c>
      <c r="D382" s="1">
        <v>0</v>
      </c>
      <c r="E382" s="1">
        <v>1</v>
      </c>
      <c r="F382" s="1">
        <v>8</v>
      </c>
      <c r="G382" s="1" t="b">
        <v>1</v>
      </c>
      <c r="H382" s="1">
        <v>1</v>
      </c>
      <c r="I382" s="1">
        <v>2</v>
      </c>
      <c r="J382" s="1">
        <v>0.16</v>
      </c>
      <c r="M382" t="str">
        <f t="shared" si="41"/>
        <v>Unique</v>
      </c>
      <c r="N382" t="str">
        <f t="shared" si="42"/>
        <v>Spring</v>
      </c>
      <c r="O382" t="str">
        <f t="shared" si="40"/>
        <v>2011</v>
      </c>
      <c r="P382" t="str">
        <f t="shared" si="47"/>
        <v>Holiday</v>
      </c>
      <c r="Q382" t="str">
        <f t="shared" si="43"/>
        <v>Monday</v>
      </c>
      <c r="R382" t="str">
        <f t="shared" si="44"/>
        <v>Cloudy</v>
      </c>
      <c r="S382" t="str">
        <f t="shared" si="45"/>
        <v>Morning</v>
      </c>
      <c r="T382" t="str">
        <f t="shared" si="46"/>
        <v>Cold</v>
      </c>
    </row>
    <row r="383" spans="1:20">
      <c r="A383" s="1">
        <v>382</v>
      </c>
      <c r="B383" s="2">
        <v>40560</v>
      </c>
      <c r="C383" s="1">
        <v>1</v>
      </c>
      <c r="D383" s="1">
        <v>0</v>
      </c>
      <c r="E383" s="1">
        <v>1</v>
      </c>
      <c r="F383" s="1">
        <v>9</v>
      </c>
      <c r="G383" s="1" t="b">
        <v>1</v>
      </c>
      <c r="H383" s="1">
        <v>1</v>
      </c>
      <c r="I383" s="1">
        <v>2</v>
      </c>
      <c r="J383" s="1">
        <v>0.16</v>
      </c>
      <c r="M383" t="str">
        <f t="shared" si="41"/>
        <v>Unique</v>
      </c>
      <c r="N383" t="str">
        <f t="shared" si="42"/>
        <v>Spring</v>
      </c>
      <c r="O383" t="str">
        <f t="shared" si="40"/>
        <v>2011</v>
      </c>
      <c r="P383" t="str">
        <f t="shared" si="47"/>
        <v>Holiday</v>
      </c>
      <c r="Q383" t="str">
        <f t="shared" si="43"/>
        <v>Monday</v>
      </c>
      <c r="R383" t="str">
        <f t="shared" si="44"/>
        <v>Cloudy</v>
      </c>
      <c r="S383" t="str">
        <f t="shared" si="45"/>
        <v>Morning</v>
      </c>
      <c r="T383" t="str">
        <f t="shared" si="46"/>
        <v>Cold</v>
      </c>
    </row>
    <row r="384" spans="1:20">
      <c r="A384" s="1">
        <v>383</v>
      </c>
      <c r="B384" s="2">
        <v>40560</v>
      </c>
      <c r="C384" s="1">
        <v>1</v>
      </c>
      <c r="D384" s="1">
        <v>0</v>
      </c>
      <c r="E384" s="1">
        <v>1</v>
      </c>
      <c r="F384" s="1">
        <v>10</v>
      </c>
      <c r="G384" s="1" t="b">
        <v>1</v>
      </c>
      <c r="H384" s="1">
        <v>1</v>
      </c>
      <c r="I384" s="1">
        <v>2</v>
      </c>
      <c r="J384" s="1">
        <v>0.16</v>
      </c>
      <c r="M384" t="str">
        <f t="shared" si="41"/>
        <v>Unique</v>
      </c>
      <c r="N384" t="str">
        <f t="shared" si="42"/>
        <v>Spring</v>
      </c>
      <c r="O384" t="str">
        <f t="shared" si="40"/>
        <v>2011</v>
      </c>
      <c r="P384" t="str">
        <f t="shared" si="47"/>
        <v>Holiday</v>
      </c>
      <c r="Q384" t="str">
        <f t="shared" si="43"/>
        <v>Monday</v>
      </c>
      <c r="R384" t="str">
        <f t="shared" si="44"/>
        <v>Cloudy</v>
      </c>
      <c r="S384" t="str">
        <f t="shared" si="45"/>
        <v>Morning</v>
      </c>
      <c r="T384" t="str">
        <f t="shared" si="46"/>
        <v>Cold</v>
      </c>
    </row>
    <row r="385" spans="1:20">
      <c r="A385" s="1">
        <v>384</v>
      </c>
      <c r="B385" s="2">
        <v>40560</v>
      </c>
      <c r="C385" s="1">
        <v>1</v>
      </c>
      <c r="D385" s="1">
        <v>0</v>
      </c>
      <c r="E385" s="1">
        <v>1</v>
      </c>
      <c r="F385" s="1">
        <v>11</v>
      </c>
      <c r="G385" s="1" t="b">
        <v>1</v>
      </c>
      <c r="H385" s="1">
        <v>1</v>
      </c>
      <c r="I385" s="1">
        <v>2</v>
      </c>
      <c r="J385" s="1">
        <v>0.16</v>
      </c>
      <c r="M385" t="str">
        <f t="shared" si="41"/>
        <v>Unique</v>
      </c>
      <c r="N385" t="str">
        <f t="shared" si="42"/>
        <v>Spring</v>
      </c>
      <c r="O385" t="str">
        <f t="shared" si="40"/>
        <v>2011</v>
      </c>
      <c r="P385" t="str">
        <f t="shared" si="47"/>
        <v>Holiday</v>
      </c>
      <c r="Q385" t="str">
        <f t="shared" si="43"/>
        <v>Monday</v>
      </c>
      <c r="R385" t="str">
        <f t="shared" si="44"/>
        <v>Cloudy</v>
      </c>
      <c r="S385" t="str">
        <f t="shared" si="45"/>
        <v>Morning</v>
      </c>
      <c r="T385" t="str">
        <f t="shared" si="46"/>
        <v>Cold</v>
      </c>
    </row>
    <row r="386" spans="1:20">
      <c r="A386" s="1">
        <v>385</v>
      </c>
      <c r="B386" s="2">
        <v>40560</v>
      </c>
      <c r="C386" s="1">
        <v>1</v>
      </c>
      <c r="D386" s="1">
        <v>0</v>
      </c>
      <c r="E386" s="1">
        <v>1</v>
      </c>
      <c r="F386" s="1">
        <v>12</v>
      </c>
      <c r="G386" s="1" t="b">
        <v>1</v>
      </c>
      <c r="H386" s="1">
        <v>1</v>
      </c>
      <c r="I386" s="1">
        <v>2</v>
      </c>
      <c r="J386" s="1">
        <v>0.18</v>
      </c>
      <c r="M386" t="str">
        <f t="shared" si="41"/>
        <v>Unique</v>
      </c>
      <c r="N386" t="str">
        <f t="shared" si="42"/>
        <v>Spring</v>
      </c>
      <c r="O386" t="str">
        <f t="shared" ref="O386:O449" si="48">IF(D386=0,"2011","2012")</f>
        <v>2011</v>
      </c>
      <c r="P386" t="str">
        <f t="shared" si="47"/>
        <v>Holiday</v>
      </c>
      <c r="Q386" t="str">
        <f t="shared" si="43"/>
        <v>Monday</v>
      </c>
      <c r="R386" t="str">
        <f t="shared" si="44"/>
        <v>Cloudy</v>
      </c>
      <c r="S386" t="str">
        <f t="shared" si="45"/>
        <v>Afternoon</v>
      </c>
      <c r="T386" t="str">
        <f t="shared" si="46"/>
        <v>Cold</v>
      </c>
    </row>
    <row r="387" spans="1:20">
      <c r="A387" s="1">
        <v>386</v>
      </c>
      <c r="B387" s="2">
        <v>40560</v>
      </c>
      <c r="C387" s="1">
        <v>1</v>
      </c>
      <c r="D387" s="1">
        <v>0</v>
      </c>
      <c r="E387" s="1">
        <v>1</v>
      </c>
      <c r="F387" s="1">
        <v>13</v>
      </c>
      <c r="G387" s="1" t="b">
        <v>1</v>
      </c>
      <c r="H387" s="1">
        <v>1</v>
      </c>
      <c r="I387" s="1">
        <v>2</v>
      </c>
      <c r="J387" s="1">
        <v>0.18</v>
      </c>
      <c r="M387" t="str">
        <f t="shared" ref="M387:M450" si="49">IF(COUNTIF(A:A,A387)&gt;1,"Duplicate","Unique")</f>
        <v>Unique</v>
      </c>
      <c r="N387" t="str">
        <f t="shared" ref="N387:N450" si="50">IF(C387=1,"Spring",IF(C387=2,"Summer",IF(C387=3,"Fall","Winter")))</f>
        <v>Spring</v>
      </c>
      <c r="O387" t="str">
        <f t="shared" si="48"/>
        <v>2011</v>
      </c>
      <c r="P387" t="str">
        <f t="shared" si="47"/>
        <v>Holiday</v>
      </c>
      <c r="Q387" t="str">
        <f t="shared" ref="Q387:Q450" si="51">CHOOSE(H387+1,"Sunday","Monday","Tuesday","Wednesday","Thursday","Friday","Saturday")</f>
        <v>Monday</v>
      </c>
      <c r="R387" t="str">
        <f t="shared" ref="R387:R450" si="52">IF(I387=1,"Clear",IF(I387=2,"Cloudy",IF(I387=3,"Rainy","Storm")))</f>
        <v>Cloudy</v>
      </c>
      <c r="S387" t="str">
        <f t="shared" ref="S387:S450" si="53">IF(F387&lt;12,"Morning",IF(F387&lt;18,"Afternoon","Night"))</f>
        <v>Afternoon</v>
      </c>
      <c r="T387" t="str">
        <f t="shared" ref="T387:T450" si="54">IF(J387&lt;0.3,"Cold",IF(J387&lt;0.6,"Normal","Hot"))</f>
        <v>Cold</v>
      </c>
    </row>
    <row r="388" spans="1:20">
      <c r="A388" s="1">
        <v>387</v>
      </c>
      <c r="B388" s="2">
        <v>40560</v>
      </c>
      <c r="C388" s="1">
        <v>1</v>
      </c>
      <c r="D388" s="1">
        <v>0</v>
      </c>
      <c r="E388" s="1">
        <v>1</v>
      </c>
      <c r="F388" s="1">
        <v>14</v>
      </c>
      <c r="G388" s="1" t="b">
        <v>1</v>
      </c>
      <c r="H388" s="1">
        <v>1</v>
      </c>
      <c r="I388" s="1">
        <v>2</v>
      </c>
      <c r="J388" s="1">
        <v>0.18</v>
      </c>
      <c r="M388" t="str">
        <f t="shared" si="49"/>
        <v>Unique</v>
      </c>
      <c r="N388" t="str">
        <f t="shared" si="50"/>
        <v>Spring</v>
      </c>
      <c r="O388" t="str">
        <f t="shared" si="48"/>
        <v>2011</v>
      </c>
      <c r="P388" t="str">
        <f t="shared" ref="P388:P451" si="55">IF(G387=FALSE,"Working Day","Holiday")</f>
        <v>Holiday</v>
      </c>
      <c r="Q388" t="str">
        <f t="shared" si="51"/>
        <v>Monday</v>
      </c>
      <c r="R388" t="str">
        <f t="shared" si="52"/>
        <v>Cloudy</v>
      </c>
      <c r="S388" t="str">
        <f t="shared" si="53"/>
        <v>Afternoon</v>
      </c>
      <c r="T388" t="str">
        <f t="shared" si="54"/>
        <v>Cold</v>
      </c>
    </row>
    <row r="389" spans="1:20">
      <c r="A389" s="1">
        <v>388</v>
      </c>
      <c r="B389" s="2">
        <v>40560</v>
      </c>
      <c r="C389" s="1">
        <v>1</v>
      </c>
      <c r="D389" s="1">
        <v>0</v>
      </c>
      <c r="E389" s="1">
        <v>1</v>
      </c>
      <c r="F389" s="1">
        <v>15</v>
      </c>
      <c r="G389" s="1" t="b">
        <v>1</v>
      </c>
      <c r="H389" s="1">
        <v>1</v>
      </c>
      <c r="I389" s="1">
        <v>2</v>
      </c>
      <c r="J389" s="1">
        <v>0.2</v>
      </c>
      <c r="M389" t="str">
        <f t="shared" si="49"/>
        <v>Unique</v>
      </c>
      <c r="N389" t="str">
        <f t="shared" si="50"/>
        <v>Spring</v>
      </c>
      <c r="O389" t="str">
        <f t="shared" si="48"/>
        <v>2011</v>
      </c>
      <c r="P389" t="str">
        <f t="shared" si="55"/>
        <v>Holiday</v>
      </c>
      <c r="Q389" t="str">
        <f t="shared" si="51"/>
        <v>Monday</v>
      </c>
      <c r="R389" t="str">
        <f t="shared" si="52"/>
        <v>Cloudy</v>
      </c>
      <c r="S389" t="str">
        <f t="shared" si="53"/>
        <v>Afternoon</v>
      </c>
      <c r="T389" t="str">
        <f t="shared" si="54"/>
        <v>Cold</v>
      </c>
    </row>
    <row r="390" spans="1:20">
      <c r="A390" s="1">
        <v>389</v>
      </c>
      <c r="B390" s="2">
        <v>40560</v>
      </c>
      <c r="C390" s="1">
        <v>1</v>
      </c>
      <c r="D390" s="1">
        <v>0</v>
      </c>
      <c r="E390" s="1">
        <v>1</v>
      </c>
      <c r="F390" s="1">
        <v>16</v>
      </c>
      <c r="G390" s="1" t="b">
        <v>1</v>
      </c>
      <c r="H390" s="1">
        <v>1</v>
      </c>
      <c r="I390" s="1">
        <v>2</v>
      </c>
      <c r="J390" s="1">
        <v>0.2</v>
      </c>
      <c r="M390" t="str">
        <f t="shared" si="49"/>
        <v>Unique</v>
      </c>
      <c r="N390" t="str">
        <f t="shared" si="50"/>
        <v>Spring</v>
      </c>
      <c r="O390" t="str">
        <f t="shared" si="48"/>
        <v>2011</v>
      </c>
      <c r="P390" t="str">
        <f t="shared" si="55"/>
        <v>Holiday</v>
      </c>
      <c r="Q390" t="str">
        <f t="shared" si="51"/>
        <v>Monday</v>
      </c>
      <c r="R390" t="str">
        <f t="shared" si="52"/>
        <v>Cloudy</v>
      </c>
      <c r="S390" t="str">
        <f t="shared" si="53"/>
        <v>Afternoon</v>
      </c>
      <c r="T390" t="str">
        <f t="shared" si="54"/>
        <v>Cold</v>
      </c>
    </row>
    <row r="391" spans="1:20">
      <c r="A391" s="1">
        <v>390</v>
      </c>
      <c r="B391" s="2">
        <v>40560</v>
      </c>
      <c r="C391" s="1">
        <v>1</v>
      </c>
      <c r="D391" s="1">
        <v>0</v>
      </c>
      <c r="E391" s="1">
        <v>1</v>
      </c>
      <c r="F391" s="1">
        <v>17</v>
      </c>
      <c r="G391" s="1" t="b">
        <v>1</v>
      </c>
      <c r="H391" s="1">
        <v>1</v>
      </c>
      <c r="I391" s="1">
        <v>1</v>
      </c>
      <c r="J391" s="1">
        <v>0.2</v>
      </c>
      <c r="M391" t="str">
        <f t="shared" si="49"/>
        <v>Unique</v>
      </c>
      <c r="N391" t="str">
        <f t="shared" si="50"/>
        <v>Spring</v>
      </c>
      <c r="O391" t="str">
        <f t="shared" si="48"/>
        <v>2011</v>
      </c>
      <c r="P391" t="str">
        <f t="shared" si="55"/>
        <v>Holiday</v>
      </c>
      <c r="Q391" t="str">
        <f t="shared" si="51"/>
        <v>Monday</v>
      </c>
      <c r="R391" t="str">
        <f t="shared" si="52"/>
        <v>Clear</v>
      </c>
      <c r="S391" t="str">
        <f t="shared" si="53"/>
        <v>Afternoon</v>
      </c>
      <c r="T391" t="str">
        <f t="shared" si="54"/>
        <v>Cold</v>
      </c>
    </row>
    <row r="392" spans="1:20">
      <c r="A392" s="1">
        <v>391</v>
      </c>
      <c r="B392" s="2">
        <v>40560</v>
      </c>
      <c r="C392" s="1">
        <v>1</v>
      </c>
      <c r="D392" s="1">
        <v>0</v>
      </c>
      <c r="E392" s="1">
        <v>1</v>
      </c>
      <c r="F392" s="1">
        <v>18</v>
      </c>
      <c r="G392" s="1" t="b">
        <v>1</v>
      </c>
      <c r="H392" s="1">
        <v>1</v>
      </c>
      <c r="I392" s="1">
        <v>2</v>
      </c>
      <c r="J392" s="1">
        <v>0.18</v>
      </c>
      <c r="M392" t="str">
        <f t="shared" si="49"/>
        <v>Unique</v>
      </c>
      <c r="N392" t="str">
        <f t="shared" si="50"/>
        <v>Spring</v>
      </c>
      <c r="O392" t="str">
        <f t="shared" si="48"/>
        <v>2011</v>
      </c>
      <c r="P392" t="str">
        <f t="shared" si="55"/>
        <v>Holiday</v>
      </c>
      <c r="Q392" t="str">
        <f t="shared" si="51"/>
        <v>Monday</v>
      </c>
      <c r="R392" t="str">
        <f t="shared" si="52"/>
        <v>Cloudy</v>
      </c>
      <c r="S392" t="str">
        <f t="shared" si="53"/>
        <v>Night</v>
      </c>
      <c r="T392" t="str">
        <f t="shared" si="54"/>
        <v>Cold</v>
      </c>
    </row>
    <row r="393" spans="1:20">
      <c r="A393" s="1">
        <v>392</v>
      </c>
      <c r="B393" s="2">
        <v>40560</v>
      </c>
      <c r="C393" s="1">
        <v>1</v>
      </c>
      <c r="D393" s="1">
        <v>0</v>
      </c>
      <c r="E393" s="1">
        <v>1</v>
      </c>
      <c r="F393" s="1">
        <v>19</v>
      </c>
      <c r="G393" s="1" t="b">
        <v>1</v>
      </c>
      <c r="H393" s="1">
        <v>1</v>
      </c>
      <c r="I393" s="1">
        <v>3</v>
      </c>
      <c r="J393" s="1">
        <v>0.18</v>
      </c>
      <c r="M393" t="str">
        <f t="shared" si="49"/>
        <v>Unique</v>
      </c>
      <c r="N393" t="str">
        <f t="shared" si="50"/>
        <v>Spring</v>
      </c>
      <c r="O393" t="str">
        <f t="shared" si="48"/>
        <v>2011</v>
      </c>
      <c r="P393" t="str">
        <f t="shared" si="55"/>
        <v>Holiday</v>
      </c>
      <c r="Q393" t="str">
        <f t="shared" si="51"/>
        <v>Monday</v>
      </c>
      <c r="R393" t="str">
        <f t="shared" si="52"/>
        <v>Rainy</v>
      </c>
      <c r="S393" t="str">
        <f t="shared" si="53"/>
        <v>Night</v>
      </c>
      <c r="T393" t="str">
        <f t="shared" si="54"/>
        <v>Cold</v>
      </c>
    </row>
    <row r="394" spans="1:20">
      <c r="A394" s="1">
        <v>393</v>
      </c>
      <c r="B394" s="2">
        <v>40560</v>
      </c>
      <c r="C394" s="1">
        <v>1</v>
      </c>
      <c r="D394" s="1">
        <v>0</v>
      </c>
      <c r="E394" s="1">
        <v>1</v>
      </c>
      <c r="F394" s="1">
        <v>20</v>
      </c>
      <c r="G394" s="1" t="b">
        <v>1</v>
      </c>
      <c r="H394" s="1">
        <v>1</v>
      </c>
      <c r="I394" s="1">
        <v>3</v>
      </c>
      <c r="J394" s="1">
        <v>0.16</v>
      </c>
      <c r="M394" t="str">
        <f t="shared" si="49"/>
        <v>Unique</v>
      </c>
      <c r="N394" t="str">
        <f t="shared" si="50"/>
        <v>Spring</v>
      </c>
      <c r="O394" t="str">
        <f t="shared" si="48"/>
        <v>2011</v>
      </c>
      <c r="P394" t="str">
        <f t="shared" si="55"/>
        <v>Holiday</v>
      </c>
      <c r="Q394" t="str">
        <f t="shared" si="51"/>
        <v>Monday</v>
      </c>
      <c r="R394" t="str">
        <f t="shared" si="52"/>
        <v>Rainy</v>
      </c>
      <c r="S394" t="str">
        <f t="shared" si="53"/>
        <v>Night</v>
      </c>
      <c r="T394" t="str">
        <f t="shared" si="54"/>
        <v>Cold</v>
      </c>
    </row>
    <row r="395" spans="1:20">
      <c r="A395" s="1">
        <v>394</v>
      </c>
      <c r="B395" s="2">
        <v>40560</v>
      </c>
      <c r="C395" s="1">
        <v>1</v>
      </c>
      <c r="D395" s="1">
        <v>0</v>
      </c>
      <c r="E395" s="1">
        <v>1</v>
      </c>
      <c r="F395" s="1">
        <v>21</v>
      </c>
      <c r="G395" s="1" t="b">
        <v>1</v>
      </c>
      <c r="H395" s="1">
        <v>1</v>
      </c>
      <c r="I395" s="1">
        <v>3</v>
      </c>
      <c r="J395" s="1">
        <v>0.16</v>
      </c>
      <c r="M395" t="str">
        <f t="shared" si="49"/>
        <v>Unique</v>
      </c>
      <c r="N395" t="str">
        <f t="shared" si="50"/>
        <v>Spring</v>
      </c>
      <c r="O395" t="str">
        <f t="shared" si="48"/>
        <v>2011</v>
      </c>
      <c r="P395" t="str">
        <f t="shared" si="55"/>
        <v>Holiday</v>
      </c>
      <c r="Q395" t="str">
        <f t="shared" si="51"/>
        <v>Monday</v>
      </c>
      <c r="R395" t="str">
        <f t="shared" si="52"/>
        <v>Rainy</v>
      </c>
      <c r="S395" t="str">
        <f t="shared" si="53"/>
        <v>Night</v>
      </c>
      <c r="T395" t="str">
        <f t="shared" si="54"/>
        <v>Cold</v>
      </c>
    </row>
    <row r="396" spans="1:20">
      <c r="A396" s="1">
        <v>395</v>
      </c>
      <c r="B396" s="2">
        <v>40560</v>
      </c>
      <c r="C396" s="1">
        <v>1</v>
      </c>
      <c r="D396" s="1">
        <v>0</v>
      </c>
      <c r="E396" s="1">
        <v>1</v>
      </c>
      <c r="F396" s="1">
        <v>22</v>
      </c>
      <c r="G396" s="1" t="b">
        <v>1</v>
      </c>
      <c r="H396" s="1">
        <v>1</v>
      </c>
      <c r="I396" s="1">
        <v>3</v>
      </c>
      <c r="J396" s="1">
        <v>0.14000000000000001</v>
      </c>
      <c r="M396" t="str">
        <f t="shared" si="49"/>
        <v>Unique</v>
      </c>
      <c r="N396" t="str">
        <f t="shared" si="50"/>
        <v>Spring</v>
      </c>
      <c r="O396" t="str">
        <f t="shared" si="48"/>
        <v>2011</v>
      </c>
      <c r="P396" t="str">
        <f t="shared" si="55"/>
        <v>Holiday</v>
      </c>
      <c r="Q396" t="str">
        <f t="shared" si="51"/>
        <v>Monday</v>
      </c>
      <c r="R396" t="str">
        <f t="shared" si="52"/>
        <v>Rainy</v>
      </c>
      <c r="S396" t="str">
        <f t="shared" si="53"/>
        <v>Night</v>
      </c>
      <c r="T396" t="str">
        <f t="shared" si="54"/>
        <v>Cold</v>
      </c>
    </row>
    <row r="397" spans="1:20">
      <c r="A397" s="1">
        <v>396</v>
      </c>
      <c r="B397" s="2">
        <v>40560</v>
      </c>
      <c r="C397" s="1">
        <v>1</v>
      </c>
      <c r="D397" s="1">
        <v>0</v>
      </c>
      <c r="E397" s="1">
        <v>1</v>
      </c>
      <c r="F397" s="1">
        <v>23</v>
      </c>
      <c r="G397" s="1" t="b">
        <v>1</v>
      </c>
      <c r="H397" s="1">
        <v>1</v>
      </c>
      <c r="I397" s="1">
        <v>3</v>
      </c>
      <c r="J397" s="1">
        <v>0.16</v>
      </c>
      <c r="M397" t="str">
        <f t="shared" si="49"/>
        <v>Unique</v>
      </c>
      <c r="N397" t="str">
        <f t="shared" si="50"/>
        <v>Spring</v>
      </c>
      <c r="O397" t="str">
        <f t="shared" si="48"/>
        <v>2011</v>
      </c>
      <c r="P397" t="str">
        <f t="shared" si="55"/>
        <v>Holiday</v>
      </c>
      <c r="Q397" t="str">
        <f t="shared" si="51"/>
        <v>Monday</v>
      </c>
      <c r="R397" t="str">
        <f t="shared" si="52"/>
        <v>Rainy</v>
      </c>
      <c r="S397" t="str">
        <f t="shared" si="53"/>
        <v>Night</v>
      </c>
      <c r="T397" t="str">
        <f t="shared" si="54"/>
        <v>Cold</v>
      </c>
    </row>
    <row r="398" spans="1:20">
      <c r="A398" s="1">
        <v>397</v>
      </c>
      <c r="B398" s="2">
        <v>40561</v>
      </c>
      <c r="C398" s="1">
        <v>1</v>
      </c>
      <c r="D398" s="1">
        <v>0</v>
      </c>
      <c r="E398" s="1">
        <v>1</v>
      </c>
      <c r="F398" s="1">
        <v>12</v>
      </c>
      <c r="G398" s="1" t="b">
        <v>0</v>
      </c>
      <c r="H398" s="1">
        <v>2</v>
      </c>
      <c r="I398" s="1">
        <v>2</v>
      </c>
      <c r="J398" s="1">
        <v>0.2</v>
      </c>
      <c r="M398" t="str">
        <f t="shared" si="49"/>
        <v>Unique</v>
      </c>
      <c r="N398" t="str">
        <f t="shared" si="50"/>
        <v>Spring</v>
      </c>
      <c r="O398" t="str">
        <f t="shared" si="48"/>
        <v>2011</v>
      </c>
      <c r="P398" t="str">
        <f t="shared" si="55"/>
        <v>Holiday</v>
      </c>
      <c r="Q398" t="str">
        <f t="shared" si="51"/>
        <v>Tuesday</v>
      </c>
      <c r="R398" t="str">
        <f t="shared" si="52"/>
        <v>Cloudy</v>
      </c>
      <c r="S398" t="str">
        <f t="shared" si="53"/>
        <v>Afternoon</v>
      </c>
      <c r="T398" t="str">
        <f t="shared" si="54"/>
        <v>Cold</v>
      </c>
    </row>
    <row r="399" spans="1:20">
      <c r="A399" s="1">
        <v>398</v>
      </c>
      <c r="B399" s="2">
        <v>40561</v>
      </c>
      <c r="C399" s="1">
        <v>1</v>
      </c>
      <c r="D399" s="1">
        <v>0</v>
      </c>
      <c r="E399" s="1">
        <v>1</v>
      </c>
      <c r="F399" s="1">
        <v>13</v>
      </c>
      <c r="G399" s="1" t="b">
        <v>0</v>
      </c>
      <c r="H399" s="1">
        <v>2</v>
      </c>
      <c r="I399" s="1">
        <v>2</v>
      </c>
      <c r="J399" s="1">
        <v>0.2</v>
      </c>
      <c r="M399" t="str">
        <f t="shared" si="49"/>
        <v>Unique</v>
      </c>
      <c r="N399" t="str">
        <f t="shared" si="50"/>
        <v>Spring</v>
      </c>
      <c r="O399" t="str">
        <f t="shared" si="48"/>
        <v>2011</v>
      </c>
      <c r="P399" t="str">
        <f t="shared" si="55"/>
        <v>Working Day</v>
      </c>
      <c r="Q399" t="str">
        <f t="shared" si="51"/>
        <v>Tuesday</v>
      </c>
      <c r="R399" t="str">
        <f t="shared" si="52"/>
        <v>Cloudy</v>
      </c>
      <c r="S399" t="str">
        <f t="shared" si="53"/>
        <v>Afternoon</v>
      </c>
      <c r="T399" t="str">
        <f t="shared" si="54"/>
        <v>Cold</v>
      </c>
    </row>
    <row r="400" spans="1:20">
      <c r="A400" s="1">
        <v>399</v>
      </c>
      <c r="B400" s="2">
        <v>40561</v>
      </c>
      <c r="C400" s="1">
        <v>1</v>
      </c>
      <c r="D400" s="1">
        <v>0</v>
      </c>
      <c r="E400" s="1">
        <v>1</v>
      </c>
      <c r="F400" s="1">
        <v>14</v>
      </c>
      <c r="G400" s="1" t="b">
        <v>0</v>
      </c>
      <c r="H400" s="1">
        <v>2</v>
      </c>
      <c r="I400" s="1">
        <v>2</v>
      </c>
      <c r="J400" s="1">
        <v>0.22</v>
      </c>
      <c r="M400" t="str">
        <f t="shared" si="49"/>
        <v>Unique</v>
      </c>
      <c r="N400" t="str">
        <f t="shared" si="50"/>
        <v>Spring</v>
      </c>
      <c r="O400" t="str">
        <f t="shared" si="48"/>
        <v>2011</v>
      </c>
      <c r="P400" t="str">
        <f t="shared" si="55"/>
        <v>Working Day</v>
      </c>
      <c r="Q400" t="str">
        <f t="shared" si="51"/>
        <v>Tuesday</v>
      </c>
      <c r="R400" t="str">
        <f t="shared" si="52"/>
        <v>Cloudy</v>
      </c>
      <c r="S400" t="str">
        <f t="shared" si="53"/>
        <v>Afternoon</v>
      </c>
      <c r="T400" t="str">
        <f t="shared" si="54"/>
        <v>Cold</v>
      </c>
    </row>
    <row r="401" spans="1:20">
      <c r="A401" s="1">
        <v>400</v>
      </c>
      <c r="B401" s="2">
        <v>40561</v>
      </c>
      <c r="C401" s="1">
        <v>1</v>
      </c>
      <c r="D401" s="1">
        <v>0</v>
      </c>
      <c r="E401" s="1">
        <v>1</v>
      </c>
      <c r="F401" s="1">
        <v>15</v>
      </c>
      <c r="G401" s="1" t="b">
        <v>0</v>
      </c>
      <c r="H401" s="1">
        <v>2</v>
      </c>
      <c r="I401" s="1">
        <v>2</v>
      </c>
      <c r="J401" s="1">
        <v>0.22</v>
      </c>
      <c r="M401" t="str">
        <f t="shared" si="49"/>
        <v>Unique</v>
      </c>
      <c r="N401" t="str">
        <f t="shared" si="50"/>
        <v>Spring</v>
      </c>
      <c r="O401" t="str">
        <f t="shared" si="48"/>
        <v>2011</v>
      </c>
      <c r="P401" t="str">
        <f t="shared" si="55"/>
        <v>Working Day</v>
      </c>
      <c r="Q401" t="str">
        <f t="shared" si="51"/>
        <v>Tuesday</v>
      </c>
      <c r="R401" t="str">
        <f t="shared" si="52"/>
        <v>Cloudy</v>
      </c>
      <c r="S401" t="str">
        <f t="shared" si="53"/>
        <v>Afternoon</v>
      </c>
      <c r="T401" t="str">
        <f t="shared" si="54"/>
        <v>Cold</v>
      </c>
    </row>
    <row r="402" spans="1:20">
      <c r="A402" s="1">
        <v>401</v>
      </c>
      <c r="B402" s="2">
        <v>40561</v>
      </c>
      <c r="C402" s="1">
        <v>1</v>
      </c>
      <c r="D402" s="1">
        <v>0</v>
      </c>
      <c r="E402" s="1">
        <v>1</v>
      </c>
      <c r="F402" s="1">
        <v>16</v>
      </c>
      <c r="G402" s="1" t="b">
        <v>0</v>
      </c>
      <c r="H402" s="1">
        <v>2</v>
      </c>
      <c r="I402" s="1">
        <v>2</v>
      </c>
      <c r="J402" s="1">
        <v>0.22</v>
      </c>
      <c r="M402" t="str">
        <f t="shared" si="49"/>
        <v>Unique</v>
      </c>
      <c r="N402" t="str">
        <f t="shared" si="50"/>
        <v>Spring</v>
      </c>
      <c r="O402" t="str">
        <f t="shared" si="48"/>
        <v>2011</v>
      </c>
      <c r="P402" t="str">
        <f t="shared" si="55"/>
        <v>Working Day</v>
      </c>
      <c r="Q402" t="str">
        <f t="shared" si="51"/>
        <v>Tuesday</v>
      </c>
      <c r="R402" t="str">
        <f t="shared" si="52"/>
        <v>Cloudy</v>
      </c>
      <c r="S402" t="str">
        <f t="shared" si="53"/>
        <v>Afternoon</v>
      </c>
      <c r="T402" t="str">
        <f t="shared" si="54"/>
        <v>Cold</v>
      </c>
    </row>
    <row r="403" spans="1:20">
      <c r="A403" s="1">
        <v>402</v>
      </c>
      <c r="B403" s="2">
        <v>40561</v>
      </c>
      <c r="C403" s="1">
        <v>1</v>
      </c>
      <c r="D403" s="1">
        <v>0</v>
      </c>
      <c r="E403" s="1">
        <v>1</v>
      </c>
      <c r="F403" s="1">
        <v>17</v>
      </c>
      <c r="G403" s="1" t="b">
        <v>0</v>
      </c>
      <c r="H403" s="1">
        <v>2</v>
      </c>
      <c r="I403" s="1">
        <v>2</v>
      </c>
      <c r="J403" s="1">
        <v>0.22</v>
      </c>
      <c r="M403" t="str">
        <f t="shared" si="49"/>
        <v>Unique</v>
      </c>
      <c r="N403" t="str">
        <f t="shared" si="50"/>
        <v>Spring</v>
      </c>
      <c r="O403" t="str">
        <f t="shared" si="48"/>
        <v>2011</v>
      </c>
      <c r="P403" t="str">
        <f t="shared" si="55"/>
        <v>Working Day</v>
      </c>
      <c r="Q403" t="str">
        <f t="shared" si="51"/>
        <v>Tuesday</v>
      </c>
      <c r="R403" t="str">
        <f t="shared" si="52"/>
        <v>Cloudy</v>
      </c>
      <c r="S403" t="str">
        <f t="shared" si="53"/>
        <v>Afternoon</v>
      </c>
      <c r="T403" t="str">
        <f t="shared" si="54"/>
        <v>Cold</v>
      </c>
    </row>
    <row r="404" spans="1:20">
      <c r="A404" s="1">
        <v>403</v>
      </c>
      <c r="B404" s="2">
        <v>40561</v>
      </c>
      <c r="C404" s="1">
        <v>1</v>
      </c>
      <c r="D404" s="1">
        <v>0</v>
      </c>
      <c r="E404" s="1">
        <v>1</v>
      </c>
      <c r="F404" s="1">
        <v>18</v>
      </c>
      <c r="G404" s="1" t="b">
        <v>0</v>
      </c>
      <c r="H404" s="1">
        <v>2</v>
      </c>
      <c r="I404" s="1">
        <v>2</v>
      </c>
      <c r="J404" s="1">
        <v>0.22</v>
      </c>
      <c r="M404" t="str">
        <f t="shared" si="49"/>
        <v>Unique</v>
      </c>
      <c r="N404" t="str">
        <f t="shared" si="50"/>
        <v>Spring</v>
      </c>
      <c r="O404" t="str">
        <f t="shared" si="48"/>
        <v>2011</v>
      </c>
      <c r="P404" t="str">
        <f t="shared" si="55"/>
        <v>Working Day</v>
      </c>
      <c r="Q404" t="str">
        <f t="shared" si="51"/>
        <v>Tuesday</v>
      </c>
      <c r="R404" t="str">
        <f t="shared" si="52"/>
        <v>Cloudy</v>
      </c>
      <c r="S404" t="str">
        <f t="shared" si="53"/>
        <v>Night</v>
      </c>
      <c r="T404" t="str">
        <f t="shared" si="54"/>
        <v>Cold</v>
      </c>
    </row>
    <row r="405" spans="1:20">
      <c r="A405" s="1">
        <v>404</v>
      </c>
      <c r="B405" s="2">
        <v>40561</v>
      </c>
      <c r="C405" s="1">
        <v>1</v>
      </c>
      <c r="D405" s="1">
        <v>0</v>
      </c>
      <c r="E405" s="1">
        <v>1</v>
      </c>
      <c r="F405" s="1">
        <v>19</v>
      </c>
      <c r="G405" s="1" t="b">
        <v>0</v>
      </c>
      <c r="H405" s="1">
        <v>2</v>
      </c>
      <c r="I405" s="1">
        <v>2</v>
      </c>
      <c r="J405" s="1">
        <v>0.22</v>
      </c>
      <c r="M405" t="str">
        <f t="shared" si="49"/>
        <v>Unique</v>
      </c>
      <c r="N405" t="str">
        <f t="shared" si="50"/>
        <v>Spring</v>
      </c>
      <c r="O405" t="str">
        <f t="shared" si="48"/>
        <v>2011</v>
      </c>
      <c r="P405" t="str">
        <f t="shared" si="55"/>
        <v>Working Day</v>
      </c>
      <c r="Q405" t="str">
        <f t="shared" si="51"/>
        <v>Tuesday</v>
      </c>
      <c r="R405" t="str">
        <f t="shared" si="52"/>
        <v>Cloudy</v>
      </c>
      <c r="S405" t="str">
        <f t="shared" si="53"/>
        <v>Night</v>
      </c>
      <c r="T405" t="str">
        <f t="shared" si="54"/>
        <v>Cold</v>
      </c>
    </row>
    <row r="406" spans="1:20">
      <c r="A406" s="1">
        <v>405</v>
      </c>
      <c r="B406" s="2">
        <v>40561</v>
      </c>
      <c r="C406" s="1">
        <v>1</v>
      </c>
      <c r="D406" s="1">
        <v>0</v>
      </c>
      <c r="E406" s="1">
        <v>1</v>
      </c>
      <c r="F406" s="1">
        <v>20</v>
      </c>
      <c r="G406" s="1" t="b">
        <v>0</v>
      </c>
      <c r="H406" s="1">
        <v>2</v>
      </c>
      <c r="I406" s="1">
        <v>2</v>
      </c>
      <c r="J406" s="1">
        <v>0.22</v>
      </c>
      <c r="M406" t="str">
        <f t="shared" si="49"/>
        <v>Unique</v>
      </c>
      <c r="N406" t="str">
        <f t="shared" si="50"/>
        <v>Spring</v>
      </c>
      <c r="O406" t="str">
        <f t="shared" si="48"/>
        <v>2011</v>
      </c>
      <c r="P406" t="str">
        <f t="shared" si="55"/>
        <v>Working Day</v>
      </c>
      <c r="Q406" t="str">
        <f t="shared" si="51"/>
        <v>Tuesday</v>
      </c>
      <c r="R406" t="str">
        <f t="shared" si="52"/>
        <v>Cloudy</v>
      </c>
      <c r="S406" t="str">
        <f t="shared" si="53"/>
        <v>Night</v>
      </c>
      <c r="T406" t="str">
        <f t="shared" si="54"/>
        <v>Cold</v>
      </c>
    </row>
    <row r="407" spans="1:20">
      <c r="A407" s="1">
        <v>406</v>
      </c>
      <c r="B407" s="2">
        <v>40561</v>
      </c>
      <c r="C407" s="1">
        <v>1</v>
      </c>
      <c r="D407" s="1">
        <v>0</v>
      </c>
      <c r="E407" s="1">
        <v>1</v>
      </c>
      <c r="F407" s="1">
        <v>21</v>
      </c>
      <c r="G407" s="1" t="b">
        <v>0</v>
      </c>
      <c r="H407" s="1">
        <v>2</v>
      </c>
      <c r="I407" s="1">
        <v>2</v>
      </c>
      <c r="J407" s="1">
        <v>0.22</v>
      </c>
      <c r="M407" t="str">
        <f t="shared" si="49"/>
        <v>Unique</v>
      </c>
      <c r="N407" t="str">
        <f t="shared" si="50"/>
        <v>Spring</v>
      </c>
      <c r="O407" t="str">
        <f t="shared" si="48"/>
        <v>2011</v>
      </c>
      <c r="P407" t="str">
        <f t="shared" si="55"/>
        <v>Working Day</v>
      </c>
      <c r="Q407" t="str">
        <f t="shared" si="51"/>
        <v>Tuesday</v>
      </c>
      <c r="R407" t="str">
        <f t="shared" si="52"/>
        <v>Cloudy</v>
      </c>
      <c r="S407" t="str">
        <f t="shared" si="53"/>
        <v>Night</v>
      </c>
      <c r="T407" t="str">
        <f t="shared" si="54"/>
        <v>Cold</v>
      </c>
    </row>
    <row r="408" spans="1:20">
      <c r="A408" s="1">
        <v>407</v>
      </c>
      <c r="B408" s="2">
        <v>40561</v>
      </c>
      <c r="C408" s="1">
        <v>1</v>
      </c>
      <c r="D408" s="1">
        <v>0</v>
      </c>
      <c r="E408" s="1">
        <v>1</v>
      </c>
      <c r="F408" s="1">
        <v>22</v>
      </c>
      <c r="G408" s="1" t="b">
        <v>0</v>
      </c>
      <c r="H408" s="1">
        <v>2</v>
      </c>
      <c r="I408" s="1">
        <v>2</v>
      </c>
      <c r="J408" s="1">
        <v>0.22</v>
      </c>
      <c r="M408" t="str">
        <f t="shared" si="49"/>
        <v>Unique</v>
      </c>
      <c r="N408" t="str">
        <f t="shared" si="50"/>
        <v>Spring</v>
      </c>
      <c r="O408" t="str">
        <f t="shared" si="48"/>
        <v>2011</v>
      </c>
      <c r="P408" t="str">
        <f t="shared" si="55"/>
        <v>Working Day</v>
      </c>
      <c r="Q408" t="str">
        <f t="shared" si="51"/>
        <v>Tuesday</v>
      </c>
      <c r="R408" t="str">
        <f t="shared" si="52"/>
        <v>Cloudy</v>
      </c>
      <c r="S408" t="str">
        <f t="shared" si="53"/>
        <v>Night</v>
      </c>
      <c r="T408" t="str">
        <f t="shared" si="54"/>
        <v>Cold</v>
      </c>
    </row>
    <row r="409" spans="1:20">
      <c r="A409" s="1">
        <v>408</v>
      </c>
      <c r="B409" s="2">
        <v>40561</v>
      </c>
      <c r="C409" s="1">
        <v>1</v>
      </c>
      <c r="D409" s="1">
        <v>0</v>
      </c>
      <c r="E409" s="1">
        <v>1</v>
      </c>
      <c r="F409" s="1">
        <v>23</v>
      </c>
      <c r="G409" s="1" t="b">
        <v>0</v>
      </c>
      <c r="H409" s="1">
        <v>2</v>
      </c>
      <c r="I409" s="1">
        <v>2</v>
      </c>
      <c r="J409" s="1">
        <v>0.22</v>
      </c>
      <c r="M409" t="str">
        <f t="shared" si="49"/>
        <v>Unique</v>
      </c>
      <c r="N409" t="str">
        <f t="shared" si="50"/>
        <v>Spring</v>
      </c>
      <c r="O409" t="str">
        <f t="shared" si="48"/>
        <v>2011</v>
      </c>
      <c r="P409" t="str">
        <f t="shared" si="55"/>
        <v>Working Day</v>
      </c>
      <c r="Q409" t="str">
        <f t="shared" si="51"/>
        <v>Tuesday</v>
      </c>
      <c r="R409" t="str">
        <f t="shared" si="52"/>
        <v>Cloudy</v>
      </c>
      <c r="S409" t="str">
        <f t="shared" si="53"/>
        <v>Night</v>
      </c>
      <c r="T409" t="str">
        <f t="shared" si="54"/>
        <v>Cold</v>
      </c>
    </row>
    <row r="410" spans="1:20">
      <c r="A410" s="1">
        <v>409</v>
      </c>
      <c r="B410" s="2">
        <v>40562</v>
      </c>
      <c r="C410" s="1">
        <v>1</v>
      </c>
      <c r="D410" s="1">
        <v>0</v>
      </c>
      <c r="E410" s="1">
        <v>1</v>
      </c>
      <c r="F410" s="1">
        <v>0</v>
      </c>
      <c r="G410" s="1" t="b">
        <v>0</v>
      </c>
      <c r="H410" s="1">
        <v>3</v>
      </c>
      <c r="I410" s="1">
        <v>2</v>
      </c>
      <c r="J410" s="1">
        <v>0.22</v>
      </c>
      <c r="M410" t="str">
        <f t="shared" si="49"/>
        <v>Unique</v>
      </c>
      <c r="N410" t="str">
        <f t="shared" si="50"/>
        <v>Spring</v>
      </c>
      <c r="O410" t="str">
        <f t="shared" si="48"/>
        <v>2011</v>
      </c>
      <c r="P410" t="str">
        <f t="shared" si="55"/>
        <v>Working Day</v>
      </c>
      <c r="Q410" t="str">
        <f t="shared" si="51"/>
        <v>Wednesday</v>
      </c>
      <c r="R410" t="str">
        <f t="shared" si="52"/>
        <v>Cloudy</v>
      </c>
      <c r="S410" t="str">
        <f t="shared" si="53"/>
        <v>Morning</v>
      </c>
      <c r="T410" t="str">
        <f t="shared" si="54"/>
        <v>Cold</v>
      </c>
    </row>
    <row r="411" spans="1:20">
      <c r="A411" s="1">
        <v>410</v>
      </c>
      <c r="B411" s="2">
        <v>40562</v>
      </c>
      <c r="C411" s="1">
        <v>1</v>
      </c>
      <c r="D411" s="1">
        <v>0</v>
      </c>
      <c r="E411" s="1">
        <v>1</v>
      </c>
      <c r="F411" s="1">
        <v>1</v>
      </c>
      <c r="G411" s="1" t="b">
        <v>0</v>
      </c>
      <c r="H411" s="1">
        <v>3</v>
      </c>
      <c r="I411" s="1">
        <v>3</v>
      </c>
      <c r="J411" s="1">
        <v>0.22</v>
      </c>
      <c r="M411" t="str">
        <f t="shared" si="49"/>
        <v>Unique</v>
      </c>
      <c r="N411" t="str">
        <f t="shared" si="50"/>
        <v>Spring</v>
      </c>
      <c r="O411" t="str">
        <f t="shared" si="48"/>
        <v>2011</v>
      </c>
      <c r="P411" t="str">
        <f t="shared" si="55"/>
        <v>Working Day</v>
      </c>
      <c r="Q411" t="str">
        <f t="shared" si="51"/>
        <v>Wednesday</v>
      </c>
      <c r="R411" t="str">
        <f t="shared" si="52"/>
        <v>Rainy</v>
      </c>
      <c r="S411" t="str">
        <f t="shared" si="53"/>
        <v>Morning</v>
      </c>
      <c r="T411" t="str">
        <f t="shared" si="54"/>
        <v>Cold</v>
      </c>
    </row>
    <row r="412" spans="1:20">
      <c r="A412" s="1">
        <v>411</v>
      </c>
      <c r="B412" s="2">
        <v>40562</v>
      </c>
      <c r="C412" s="1">
        <v>1</v>
      </c>
      <c r="D412" s="1">
        <v>0</v>
      </c>
      <c r="E412" s="1">
        <v>1</v>
      </c>
      <c r="F412" s="1">
        <v>2</v>
      </c>
      <c r="G412" s="1" t="b">
        <v>0</v>
      </c>
      <c r="H412" s="1">
        <v>3</v>
      </c>
      <c r="I412" s="1">
        <v>3</v>
      </c>
      <c r="J412" s="1">
        <v>0.22</v>
      </c>
      <c r="M412" t="str">
        <f t="shared" si="49"/>
        <v>Unique</v>
      </c>
      <c r="N412" t="str">
        <f t="shared" si="50"/>
        <v>Spring</v>
      </c>
      <c r="O412" t="str">
        <f t="shared" si="48"/>
        <v>2011</v>
      </c>
      <c r="P412" t="str">
        <f t="shared" si="55"/>
        <v>Working Day</v>
      </c>
      <c r="Q412" t="str">
        <f t="shared" si="51"/>
        <v>Wednesday</v>
      </c>
      <c r="R412" t="str">
        <f t="shared" si="52"/>
        <v>Rainy</v>
      </c>
      <c r="S412" t="str">
        <f t="shared" si="53"/>
        <v>Morning</v>
      </c>
      <c r="T412" t="str">
        <f t="shared" si="54"/>
        <v>Cold</v>
      </c>
    </row>
    <row r="413" spans="1:20">
      <c r="A413" s="1">
        <v>412</v>
      </c>
      <c r="B413" s="2">
        <v>40562</v>
      </c>
      <c r="C413" s="1">
        <v>1</v>
      </c>
      <c r="D413" s="1">
        <v>0</v>
      </c>
      <c r="E413" s="1">
        <v>1</v>
      </c>
      <c r="F413" s="1">
        <v>4</v>
      </c>
      <c r="G413" s="1" t="b">
        <v>0</v>
      </c>
      <c r="H413" s="1">
        <v>3</v>
      </c>
      <c r="I413" s="1">
        <v>3</v>
      </c>
      <c r="J413" s="1">
        <v>0.22</v>
      </c>
      <c r="M413" t="str">
        <f t="shared" si="49"/>
        <v>Unique</v>
      </c>
      <c r="N413" t="str">
        <f t="shared" si="50"/>
        <v>Spring</v>
      </c>
      <c r="O413" t="str">
        <f t="shared" si="48"/>
        <v>2011</v>
      </c>
      <c r="P413" t="str">
        <f t="shared" si="55"/>
        <v>Working Day</v>
      </c>
      <c r="Q413" t="str">
        <f t="shared" si="51"/>
        <v>Wednesday</v>
      </c>
      <c r="R413" t="str">
        <f t="shared" si="52"/>
        <v>Rainy</v>
      </c>
      <c r="S413" t="str">
        <f t="shared" si="53"/>
        <v>Morning</v>
      </c>
      <c r="T413" t="str">
        <f t="shared" si="54"/>
        <v>Cold</v>
      </c>
    </row>
    <row r="414" spans="1:20">
      <c r="A414" s="1">
        <v>413</v>
      </c>
      <c r="B414" s="2">
        <v>40562</v>
      </c>
      <c r="C414" s="1">
        <v>1</v>
      </c>
      <c r="D414" s="1">
        <v>0</v>
      </c>
      <c r="E414" s="1">
        <v>1</v>
      </c>
      <c r="F414" s="1">
        <v>5</v>
      </c>
      <c r="G414" s="1" t="b">
        <v>0</v>
      </c>
      <c r="H414" s="1">
        <v>3</v>
      </c>
      <c r="I414" s="1">
        <v>2</v>
      </c>
      <c r="J414" s="1">
        <v>0.22</v>
      </c>
      <c r="M414" t="str">
        <f t="shared" si="49"/>
        <v>Unique</v>
      </c>
      <c r="N414" t="str">
        <f t="shared" si="50"/>
        <v>Spring</v>
      </c>
      <c r="O414" t="str">
        <f t="shared" si="48"/>
        <v>2011</v>
      </c>
      <c r="P414" t="str">
        <f t="shared" si="55"/>
        <v>Working Day</v>
      </c>
      <c r="Q414" t="str">
        <f t="shared" si="51"/>
        <v>Wednesday</v>
      </c>
      <c r="R414" t="str">
        <f t="shared" si="52"/>
        <v>Cloudy</v>
      </c>
      <c r="S414" t="str">
        <f t="shared" si="53"/>
        <v>Morning</v>
      </c>
      <c r="T414" t="str">
        <f t="shared" si="54"/>
        <v>Cold</v>
      </c>
    </row>
    <row r="415" spans="1:20">
      <c r="A415" s="1">
        <v>414</v>
      </c>
      <c r="B415" s="2">
        <v>40562</v>
      </c>
      <c r="C415" s="1">
        <v>1</v>
      </c>
      <c r="D415" s="1">
        <v>0</v>
      </c>
      <c r="E415" s="1">
        <v>1</v>
      </c>
      <c r="F415" s="1">
        <v>6</v>
      </c>
      <c r="G415" s="1" t="b">
        <v>0</v>
      </c>
      <c r="H415" s="1">
        <v>3</v>
      </c>
      <c r="I415" s="1">
        <v>2</v>
      </c>
      <c r="J415" s="1">
        <v>0.22</v>
      </c>
      <c r="M415" t="str">
        <f t="shared" si="49"/>
        <v>Unique</v>
      </c>
      <c r="N415" t="str">
        <f t="shared" si="50"/>
        <v>Spring</v>
      </c>
      <c r="O415" t="str">
        <f t="shared" si="48"/>
        <v>2011</v>
      </c>
      <c r="P415" t="str">
        <f t="shared" si="55"/>
        <v>Working Day</v>
      </c>
      <c r="Q415" t="str">
        <f t="shared" si="51"/>
        <v>Wednesday</v>
      </c>
      <c r="R415" t="str">
        <f t="shared" si="52"/>
        <v>Cloudy</v>
      </c>
      <c r="S415" t="str">
        <f t="shared" si="53"/>
        <v>Morning</v>
      </c>
      <c r="T415" t="str">
        <f t="shared" si="54"/>
        <v>Cold</v>
      </c>
    </row>
    <row r="416" spans="1:20">
      <c r="A416" s="1">
        <v>415</v>
      </c>
      <c r="B416" s="2">
        <v>40562</v>
      </c>
      <c r="C416" s="1">
        <v>1</v>
      </c>
      <c r="D416" s="1">
        <v>0</v>
      </c>
      <c r="E416" s="1">
        <v>1</v>
      </c>
      <c r="F416" s="1">
        <v>7</v>
      </c>
      <c r="G416" s="1" t="b">
        <v>0</v>
      </c>
      <c r="H416" s="1">
        <v>3</v>
      </c>
      <c r="I416" s="1">
        <v>2</v>
      </c>
      <c r="J416" s="1">
        <v>0.24</v>
      </c>
      <c r="M416" t="str">
        <f t="shared" si="49"/>
        <v>Unique</v>
      </c>
      <c r="N416" t="str">
        <f t="shared" si="50"/>
        <v>Spring</v>
      </c>
      <c r="O416" t="str">
        <f t="shared" si="48"/>
        <v>2011</v>
      </c>
      <c r="P416" t="str">
        <f t="shared" si="55"/>
        <v>Working Day</v>
      </c>
      <c r="Q416" t="str">
        <f t="shared" si="51"/>
        <v>Wednesday</v>
      </c>
      <c r="R416" t="str">
        <f t="shared" si="52"/>
        <v>Cloudy</v>
      </c>
      <c r="S416" t="str">
        <f t="shared" si="53"/>
        <v>Morning</v>
      </c>
      <c r="T416" t="str">
        <f t="shared" si="54"/>
        <v>Cold</v>
      </c>
    </row>
    <row r="417" spans="1:20">
      <c r="A417" s="1">
        <v>416</v>
      </c>
      <c r="B417" s="2">
        <v>40562</v>
      </c>
      <c r="C417" s="1">
        <v>1</v>
      </c>
      <c r="D417" s="1">
        <v>0</v>
      </c>
      <c r="E417" s="1">
        <v>1</v>
      </c>
      <c r="F417" s="1">
        <v>8</v>
      </c>
      <c r="G417" s="1" t="b">
        <v>0</v>
      </c>
      <c r="H417" s="1">
        <v>3</v>
      </c>
      <c r="I417" s="1">
        <v>2</v>
      </c>
      <c r="J417" s="1">
        <v>0.24</v>
      </c>
      <c r="M417" t="str">
        <f t="shared" si="49"/>
        <v>Unique</v>
      </c>
      <c r="N417" t="str">
        <f t="shared" si="50"/>
        <v>Spring</v>
      </c>
      <c r="O417" t="str">
        <f t="shared" si="48"/>
        <v>2011</v>
      </c>
      <c r="P417" t="str">
        <f t="shared" si="55"/>
        <v>Working Day</v>
      </c>
      <c r="Q417" t="str">
        <f t="shared" si="51"/>
        <v>Wednesday</v>
      </c>
      <c r="R417" t="str">
        <f t="shared" si="52"/>
        <v>Cloudy</v>
      </c>
      <c r="S417" t="str">
        <f t="shared" si="53"/>
        <v>Morning</v>
      </c>
      <c r="T417" t="str">
        <f t="shared" si="54"/>
        <v>Cold</v>
      </c>
    </row>
    <row r="418" spans="1:20">
      <c r="A418" s="1">
        <v>417</v>
      </c>
      <c r="B418" s="2">
        <v>40562</v>
      </c>
      <c r="C418" s="1">
        <v>1</v>
      </c>
      <c r="D418" s="1">
        <v>0</v>
      </c>
      <c r="E418" s="1">
        <v>1</v>
      </c>
      <c r="F418" s="1">
        <v>9</v>
      </c>
      <c r="G418" s="1" t="b">
        <v>0</v>
      </c>
      <c r="H418" s="1">
        <v>3</v>
      </c>
      <c r="I418" s="1">
        <v>2</v>
      </c>
      <c r="J418" s="1">
        <v>0.24</v>
      </c>
      <c r="M418" t="str">
        <f t="shared" si="49"/>
        <v>Unique</v>
      </c>
      <c r="N418" t="str">
        <f t="shared" si="50"/>
        <v>Spring</v>
      </c>
      <c r="O418" t="str">
        <f t="shared" si="48"/>
        <v>2011</v>
      </c>
      <c r="P418" t="str">
        <f t="shared" si="55"/>
        <v>Working Day</v>
      </c>
      <c r="Q418" t="str">
        <f t="shared" si="51"/>
        <v>Wednesday</v>
      </c>
      <c r="R418" t="str">
        <f t="shared" si="52"/>
        <v>Cloudy</v>
      </c>
      <c r="S418" t="str">
        <f t="shared" si="53"/>
        <v>Morning</v>
      </c>
      <c r="T418" t="str">
        <f t="shared" si="54"/>
        <v>Cold</v>
      </c>
    </row>
    <row r="419" spans="1:20">
      <c r="A419" s="1">
        <v>418</v>
      </c>
      <c r="B419" s="2">
        <v>40562</v>
      </c>
      <c r="C419" s="1">
        <v>1</v>
      </c>
      <c r="D419" s="1">
        <v>0</v>
      </c>
      <c r="E419" s="1">
        <v>1</v>
      </c>
      <c r="F419" s="1">
        <v>10</v>
      </c>
      <c r="G419" s="1" t="b">
        <v>0</v>
      </c>
      <c r="H419" s="1">
        <v>3</v>
      </c>
      <c r="I419" s="1">
        <v>2</v>
      </c>
      <c r="J419" s="1">
        <v>0.26</v>
      </c>
      <c r="M419" t="str">
        <f t="shared" si="49"/>
        <v>Unique</v>
      </c>
      <c r="N419" t="str">
        <f t="shared" si="50"/>
        <v>Spring</v>
      </c>
      <c r="O419" t="str">
        <f t="shared" si="48"/>
        <v>2011</v>
      </c>
      <c r="P419" t="str">
        <f t="shared" si="55"/>
        <v>Working Day</v>
      </c>
      <c r="Q419" t="str">
        <f t="shared" si="51"/>
        <v>Wednesday</v>
      </c>
      <c r="R419" t="str">
        <f t="shared" si="52"/>
        <v>Cloudy</v>
      </c>
      <c r="S419" t="str">
        <f t="shared" si="53"/>
        <v>Morning</v>
      </c>
      <c r="T419" t="str">
        <f t="shared" si="54"/>
        <v>Cold</v>
      </c>
    </row>
    <row r="420" spans="1:20">
      <c r="A420" s="1">
        <v>419</v>
      </c>
      <c r="B420" s="2">
        <v>40562</v>
      </c>
      <c r="C420" s="1">
        <v>1</v>
      </c>
      <c r="D420" s="1">
        <v>0</v>
      </c>
      <c r="E420" s="1">
        <v>1</v>
      </c>
      <c r="F420" s="1">
        <v>11</v>
      </c>
      <c r="G420" s="1" t="b">
        <v>0</v>
      </c>
      <c r="H420" s="1">
        <v>3</v>
      </c>
      <c r="I420" s="1">
        <v>2</v>
      </c>
      <c r="J420" s="1">
        <v>0.28000000000000003</v>
      </c>
      <c r="M420" t="str">
        <f t="shared" si="49"/>
        <v>Unique</v>
      </c>
      <c r="N420" t="str">
        <f t="shared" si="50"/>
        <v>Spring</v>
      </c>
      <c r="O420" t="str">
        <f t="shared" si="48"/>
        <v>2011</v>
      </c>
      <c r="P420" t="str">
        <f t="shared" si="55"/>
        <v>Working Day</v>
      </c>
      <c r="Q420" t="str">
        <f t="shared" si="51"/>
        <v>Wednesday</v>
      </c>
      <c r="R420" t="str">
        <f t="shared" si="52"/>
        <v>Cloudy</v>
      </c>
      <c r="S420" t="str">
        <f t="shared" si="53"/>
        <v>Morning</v>
      </c>
      <c r="T420" t="str">
        <f t="shared" si="54"/>
        <v>Cold</v>
      </c>
    </row>
    <row r="421" spans="1:20">
      <c r="A421" s="1">
        <v>420</v>
      </c>
      <c r="B421" s="2">
        <v>40562</v>
      </c>
      <c r="C421" s="1">
        <v>1</v>
      </c>
      <c r="D421" s="1">
        <v>0</v>
      </c>
      <c r="E421" s="1">
        <v>1</v>
      </c>
      <c r="F421" s="1">
        <v>12</v>
      </c>
      <c r="G421" s="1" t="b">
        <v>0</v>
      </c>
      <c r="H421" s="1">
        <v>3</v>
      </c>
      <c r="I421" s="1">
        <v>2</v>
      </c>
      <c r="J421" s="1">
        <v>0.3</v>
      </c>
      <c r="M421" t="str">
        <f t="shared" si="49"/>
        <v>Unique</v>
      </c>
      <c r="N421" t="str">
        <f t="shared" si="50"/>
        <v>Spring</v>
      </c>
      <c r="O421" t="str">
        <f t="shared" si="48"/>
        <v>2011</v>
      </c>
      <c r="P421" t="str">
        <f t="shared" si="55"/>
        <v>Working Day</v>
      </c>
      <c r="Q421" t="str">
        <f t="shared" si="51"/>
        <v>Wednesday</v>
      </c>
      <c r="R421" t="str">
        <f t="shared" si="52"/>
        <v>Cloudy</v>
      </c>
      <c r="S421" t="str">
        <f t="shared" si="53"/>
        <v>Afternoon</v>
      </c>
      <c r="T421" t="str">
        <f t="shared" si="54"/>
        <v>Normal</v>
      </c>
    </row>
    <row r="422" spans="1:20">
      <c r="A422" s="1">
        <v>421</v>
      </c>
      <c r="B422" s="2">
        <v>40562</v>
      </c>
      <c r="C422" s="1">
        <v>1</v>
      </c>
      <c r="D422" s="1">
        <v>0</v>
      </c>
      <c r="E422" s="1">
        <v>1</v>
      </c>
      <c r="F422" s="1">
        <v>13</v>
      </c>
      <c r="G422" s="1" t="b">
        <v>0</v>
      </c>
      <c r="H422" s="1">
        <v>3</v>
      </c>
      <c r="I422" s="1">
        <v>1</v>
      </c>
      <c r="J422" s="1">
        <v>0.4</v>
      </c>
      <c r="M422" t="str">
        <f t="shared" si="49"/>
        <v>Unique</v>
      </c>
      <c r="N422" t="str">
        <f t="shared" si="50"/>
        <v>Spring</v>
      </c>
      <c r="O422" t="str">
        <f t="shared" si="48"/>
        <v>2011</v>
      </c>
      <c r="P422" t="str">
        <f t="shared" si="55"/>
        <v>Working Day</v>
      </c>
      <c r="Q422" t="str">
        <f t="shared" si="51"/>
        <v>Wednesday</v>
      </c>
      <c r="R422" t="str">
        <f t="shared" si="52"/>
        <v>Clear</v>
      </c>
      <c r="S422" t="str">
        <f t="shared" si="53"/>
        <v>Afternoon</v>
      </c>
      <c r="T422" t="str">
        <f t="shared" si="54"/>
        <v>Normal</v>
      </c>
    </row>
    <row r="423" spans="1:20">
      <c r="A423" s="1">
        <v>422</v>
      </c>
      <c r="B423" s="2">
        <v>40562</v>
      </c>
      <c r="C423" s="1">
        <v>1</v>
      </c>
      <c r="D423" s="1">
        <v>0</v>
      </c>
      <c r="E423" s="1">
        <v>1</v>
      </c>
      <c r="F423" s="1">
        <v>14</v>
      </c>
      <c r="G423" s="1" t="b">
        <v>0</v>
      </c>
      <c r="H423" s="1">
        <v>3</v>
      </c>
      <c r="I423" s="1">
        <v>1</v>
      </c>
      <c r="J423" s="1">
        <v>0.4</v>
      </c>
      <c r="M423" t="str">
        <f t="shared" si="49"/>
        <v>Unique</v>
      </c>
      <c r="N423" t="str">
        <f t="shared" si="50"/>
        <v>Spring</v>
      </c>
      <c r="O423" t="str">
        <f t="shared" si="48"/>
        <v>2011</v>
      </c>
      <c r="P423" t="str">
        <f t="shared" si="55"/>
        <v>Working Day</v>
      </c>
      <c r="Q423" t="str">
        <f t="shared" si="51"/>
        <v>Wednesday</v>
      </c>
      <c r="R423" t="str">
        <f t="shared" si="52"/>
        <v>Clear</v>
      </c>
      <c r="S423" t="str">
        <f t="shared" si="53"/>
        <v>Afternoon</v>
      </c>
      <c r="T423" t="str">
        <f t="shared" si="54"/>
        <v>Normal</v>
      </c>
    </row>
    <row r="424" spans="1:20">
      <c r="A424" s="1">
        <v>423</v>
      </c>
      <c r="B424" s="2">
        <v>40562</v>
      </c>
      <c r="C424" s="1">
        <v>1</v>
      </c>
      <c r="D424" s="1">
        <v>0</v>
      </c>
      <c r="E424" s="1">
        <v>1</v>
      </c>
      <c r="F424" s="1">
        <v>15</v>
      </c>
      <c r="G424" s="1" t="b">
        <v>0</v>
      </c>
      <c r="H424" s="1">
        <v>3</v>
      </c>
      <c r="I424" s="1">
        <v>1</v>
      </c>
      <c r="J424" s="1">
        <v>0.4</v>
      </c>
      <c r="M424" t="str">
        <f t="shared" si="49"/>
        <v>Unique</v>
      </c>
      <c r="N424" t="str">
        <f t="shared" si="50"/>
        <v>Spring</v>
      </c>
      <c r="O424" t="str">
        <f t="shared" si="48"/>
        <v>2011</v>
      </c>
      <c r="P424" t="str">
        <f t="shared" si="55"/>
        <v>Working Day</v>
      </c>
      <c r="Q424" t="str">
        <f t="shared" si="51"/>
        <v>Wednesday</v>
      </c>
      <c r="R424" t="str">
        <f t="shared" si="52"/>
        <v>Clear</v>
      </c>
      <c r="S424" t="str">
        <f t="shared" si="53"/>
        <v>Afternoon</v>
      </c>
      <c r="T424" t="str">
        <f t="shared" si="54"/>
        <v>Normal</v>
      </c>
    </row>
    <row r="425" spans="1:20">
      <c r="A425" s="1">
        <v>424</v>
      </c>
      <c r="B425" s="2">
        <v>40562</v>
      </c>
      <c r="C425" s="1">
        <v>1</v>
      </c>
      <c r="D425" s="1">
        <v>0</v>
      </c>
      <c r="E425" s="1">
        <v>1</v>
      </c>
      <c r="F425" s="1">
        <v>16</v>
      </c>
      <c r="G425" s="1" t="b">
        <v>0</v>
      </c>
      <c r="H425" s="1">
        <v>3</v>
      </c>
      <c r="I425" s="1">
        <v>1</v>
      </c>
      <c r="J425" s="1">
        <v>0.38</v>
      </c>
      <c r="M425" t="str">
        <f t="shared" si="49"/>
        <v>Unique</v>
      </c>
      <c r="N425" t="str">
        <f t="shared" si="50"/>
        <v>Spring</v>
      </c>
      <c r="O425" t="str">
        <f t="shared" si="48"/>
        <v>2011</v>
      </c>
      <c r="P425" t="str">
        <f t="shared" si="55"/>
        <v>Working Day</v>
      </c>
      <c r="Q425" t="str">
        <f t="shared" si="51"/>
        <v>Wednesday</v>
      </c>
      <c r="R425" t="str">
        <f t="shared" si="52"/>
        <v>Clear</v>
      </c>
      <c r="S425" t="str">
        <f t="shared" si="53"/>
        <v>Afternoon</v>
      </c>
      <c r="T425" t="str">
        <f t="shared" si="54"/>
        <v>Normal</v>
      </c>
    </row>
    <row r="426" spans="1:20">
      <c r="A426" s="1">
        <v>425</v>
      </c>
      <c r="B426" s="2">
        <v>40562</v>
      </c>
      <c r="C426" s="1">
        <v>1</v>
      </c>
      <c r="D426" s="1">
        <v>0</v>
      </c>
      <c r="E426" s="1">
        <v>1</v>
      </c>
      <c r="F426" s="1">
        <v>17</v>
      </c>
      <c r="G426" s="1" t="b">
        <v>0</v>
      </c>
      <c r="H426" s="1">
        <v>3</v>
      </c>
      <c r="I426" s="1">
        <v>1</v>
      </c>
      <c r="J426" s="1">
        <v>0.36</v>
      </c>
      <c r="M426" t="str">
        <f t="shared" si="49"/>
        <v>Unique</v>
      </c>
      <c r="N426" t="str">
        <f t="shared" si="50"/>
        <v>Spring</v>
      </c>
      <c r="O426" t="str">
        <f t="shared" si="48"/>
        <v>2011</v>
      </c>
      <c r="P426" t="str">
        <f t="shared" si="55"/>
        <v>Working Day</v>
      </c>
      <c r="Q426" t="str">
        <f t="shared" si="51"/>
        <v>Wednesday</v>
      </c>
      <c r="R426" t="str">
        <f t="shared" si="52"/>
        <v>Clear</v>
      </c>
      <c r="S426" t="str">
        <f t="shared" si="53"/>
        <v>Afternoon</v>
      </c>
      <c r="T426" t="str">
        <f t="shared" si="54"/>
        <v>Normal</v>
      </c>
    </row>
    <row r="427" spans="1:20">
      <c r="A427" s="1">
        <v>426</v>
      </c>
      <c r="B427" s="2">
        <v>40562</v>
      </c>
      <c r="C427" s="1">
        <v>1</v>
      </c>
      <c r="D427" s="1">
        <v>0</v>
      </c>
      <c r="E427" s="1">
        <v>1</v>
      </c>
      <c r="F427" s="1">
        <v>18</v>
      </c>
      <c r="G427" s="1" t="b">
        <v>0</v>
      </c>
      <c r="H427" s="1">
        <v>3</v>
      </c>
      <c r="I427" s="1">
        <v>1</v>
      </c>
      <c r="J427" s="1">
        <v>0.34</v>
      </c>
      <c r="M427" t="str">
        <f t="shared" si="49"/>
        <v>Unique</v>
      </c>
      <c r="N427" t="str">
        <f t="shared" si="50"/>
        <v>Spring</v>
      </c>
      <c r="O427" t="str">
        <f t="shared" si="48"/>
        <v>2011</v>
      </c>
      <c r="P427" t="str">
        <f t="shared" si="55"/>
        <v>Working Day</v>
      </c>
      <c r="Q427" t="str">
        <f t="shared" si="51"/>
        <v>Wednesday</v>
      </c>
      <c r="R427" t="str">
        <f t="shared" si="52"/>
        <v>Clear</v>
      </c>
      <c r="S427" t="str">
        <f t="shared" si="53"/>
        <v>Night</v>
      </c>
      <c r="T427" t="str">
        <f t="shared" si="54"/>
        <v>Normal</v>
      </c>
    </row>
    <row r="428" spans="1:20">
      <c r="A428" s="1">
        <v>427</v>
      </c>
      <c r="B428" s="2">
        <v>40562</v>
      </c>
      <c r="C428" s="1">
        <v>1</v>
      </c>
      <c r="D428" s="1">
        <v>0</v>
      </c>
      <c r="E428" s="1">
        <v>1</v>
      </c>
      <c r="F428" s="1">
        <v>19</v>
      </c>
      <c r="G428" s="1" t="b">
        <v>0</v>
      </c>
      <c r="H428" s="1">
        <v>3</v>
      </c>
      <c r="I428" s="1">
        <v>1</v>
      </c>
      <c r="J428" s="1">
        <v>0.32</v>
      </c>
      <c r="M428" t="str">
        <f t="shared" si="49"/>
        <v>Unique</v>
      </c>
      <c r="N428" t="str">
        <f t="shared" si="50"/>
        <v>Spring</v>
      </c>
      <c r="O428" t="str">
        <f t="shared" si="48"/>
        <v>2011</v>
      </c>
      <c r="P428" t="str">
        <f t="shared" si="55"/>
        <v>Working Day</v>
      </c>
      <c r="Q428" t="str">
        <f t="shared" si="51"/>
        <v>Wednesday</v>
      </c>
      <c r="R428" t="str">
        <f t="shared" si="52"/>
        <v>Clear</v>
      </c>
      <c r="S428" t="str">
        <f t="shared" si="53"/>
        <v>Night</v>
      </c>
      <c r="T428" t="str">
        <f t="shared" si="54"/>
        <v>Normal</v>
      </c>
    </row>
    <row r="429" spans="1:20">
      <c r="A429" s="1">
        <v>428</v>
      </c>
      <c r="B429" s="2">
        <v>40562</v>
      </c>
      <c r="C429" s="1">
        <v>1</v>
      </c>
      <c r="D429" s="1">
        <v>0</v>
      </c>
      <c r="E429" s="1">
        <v>1</v>
      </c>
      <c r="F429" s="1">
        <v>20</v>
      </c>
      <c r="G429" s="1" t="b">
        <v>0</v>
      </c>
      <c r="H429" s="1">
        <v>3</v>
      </c>
      <c r="I429" s="1">
        <v>1</v>
      </c>
      <c r="J429" s="1">
        <v>0.32</v>
      </c>
      <c r="M429" t="str">
        <f t="shared" si="49"/>
        <v>Unique</v>
      </c>
      <c r="N429" t="str">
        <f t="shared" si="50"/>
        <v>Spring</v>
      </c>
      <c r="O429" t="str">
        <f t="shared" si="48"/>
        <v>2011</v>
      </c>
      <c r="P429" t="str">
        <f t="shared" si="55"/>
        <v>Working Day</v>
      </c>
      <c r="Q429" t="str">
        <f t="shared" si="51"/>
        <v>Wednesday</v>
      </c>
      <c r="R429" t="str">
        <f t="shared" si="52"/>
        <v>Clear</v>
      </c>
      <c r="S429" t="str">
        <f t="shared" si="53"/>
        <v>Night</v>
      </c>
      <c r="T429" t="str">
        <f t="shared" si="54"/>
        <v>Normal</v>
      </c>
    </row>
    <row r="430" spans="1:20">
      <c r="A430" s="1">
        <v>429</v>
      </c>
      <c r="B430" s="2">
        <v>40562</v>
      </c>
      <c r="C430" s="1">
        <v>1</v>
      </c>
      <c r="D430" s="1">
        <v>0</v>
      </c>
      <c r="E430" s="1">
        <v>1</v>
      </c>
      <c r="F430" s="1">
        <v>21</v>
      </c>
      <c r="G430" s="1" t="b">
        <v>0</v>
      </c>
      <c r="H430" s="1">
        <v>3</v>
      </c>
      <c r="I430" s="1">
        <v>1</v>
      </c>
      <c r="J430" s="1">
        <v>0.32</v>
      </c>
      <c r="M430" t="str">
        <f t="shared" si="49"/>
        <v>Unique</v>
      </c>
      <c r="N430" t="str">
        <f t="shared" si="50"/>
        <v>Spring</v>
      </c>
      <c r="O430" t="str">
        <f t="shared" si="48"/>
        <v>2011</v>
      </c>
      <c r="P430" t="str">
        <f t="shared" si="55"/>
        <v>Working Day</v>
      </c>
      <c r="Q430" t="str">
        <f t="shared" si="51"/>
        <v>Wednesday</v>
      </c>
      <c r="R430" t="str">
        <f t="shared" si="52"/>
        <v>Clear</v>
      </c>
      <c r="S430" t="str">
        <f t="shared" si="53"/>
        <v>Night</v>
      </c>
      <c r="T430" t="str">
        <f t="shared" si="54"/>
        <v>Normal</v>
      </c>
    </row>
    <row r="431" spans="1:20">
      <c r="A431" s="1">
        <v>430</v>
      </c>
      <c r="B431" s="2">
        <v>40562</v>
      </c>
      <c r="C431" s="1">
        <v>1</v>
      </c>
      <c r="D431" s="1">
        <v>0</v>
      </c>
      <c r="E431" s="1">
        <v>1</v>
      </c>
      <c r="F431" s="1">
        <v>22</v>
      </c>
      <c r="G431" s="1" t="b">
        <v>0</v>
      </c>
      <c r="H431" s="1">
        <v>3</v>
      </c>
      <c r="I431" s="1">
        <v>1</v>
      </c>
      <c r="J431" s="1">
        <v>0.3</v>
      </c>
      <c r="M431" t="str">
        <f t="shared" si="49"/>
        <v>Unique</v>
      </c>
      <c r="N431" t="str">
        <f t="shared" si="50"/>
        <v>Spring</v>
      </c>
      <c r="O431" t="str">
        <f t="shared" si="48"/>
        <v>2011</v>
      </c>
      <c r="P431" t="str">
        <f t="shared" si="55"/>
        <v>Working Day</v>
      </c>
      <c r="Q431" t="str">
        <f t="shared" si="51"/>
        <v>Wednesday</v>
      </c>
      <c r="R431" t="str">
        <f t="shared" si="52"/>
        <v>Clear</v>
      </c>
      <c r="S431" t="str">
        <f t="shared" si="53"/>
        <v>Night</v>
      </c>
      <c r="T431" t="str">
        <f t="shared" si="54"/>
        <v>Normal</v>
      </c>
    </row>
    <row r="432" spans="1:20">
      <c r="A432" s="1">
        <v>431</v>
      </c>
      <c r="B432" s="2">
        <v>40562</v>
      </c>
      <c r="C432" s="1">
        <v>1</v>
      </c>
      <c r="D432" s="1">
        <v>0</v>
      </c>
      <c r="E432" s="1">
        <v>1</v>
      </c>
      <c r="F432" s="1">
        <v>23</v>
      </c>
      <c r="G432" s="1" t="b">
        <v>0</v>
      </c>
      <c r="H432" s="1">
        <v>3</v>
      </c>
      <c r="I432" s="1">
        <v>1</v>
      </c>
      <c r="J432" s="1">
        <v>0.3</v>
      </c>
      <c r="M432" t="str">
        <f t="shared" si="49"/>
        <v>Unique</v>
      </c>
      <c r="N432" t="str">
        <f t="shared" si="50"/>
        <v>Spring</v>
      </c>
      <c r="O432" t="str">
        <f t="shared" si="48"/>
        <v>2011</v>
      </c>
      <c r="P432" t="str">
        <f t="shared" si="55"/>
        <v>Working Day</v>
      </c>
      <c r="Q432" t="str">
        <f t="shared" si="51"/>
        <v>Wednesday</v>
      </c>
      <c r="R432" t="str">
        <f t="shared" si="52"/>
        <v>Clear</v>
      </c>
      <c r="S432" t="str">
        <f t="shared" si="53"/>
        <v>Night</v>
      </c>
      <c r="T432" t="str">
        <f t="shared" si="54"/>
        <v>Normal</v>
      </c>
    </row>
    <row r="433" spans="1:20">
      <c r="A433" s="1">
        <v>432</v>
      </c>
      <c r="B433" s="2">
        <v>40563</v>
      </c>
      <c r="C433" s="1">
        <v>1</v>
      </c>
      <c r="D433" s="1">
        <v>0</v>
      </c>
      <c r="E433" s="1">
        <v>1</v>
      </c>
      <c r="F433" s="1">
        <v>0</v>
      </c>
      <c r="G433" s="1" t="b">
        <v>0</v>
      </c>
      <c r="H433" s="1">
        <v>4</v>
      </c>
      <c r="I433" s="1">
        <v>1</v>
      </c>
      <c r="J433" s="1">
        <v>0.26</v>
      </c>
      <c r="M433" t="str">
        <f t="shared" si="49"/>
        <v>Unique</v>
      </c>
      <c r="N433" t="str">
        <f t="shared" si="50"/>
        <v>Spring</v>
      </c>
      <c r="O433" t="str">
        <f t="shared" si="48"/>
        <v>2011</v>
      </c>
      <c r="P433" t="str">
        <f t="shared" si="55"/>
        <v>Working Day</v>
      </c>
      <c r="Q433" t="str">
        <f t="shared" si="51"/>
        <v>Thursday</v>
      </c>
      <c r="R433" t="str">
        <f t="shared" si="52"/>
        <v>Clear</v>
      </c>
      <c r="S433" t="str">
        <f t="shared" si="53"/>
        <v>Morning</v>
      </c>
      <c r="T433" t="str">
        <f t="shared" si="54"/>
        <v>Cold</v>
      </c>
    </row>
    <row r="434" spans="1:20">
      <c r="A434" s="1">
        <v>433</v>
      </c>
      <c r="B434" s="2">
        <v>40563</v>
      </c>
      <c r="C434" s="1">
        <v>1</v>
      </c>
      <c r="D434" s="1">
        <v>0</v>
      </c>
      <c r="E434" s="1">
        <v>1</v>
      </c>
      <c r="F434" s="1">
        <v>1</v>
      </c>
      <c r="G434" s="1" t="b">
        <v>0</v>
      </c>
      <c r="H434" s="1">
        <v>4</v>
      </c>
      <c r="I434" s="1">
        <v>1</v>
      </c>
      <c r="J434" s="1">
        <v>0.26</v>
      </c>
      <c r="M434" t="str">
        <f t="shared" si="49"/>
        <v>Unique</v>
      </c>
      <c r="N434" t="str">
        <f t="shared" si="50"/>
        <v>Spring</v>
      </c>
      <c r="O434" t="str">
        <f t="shared" si="48"/>
        <v>2011</v>
      </c>
      <c r="P434" t="str">
        <f t="shared" si="55"/>
        <v>Working Day</v>
      </c>
      <c r="Q434" t="str">
        <f t="shared" si="51"/>
        <v>Thursday</v>
      </c>
      <c r="R434" t="str">
        <f t="shared" si="52"/>
        <v>Clear</v>
      </c>
      <c r="S434" t="str">
        <f t="shared" si="53"/>
        <v>Morning</v>
      </c>
      <c r="T434" t="str">
        <f t="shared" si="54"/>
        <v>Cold</v>
      </c>
    </row>
    <row r="435" spans="1:20">
      <c r="A435" s="1">
        <v>434</v>
      </c>
      <c r="B435" s="2">
        <v>40563</v>
      </c>
      <c r="C435" s="1">
        <v>1</v>
      </c>
      <c r="D435" s="1">
        <v>0</v>
      </c>
      <c r="E435" s="1">
        <v>1</v>
      </c>
      <c r="F435" s="1">
        <v>2</v>
      </c>
      <c r="G435" s="1" t="b">
        <v>0</v>
      </c>
      <c r="H435" s="1">
        <v>4</v>
      </c>
      <c r="I435" s="1">
        <v>1</v>
      </c>
      <c r="J435" s="1">
        <v>0.26</v>
      </c>
      <c r="M435" t="str">
        <f t="shared" si="49"/>
        <v>Unique</v>
      </c>
      <c r="N435" t="str">
        <f t="shared" si="50"/>
        <v>Spring</v>
      </c>
      <c r="O435" t="str">
        <f t="shared" si="48"/>
        <v>2011</v>
      </c>
      <c r="P435" t="str">
        <f t="shared" si="55"/>
        <v>Working Day</v>
      </c>
      <c r="Q435" t="str">
        <f t="shared" si="51"/>
        <v>Thursday</v>
      </c>
      <c r="R435" t="str">
        <f t="shared" si="52"/>
        <v>Clear</v>
      </c>
      <c r="S435" t="str">
        <f t="shared" si="53"/>
        <v>Morning</v>
      </c>
      <c r="T435" t="str">
        <f t="shared" si="54"/>
        <v>Cold</v>
      </c>
    </row>
    <row r="436" spans="1:20">
      <c r="A436" s="1">
        <v>435</v>
      </c>
      <c r="B436" s="2">
        <v>40563</v>
      </c>
      <c r="C436" s="1">
        <v>1</v>
      </c>
      <c r="D436" s="1">
        <v>0</v>
      </c>
      <c r="E436" s="1">
        <v>1</v>
      </c>
      <c r="F436" s="1">
        <v>3</v>
      </c>
      <c r="G436" s="1" t="b">
        <v>0</v>
      </c>
      <c r="H436" s="1">
        <v>4</v>
      </c>
      <c r="I436" s="1">
        <v>1</v>
      </c>
      <c r="J436" s="1">
        <v>0.26</v>
      </c>
      <c r="M436" t="str">
        <f t="shared" si="49"/>
        <v>Unique</v>
      </c>
      <c r="N436" t="str">
        <f t="shared" si="50"/>
        <v>Spring</v>
      </c>
      <c r="O436" t="str">
        <f t="shared" si="48"/>
        <v>2011</v>
      </c>
      <c r="P436" t="str">
        <f t="shared" si="55"/>
        <v>Working Day</v>
      </c>
      <c r="Q436" t="str">
        <f t="shared" si="51"/>
        <v>Thursday</v>
      </c>
      <c r="R436" t="str">
        <f t="shared" si="52"/>
        <v>Clear</v>
      </c>
      <c r="S436" t="str">
        <f t="shared" si="53"/>
        <v>Morning</v>
      </c>
      <c r="T436" t="str">
        <f t="shared" si="54"/>
        <v>Cold</v>
      </c>
    </row>
    <row r="437" spans="1:20">
      <c r="A437" s="1">
        <v>436</v>
      </c>
      <c r="B437" s="2">
        <v>40563</v>
      </c>
      <c r="C437" s="1">
        <v>1</v>
      </c>
      <c r="D437" s="1">
        <v>0</v>
      </c>
      <c r="E437" s="1">
        <v>1</v>
      </c>
      <c r="F437" s="1">
        <v>4</v>
      </c>
      <c r="G437" s="1" t="b">
        <v>0</v>
      </c>
      <c r="H437" s="1">
        <v>4</v>
      </c>
      <c r="I437" s="1">
        <v>1</v>
      </c>
      <c r="J437" s="1">
        <v>0.26</v>
      </c>
      <c r="M437" t="str">
        <f t="shared" si="49"/>
        <v>Unique</v>
      </c>
      <c r="N437" t="str">
        <f t="shared" si="50"/>
        <v>Spring</v>
      </c>
      <c r="O437" t="str">
        <f t="shared" si="48"/>
        <v>2011</v>
      </c>
      <c r="P437" t="str">
        <f t="shared" si="55"/>
        <v>Working Day</v>
      </c>
      <c r="Q437" t="str">
        <f t="shared" si="51"/>
        <v>Thursday</v>
      </c>
      <c r="R437" t="str">
        <f t="shared" si="52"/>
        <v>Clear</v>
      </c>
      <c r="S437" t="str">
        <f t="shared" si="53"/>
        <v>Morning</v>
      </c>
      <c r="T437" t="str">
        <f t="shared" si="54"/>
        <v>Cold</v>
      </c>
    </row>
    <row r="438" spans="1:20">
      <c r="A438" s="1">
        <v>437</v>
      </c>
      <c r="B438" s="2">
        <v>40563</v>
      </c>
      <c r="C438" s="1">
        <v>1</v>
      </c>
      <c r="D438" s="1">
        <v>0</v>
      </c>
      <c r="E438" s="1">
        <v>1</v>
      </c>
      <c r="F438" s="1">
        <v>5</v>
      </c>
      <c r="G438" s="1" t="b">
        <v>0</v>
      </c>
      <c r="H438" s="1">
        <v>4</v>
      </c>
      <c r="I438" s="1">
        <v>1</v>
      </c>
      <c r="J438" s="1">
        <v>0.24</v>
      </c>
      <c r="M438" t="str">
        <f t="shared" si="49"/>
        <v>Unique</v>
      </c>
      <c r="N438" t="str">
        <f t="shared" si="50"/>
        <v>Spring</v>
      </c>
      <c r="O438" t="str">
        <f t="shared" si="48"/>
        <v>2011</v>
      </c>
      <c r="P438" t="str">
        <f t="shared" si="55"/>
        <v>Working Day</v>
      </c>
      <c r="Q438" t="str">
        <f t="shared" si="51"/>
        <v>Thursday</v>
      </c>
      <c r="R438" t="str">
        <f t="shared" si="52"/>
        <v>Clear</v>
      </c>
      <c r="S438" t="str">
        <f t="shared" si="53"/>
        <v>Morning</v>
      </c>
      <c r="T438" t="str">
        <f t="shared" si="54"/>
        <v>Cold</v>
      </c>
    </row>
    <row r="439" spans="1:20">
      <c r="A439" s="1">
        <v>438</v>
      </c>
      <c r="B439" s="2">
        <v>40563</v>
      </c>
      <c r="C439" s="1">
        <v>1</v>
      </c>
      <c r="D439" s="1">
        <v>0</v>
      </c>
      <c r="E439" s="1">
        <v>1</v>
      </c>
      <c r="F439" s="1">
        <v>6</v>
      </c>
      <c r="G439" s="1" t="b">
        <v>0</v>
      </c>
      <c r="H439" s="1">
        <v>4</v>
      </c>
      <c r="I439" s="1">
        <v>1</v>
      </c>
      <c r="J439" s="1">
        <v>0.22</v>
      </c>
      <c r="M439" t="str">
        <f t="shared" si="49"/>
        <v>Unique</v>
      </c>
      <c r="N439" t="str">
        <f t="shared" si="50"/>
        <v>Spring</v>
      </c>
      <c r="O439" t="str">
        <f t="shared" si="48"/>
        <v>2011</v>
      </c>
      <c r="P439" t="str">
        <f t="shared" si="55"/>
        <v>Working Day</v>
      </c>
      <c r="Q439" t="str">
        <f t="shared" si="51"/>
        <v>Thursday</v>
      </c>
      <c r="R439" t="str">
        <f t="shared" si="52"/>
        <v>Clear</v>
      </c>
      <c r="S439" t="str">
        <f t="shared" si="53"/>
        <v>Morning</v>
      </c>
      <c r="T439" t="str">
        <f t="shared" si="54"/>
        <v>Cold</v>
      </c>
    </row>
    <row r="440" spans="1:20">
      <c r="A440" s="1">
        <v>439</v>
      </c>
      <c r="B440" s="2">
        <v>40563</v>
      </c>
      <c r="C440" s="1">
        <v>1</v>
      </c>
      <c r="D440" s="1">
        <v>0</v>
      </c>
      <c r="E440" s="1">
        <v>1</v>
      </c>
      <c r="F440" s="1">
        <v>7</v>
      </c>
      <c r="G440" s="1" t="b">
        <v>0</v>
      </c>
      <c r="H440" s="1">
        <v>4</v>
      </c>
      <c r="I440" s="1">
        <v>1</v>
      </c>
      <c r="J440" s="1">
        <v>0.22</v>
      </c>
      <c r="M440" t="str">
        <f t="shared" si="49"/>
        <v>Unique</v>
      </c>
      <c r="N440" t="str">
        <f t="shared" si="50"/>
        <v>Spring</v>
      </c>
      <c r="O440" t="str">
        <f t="shared" si="48"/>
        <v>2011</v>
      </c>
      <c r="P440" t="str">
        <f t="shared" si="55"/>
        <v>Working Day</v>
      </c>
      <c r="Q440" t="str">
        <f t="shared" si="51"/>
        <v>Thursday</v>
      </c>
      <c r="R440" t="str">
        <f t="shared" si="52"/>
        <v>Clear</v>
      </c>
      <c r="S440" t="str">
        <f t="shared" si="53"/>
        <v>Morning</v>
      </c>
      <c r="T440" t="str">
        <f t="shared" si="54"/>
        <v>Cold</v>
      </c>
    </row>
    <row r="441" spans="1:20">
      <c r="A441" s="1">
        <v>440</v>
      </c>
      <c r="B441" s="2">
        <v>40563</v>
      </c>
      <c r="C441" s="1">
        <v>1</v>
      </c>
      <c r="D441" s="1">
        <v>0</v>
      </c>
      <c r="E441" s="1">
        <v>1</v>
      </c>
      <c r="F441" s="1">
        <v>8</v>
      </c>
      <c r="G441" s="1" t="b">
        <v>0</v>
      </c>
      <c r="H441" s="1">
        <v>4</v>
      </c>
      <c r="I441" s="1">
        <v>1</v>
      </c>
      <c r="J441" s="1">
        <v>0.22</v>
      </c>
      <c r="M441" t="str">
        <f t="shared" si="49"/>
        <v>Unique</v>
      </c>
      <c r="N441" t="str">
        <f t="shared" si="50"/>
        <v>Spring</v>
      </c>
      <c r="O441" t="str">
        <f t="shared" si="48"/>
        <v>2011</v>
      </c>
      <c r="P441" t="str">
        <f t="shared" si="55"/>
        <v>Working Day</v>
      </c>
      <c r="Q441" t="str">
        <f t="shared" si="51"/>
        <v>Thursday</v>
      </c>
      <c r="R441" t="str">
        <f t="shared" si="52"/>
        <v>Clear</v>
      </c>
      <c r="S441" t="str">
        <f t="shared" si="53"/>
        <v>Morning</v>
      </c>
      <c r="T441" t="str">
        <f t="shared" si="54"/>
        <v>Cold</v>
      </c>
    </row>
    <row r="442" spans="1:20">
      <c r="A442" s="1">
        <v>441</v>
      </c>
      <c r="B442" s="2">
        <v>40563</v>
      </c>
      <c r="C442" s="1">
        <v>1</v>
      </c>
      <c r="D442" s="1">
        <v>0</v>
      </c>
      <c r="E442" s="1">
        <v>1</v>
      </c>
      <c r="F442" s="1">
        <v>9</v>
      </c>
      <c r="G442" s="1" t="b">
        <v>0</v>
      </c>
      <c r="H442" s="1">
        <v>4</v>
      </c>
      <c r="I442" s="1">
        <v>2</v>
      </c>
      <c r="J442" s="1">
        <v>0.24</v>
      </c>
      <c r="M442" t="str">
        <f t="shared" si="49"/>
        <v>Unique</v>
      </c>
      <c r="N442" t="str">
        <f t="shared" si="50"/>
        <v>Spring</v>
      </c>
      <c r="O442" t="str">
        <f t="shared" si="48"/>
        <v>2011</v>
      </c>
      <c r="P442" t="str">
        <f t="shared" si="55"/>
        <v>Working Day</v>
      </c>
      <c r="Q442" t="str">
        <f t="shared" si="51"/>
        <v>Thursday</v>
      </c>
      <c r="R442" t="str">
        <f t="shared" si="52"/>
        <v>Cloudy</v>
      </c>
      <c r="S442" t="str">
        <f t="shared" si="53"/>
        <v>Morning</v>
      </c>
      <c r="T442" t="str">
        <f t="shared" si="54"/>
        <v>Cold</v>
      </c>
    </row>
    <row r="443" spans="1:20">
      <c r="A443" s="1">
        <v>442</v>
      </c>
      <c r="B443" s="2">
        <v>40563</v>
      </c>
      <c r="C443" s="1">
        <v>1</v>
      </c>
      <c r="D443" s="1">
        <v>0</v>
      </c>
      <c r="E443" s="1">
        <v>1</v>
      </c>
      <c r="F443" s="1">
        <v>10</v>
      </c>
      <c r="G443" s="1" t="b">
        <v>0</v>
      </c>
      <c r="H443" s="1">
        <v>4</v>
      </c>
      <c r="I443" s="1">
        <v>1</v>
      </c>
      <c r="J443" s="1">
        <v>0.26</v>
      </c>
      <c r="M443" t="str">
        <f t="shared" si="49"/>
        <v>Unique</v>
      </c>
      <c r="N443" t="str">
        <f t="shared" si="50"/>
        <v>Spring</v>
      </c>
      <c r="O443" t="str">
        <f t="shared" si="48"/>
        <v>2011</v>
      </c>
      <c r="P443" t="str">
        <f t="shared" si="55"/>
        <v>Working Day</v>
      </c>
      <c r="Q443" t="str">
        <f t="shared" si="51"/>
        <v>Thursday</v>
      </c>
      <c r="R443" t="str">
        <f t="shared" si="52"/>
        <v>Clear</v>
      </c>
      <c r="S443" t="str">
        <f t="shared" si="53"/>
        <v>Morning</v>
      </c>
      <c r="T443" t="str">
        <f t="shared" si="54"/>
        <v>Cold</v>
      </c>
    </row>
    <row r="444" spans="1:20">
      <c r="A444" s="1">
        <v>443</v>
      </c>
      <c r="B444" s="2">
        <v>40563</v>
      </c>
      <c r="C444" s="1">
        <v>1</v>
      </c>
      <c r="D444" s="1">
        <v>0</v>
      </c>
      <c r="E444" s="1">
        <v>1</v>
      </c>
      <c r="F444" s="1">
        <v>11</v>
      </c>
      <c r="G444" s="1" t="b">
        <v>0</v>
      </c>
      <c r="H444" s="1">
        <v>4</v>
      </c>
      <c r="I444" s="1">
        <v>2</v>
      </c>
      <c r="J444" s="1">
        <v>0.28000000000000003</v>
      </c>
      <c r="M444" t="str">
        <f t="shared" si="49"/>
        <v>Unique</v>
      </c>
      <c r="N444" t="str">
        <f t="shared" si="50"/>
        <v>Spring</v>
      </c>
      <c r="O444" t="str">
        <f t="shared" si="48"/>
        <v>2011</v>
      </c>
      <c r="P444" t="str">
        <f t="shared" si="55"/>
        <v>Working Day</v>
      </c>
      <c r="Q444" t="str">
        <f t="shared" si="51"/>
        <v>Thursday</v>
      </c>
      <c r="R444" t="str">
        <f t="shared" si="52"/>
        <v>Cloudy</v>
      </c>
      <c r="S444" t="str">
        <f t="shared" si="53"/>
        <v>Morning</v>
      </c>
      <c r="T444" t="str">
        <f t="shared" si="54"/>
        <v>Cold</v>
      </c>
    </row>
    <row r="445" spans="1:20">
      <c r="A445" s="1">
        <v>444</v>
      </c>
      <c r="B445" s="2">
        <v>40563</v>
      </c>
      <c r="C445" s="1">
        <v>1</v>
      </c>
      <c r="D445" s="1">
        <v>0</v>
      </c>
      <c r="E445" s="1">
        <v>1</v>
      </c>
      <c r="F445" s="1">
        <v>12</v>
      </c>
      <c r="G445" s="1" t="b">
        <v>0</v>
      </c>
      <c r="H445" s="1">
        <v>4</v>
      </c>
      <c r="I445" s="1">
        <v>2</v>
      </c>
      <c r="J445" s="1">
        <v>0.3</v>
      </c>
      <c r="M445" t="str">
        <f t="shared" si="49"/>
        <v>Unique</v>
      </c>
      <c r="N445" t="str">
        <f t="shared" si="50"/>
        <v>Spring</v>
      </c>
      <c r="O445" t="str">
        <f t="shared" si="48"/>
        <v>2011</v>
      </c>
      <c r="P445" t="str">
        <f t="shared" si="55"/>
        <v>Working Day</v>
      </c>
      <c r="Q445" t="str">
        <f t="shared" si="51"/>
        <v>Thursday</v>
      </c>
      <c r="R445" t="str">
        <f t="shared" si="52"/>
        <v>Cloudy</v>
      </c>
      <c r="S445" t="str">
        <f t="shared" si="53"/>
        <v>Afternoon</v>
      </c>
      <c r="T445" t="str">
        <f t="shared" si="54"/>
        <v>Normal</v>
      </c>
    </row>
    <row r="446" spans="1:20">
      <c r="A446" s="1">
        <v>445</v>
      </c>
      <c r="B446" s="2">
        <v>40563</v>
      </c>
      <c r="C446" s="1">
        <v>1</v>
      </c>
      <c r="D446" s="1">
        <v>0</v>
      </c>
      <c r="E446" s="1">
        <v>1</v>
      </c>
      <c r="F446" s="1">
        <v>13</v>
      </c>
      <c r="G446" s="1" t="b">
        <v>0</v>
      </c>
      <c r="H446" s="1">
        <v>4</v>
      </c>
      <c r="I446" s="1">
        <v>2</v>
      </c>
      <c r="J446" s="1">
        <v>0.28000000000000003</v>
      </c>
      <c r="M446" t="str">
        <f t="shared" si="49"/>
        <v>Unique</v>
      </c>
      <c r="N446" t="str">
        <f t="shared" si="50"/>
        <v>Spring</v>
      </c>
      <c r="O446" t="str">
        <f t="shared" si="48"/>
        <v>2011</v>
      </c>
      <c r="P446" t="str">
        <f t="shared" si="55"/>
        <v>Working Day</v>
      </c>
      <c r="Q446" t="str">
        <f t="shared" si="51"/>
        <v>Thursday</v>
      </c>
      <c r="R446" t="str">
        <f t="shared" si="52"/>
        <v>Cloudy</v>
      </c>
      <c r="S446" t="str">
        <f t="shared" si="53"/>
        <v>Afternoon</v>
      </c>
      <c r="T446" t="str">
        <f t="shared" si="54"/>
        <v>Cold</v>
      </c>
    </row>
    <row r="447" spans="1:20">
      <c r="A447" s="1">
        <v>446</v>
      </c>
      <c r="B447" s="2">
        <v>40563</v>
      </c>
      <c r="C447" s="1">
        <v>1</v>
      </c>
      <c r="D447" s="1">
        <v>0</v>
      </c>
      <c r="E447" s="1">
        <v>1</v>
      </c>
      <c r="F447" s="1">
        <v>14</v>
      </c>
      <c r="G447" s="1" t="b">
        <v>0</v>
      </c>
      <c r="H447" s="1">
        <v>4</v>
      </c>
      <c r="I447" s="1">
        <v>2</v>
      </c>
      <c r="J447" s="1">
        <v>0.3</v>
      </c>
      <c r="M447" t="str">
        <f t="shared" si="49"/>
        <v>Unique</v>
      </c>
      <c r="N447" t="str">
        <f t="shared" si="50"/>
        <v>Spring</v>
      </c>
      <c r="O447" t="str">
        <f t="shared" si="48"/>
        <v>2011</v>
      </c>
      <c r="P447" t="str">
        <f t="shared" si="55"/>
        <v>Working Day</v>
      </c>
      <c r="Q447" t="str">
        <f t="shared" si="51"/>
        <v>Thursday</v>
      </c>
      <c r="R447" t="str">
        <f t="shared" si="52"/>
        <v>Cloudy</v>
      </c>
      <c r="S447" t="str">
        <f t="shared" si="53"/>
        <v>Afternoon</v>
      </c>
      <c r="T447" t="str">
        <f t="shared" si="54"/>
        <v>Normal</v>
      </c>
    </row>
    <row r="448" spans="1:20">
      <c r="A448" s="1">
        <v>447</v>
      </c>
      <c r="B448" s="2">
        <v>40563</v>
      </c>
      <c r="C448" s="1">
        <v>1</v>
      </c>
      <c r="D448" s="1">
        <v>0</v>
      </c>
      <c r="E448" s="1">
        <v>1</v>
      </c>
      <c r="F448" s="1">
        <v>15</v>
      </c>
      <c r="G448" s="1" t="b">
        <v>0</v>
      </c>
      <c r="H448" s="1">
        <v>4</v>
      </c>
      <c r="I448" s="1">
        <v>2</v>
      </c>
      <c r="J448" s="1">
        <v>0.32</v>
      </c>
      <c r="M448" t="str">
        <f t="shared" si="49"/>
        <v>Unique</v>
      </c>
      <c r="N448" t="str">
        <f t="shared" si="50"/>
        <v>Spring</v>
      </c>
      <c r="O448" t="str">
        <f t="shared" si="48"/>
        <v>2011</v>
      </c>
      <c r="P448" t="str">
        <f t="shared" si="55"/>
        <v>Working Day</v>
      </c>
      <c r="Q448" t="str">
        <f t="shared" si="51"/>
        <v>Thursday</v>
      </c>
      <c r="R448" t="str">
        <f t="shared" si="52"/>
        <v>Cloudy</v>
      </c>
      <c r="S448" t="str">
        <f t="shared" si="53"/>
        <v>Afternoon</v>
      </c>
      <c r="T448" t="str">
        <f t="shared" si="54"/>
        <v>Normal</v>
      </c>
    </row>
    <row r="449" spans="1:20">
      <c r="A449" s="1">
        <v>448</v>
      </c>
      <c r="B449" s="2">
        <v>40563</v>
      </c>
      <c r="C449" s="1">
        <v>1</v>
      </c>
      <c r="D449" s="1">
        <v>0</v>
      </c>
      <c r="E449" s="1">
        <v>1</v>
      </c>
      <c r="F449" s="1">
        <v>16</v>
      </c>
      <c r="G449" s="1" t="b">
        <v>0</v>
      </c>
      <c r="H449" s="1">
        <v>4</v>
      </c>
      <c r="I449" s="1">
        <v>2</v>
      </c>
      <c r="J449" s="1">
        <v>0.3</v>
      </c>
      <c r="M449" t="str">
        <f t="shared" si="49"/>
        <v>Unique</v>
      </c>
      <c r="N449" t="str">
        <f t="shared" si="50"/>
        <v>Spring</v>
      </c>
      <c r="O449" t="str">
        <f t="shared" si="48"/>
        <v>2011</v>
      </c>
      <c r="P449" t="str">
        <f t="shared" si="55"/>
        <v>Working Day</v>
      </c>
      <c r="Q449" t="str">
        <f t="shared" si="51"/>
        <v>Thursday</v>
      </c>
      <c r="R449" t="str">
        <f t="shared" si="52"/>
        <v>Cloudy</v>
      </c>
      <c r="S449" t="str">
        <f t="shared" si="53"/>
        <v>Afternoon</v>
      </c>
      <c r="T449" t="str">
        <f t="shared" si="54"/>
        <v>Normal</v>
      </c>
    </row>
    <row r="450" spans="1:20">
      <c r="A450" s="1">
        <v>449</v>
      </c>
      <c r="B450" s="2">
        <v>40563</v>
      </c>
      <c r="C450" s="1">
        <v>1</v>
      </c>
      <c r="D450" s="1">
        <v>0</v>
      </c>
      <c r="E450" s="1">
        <v>1</v>
      </c>
      <c r="F450" s="1">
        <v>17</v>
      </c>
      <c r="G450" s="1" t="b">
        <v>0</v>
      </c>
      <c r="H450" s="1">
        <v>4</v>
      </c>
      <c r="I450" s="1">
        <v>2</v>
      </c>
      <c r="J450" s="1">
        <v>0.3</v>
      </c>
      <c r="M450" t="str">
        <f t="shared" si="49"/>
        <v>Unique</v>
      </c>
      <c r="N450" t="str">
        <f t="shared" si="50"/>
        <v>Spring</v>
      </c>
      <c r="O450" t="str">
        <f t="shared" ref="O450:O513" si="56">IF(D450=0,"2011","2012")</f>
        <v>2011</v>
      </c>
      <c r="P450" t="str">
        <f t="shared" si="55"/>
        <v>Working Day</v>
      </c>
      <c r="Q450" t="str">
        <f t="shared" si="51"/>
        <v>Thursday</v>
      </c>
      <c r="R450" t="str">
        <f t="shared" si="52"/>
        <v>Cloudy</v>
      </c>
      <c r="S450" t="str">
        <f t="shared" si="53"/>
        <v>Afternoon</v>
      </c>
      <c r="T450" t="str">
        <f t="shared" si="54"/>
        <v>Normal</v>
      </c>
    </row>
    <row r="451" spans="1:20">
      <c r="A451" s="1">
        <v>450</v>
      </c>
      <c r="B451" s="2">
        <v>40563</v>
      </c>
      <c r="C451" s="1">
        <v>1</v>
      </c>
      <c r="D451" s="1">
        <v>0</v>
      </c>
      <c r="E451" s="1">
        <v>1</v>
      </c>
      <c r="F451" s="1">
        <v>18</v>
      </c>
      <c r="G451" s="1" t="b">
        <v>0</v>
      </c>
      <c r="H451" s="1">
        <v>4</v>
      </c>
      <c r="I451" s="1">
        <v>2</v>
      </c>
      <c r="J451" s="1">
        <v>0.26</v>
      </c>
      <c r="M451" t="str">
        <f t="shared" ref="M451:M514" si="57">IF(COUNTIF(A:A,A451)&gt;1,"Duplicate","Unique")</f>
        <v>Unique</v>
      </c>
      <c r="N451" t="str">
        <f t="shared" ref="N451:N514" si="58">IF(C451=1,"Spring",IF(C451=2,"Summer",IF(C451=3,"Fall","Winter")))</f>
        <v>Spring</v>
      </c>
      <c r="O451" t="str">
        <f t="shared" si="56"/>
        <v>2011</v>
      </c>
      <c r="P451" t="str">
        <f t="shared" si="55"/>
        <v>Working Day</v>
      </c>
      <c r="Q451" t="str">
        <f t="shared" ref="Q451:Q514" si="59">CHOOSE(H451+1,"Sunday","Monday","Tuesday","Wednesday","Thursday","Friday","Saturday")</f>
        <v>Thursday</v>
      </c>
      <c r="R451" t="str">
        <f t="shared" ref="R451:R514" si="60">IF(I451=1,"Clear",IF(I451=2,"Cloudy",IF(I451=3,"Rainy","Storm")))</f>
        <v>Cloudy</v>
      </c>
      <c r="S451" t="str">
        <f t="shared" ref="S451:S514" si="61">IF(F451&lt;12,"Morning",IF(F451&lt;18,"Afternoon","Night"))</f>
        <v>Night</v>
      </c>
      <c r="T451" t="str">
        <f t="shared" ref="T451:T514" si="62">IF(J451&lt;0.3,"Cold",IF(J451&lt;0.6,"Normal","Hot"))</f>
        <v>Cold</v>
      </c>
    </row>
    <row r="452" spans="1:20">
      <c r="A452" s="1">
        <v>451</v>
      </c>
      <c r="B452" s="2">
        <v>40563</v>
      </c>
      <c r="C452" s="1">
        <v>1</v>
      </c>
      <c r="D452" s="1">
        <v>0</v>
      </c>
      <c r="E452" s="1">
        <v>1</v>
      </c>
      <c r="F452" s="1">
        <v>19</v>
      </c>
      <c r="G452" s="1" t="b">
        <v>0</v>
      </c>
      <c r="H452" s="1">
        <v>4</v>
      </c>
      <c r="I452" s="1">
        <v>1</v>
      </c>
      <c r="J452" s="1">
        <v>0.26</v>
      </c>
      <c r="M452" t="str">
        <f t="shared" si="57"/>
        <v>Unique</v>
      </c>
      <c r="N452" t="str">
        <f t="shared" si="58"/>
        <v>Spring</v>
      </c>
      <c r="O452" t="str">
        <f t="shared" si="56"/>
        <v>2011</v>
      </c>
      <c r="P452" t="str">
        <f t="shared" ref="P452:P515" si="63">IF(G451=FALSE,"Working Day","Holiday")</f>
        <v>Working Day</v>
      </c>
      <c r="Q452" t="str">
        <f t="shared" si="59"/>
        <v>Thursday</v>
      </c>
      <c r="R452" t="str">
        <f t="shared" si="60"/>
        <v>Clear</v>
      </c>
      <c r="S452" t="str">
        <f t="shared" si="61"/>
        <v>Night</v>
      </c>
      <c r="T452" t="str">
        <f t="shared" si="62"/>
        <v>Cold</v>
      </c>
    </row>
    <row r="453" spans="1:20">
      <c r="A453" s="1">
        <v>452</v>
      </c>
      <c r="B453" s="2">
        <v>40563</v>
      </c>
      <c r="C453" s="1">
        <v>1</v>
      </c>
      <c r="D453" s="1">
        <v>0</v>
      </c>
      <c r="E453" s="1">
        <v>1</v>
      </c>
      <c r="F453" s="1">
        <v>20</v>
      </c>
      <c r="G453" s="1" t="b">
        <v>0</v>
      </c>
      <c r="H453" s="1">
        <v>4</v>
      </c>
      <c r="I453" s="1">
        <v>2</v>
      </c>
      <c r="J453" s="1">
        <v>0.26</v>
      </c>
      <c r="M453" t="str">
        <f t="shared" si="57"/>
        <v>Unique</v>
      </c>
      <c r="N453" t="str">
        <f t="shared" si="58"/>
        <v>Spring</v>
      </c>
      <c r="O453" t="str">
        <f t="shared" si="56"/>
        <v>2011</v>
      </c>
      <c r="P453" t="str">
        <f t="shared" si="63"/>
        <v>Working Day</v>
      </c>
      <c r="Q453" t="str">
        <f t="shared" si="59"/>
        <v>Thursday</v>
      </c>
      <c r="R453" t="str">
        <f t="shared" si="60"/>
        <v>Cloudy</v>
      </c>
      <c r="S453" t="str">
        <f t="shared" si="61"/>
        <v>Night</v>
      </c>
      <c r="T453" t="str">
        <f t="shared" si="62"/>
        <v>Cold</v>
      </c>
    </row>
    <row r="454" spans="1:20">
      <c r="A454" s="1">
        <v>453</v>
      </c>
      <c r="B454" s="2">
        <v>40563</v>
      </c>
      <c r="C454" s="1">
        <v>1</v>
      </c>
      <c r="D454" s="1">
        <v>0</v>
      </c>
      <c r="E454" s="1">
        <v>1</v>
      </c>
      <c r="F454" s="1">
        <v>21</v>
      </c>
      <c r="G454" s="1" t="b">
        <v>0</v>
      </c>
      <c r="H454" s="1">
        <v>4</v>
      </c>
      <c r="I454" s="1">
        <v>2</v>
      </c>
      <c r="J454" s="1">
        <v>0.24</v>
      </c>
      <c r="M454" t="str">
        <f t="shared" si="57"/>
        <v>Unique</v>
      </c>
      <c r="N454" t="str">
        <f t="shared" si="58"/>
        <v>Spring</v>
      </c>
      <c r="O454" t="str">
        <f t="shared" si="56"/>
        <v>2011</v>
      </c>
      <c r="P454" t="str">
        <f t="shared" si="63"/>
        <v>Working Day</v>
      </c>
      <c r="Q454" t="str">
        <f t="shared" si="59"/>
        <v>Thursday</v>
      </c>
      <c r="R454" t="str">
        <f t="shared" si="60"/>
        <v>Cloudy</v>
      </c>
      <c r="S454" t="str">
        <f t="shared" si="61"/>
        <v>Night</v>
      </c>
      <c r="T454" t="str">
        <f t="shared" si="62"/>
        <v>Cold</v>
      </c>
    </row>
    <row r="455" spans="1:20">
      <c r="A455" s="1">
        <v>454</v>
      </c>
      <c r="B455" s="2">
        <v>40563</v>
      </c>
      <c r="C455" s="1">
        <v>1</v>
      </c>
      <c r="D455" s="1">
        <v>0</v>
      </c>
      <c r="E455" s="1">
        <v>1</v>
      </c>
      <c r="F455" s="1">
        <v>22</v>
      </c>
      <c r="G455" s="1" t="b">
        <v>0</v>
      </c>
      <c r="H455" s="1">
        <v>4</v>
      </c>
      <c r="I455" s="1">
        <v>2</v>
      </c>
      <c r="J455" s="1">
        <v>0.24</v>
      </c>
      <c r="M455" t="str">
        <f t="shared" si="57"/>
        <v>Unique</v>
      </c>
      <c r="N455" t="str">
        <f t="shared" si="58"/>
        <v>Spring</v>
      </c>
      <c r="O455" t="str">
        <f t="shared" si="56"/>
        <v>2011</v>
      </c>
      <c r="P455" t="str">
        <f t="shared" si="63"/>
        <v>Working Day</v>
      </c>
      <c r="Q455" t="str">
        <f t="shared" si="59"/>
        <v>Thursday</v>
      </c>
      <c r="R455" t="str">
        <f t="shared" si="60"/>
        <v>Cloudy</v>
      </c>
      <c r="S455" t="str">
        <f t="shared" si="61"/>
        <v>Night</v>
      </c>
      <c r="T455" t="str">
        <f t="shared" si="62"/>
        <v>Cold</v>
      </c>
    </row>
    <row r="456" spans="1:20">
      <c r="A456" s="1">
        <v>455</v>
      </c>
      <c r="B456" s="2">
        <v>40563</v>
      </c>
      <c r="C456" s="1">
        <v>1</v>
      </c>
      <c r="D456" s="1">
        <v>0</v>
      </c>
      <c r="E456" s="1">
        <v>1</v>
      </c>
      <c r="F456" s="1">
        <v>23</v>
      </c>
      <c r="G456" s="1" t="b">
        <v>0</v>
      </c>
      <c r="H456" s="1">
        <v>4</v>
      </c>
      <c r="I456" s="1">
        <v>2</v>
      </c>
      <c r="J456" s="1">
        <v>0.24</v>
      </c>
      <c r="M456" t="str">
        <f t="shared" si="57"/>
        <v>Unique</v>
      </c>
      <c r="N456" t="str">
        <f t="shared" si="58"/>
        <v>Spring</v>
      </c>
      <c r="O456" t="str">
        <f t="shared" si="56"/>
        <v>2011</v>
      </c>
      <c r="P456" t="str">
        <f t="shared" si="63"/>
        <v>Working Day</v>
      </c>
      <c r="Q456" t="str">
        <f t="shared" si="59"/>
        <v>Thursday</v>
      </c>
      <c r="R456" t="str">
        <f t="shared" si="60"/>
        <v>Cloudy</v>
      </c>
      <c r="S456" t="str">
        <f t="shared" si="61"/>
        <v>Night</v>
      </c>
      <c r="T456" t="str">
        <f t="shared" si="62"/>
        <v>Cold</v>
      </c>
    </row>
    <row r="457" spans="1:20">
      <c r="A457" s="1">
        <v>456</v>
      </c>
      <c r="B457" s="2">
        <v>40564</v>
      </c>
      <c r="C457" s="1">
        <v>1</v>
      </c>
      <c r="D457" s="1">
        <v>0</v>
      </c>
      <c r="E457" s="1">
        <v>1</v>
      </c>
      <c r="F457" s="1">
        <v>0</v>
      </c>
      <c r="G457" s="1" t="b">
        <v>0</v>
      </c>
      <c r="H457" s="1">
        <v>5</v>
      </c>
      <c r="I457" s="1">
        <v>2</v>
      </c>
      <c r="J457" s="1">
        <v>0.24</v>
      </c>
      <c r="M457" t="str">
        <f t="shared" si="57"/>
        <v>Unique</v>
      </c>
      <c r="N457" t="str">
        <f t="shared" si="58"/>
        <v>Spring</v>
      </c>
      <c r="O457" t="str">
        <f t="shared" si="56"/>
        <v>2011</v>
      </c>
      <c r="P457" t="str">
        <f t="shared" si="63"/>
        <v>Working Day</v>
      </c>
      <c r="Q457" t="str">
        <f t="shared" si="59"/>
        <v>Friday</v>
      </c>
      <c r="R457" t="str">
        <f t="shared" si="60"/>
        <v>Cloudy</v>
      </c>
      <c r="S457" t="str">
        <f t="shared" si="61"/>
        <v>Morning</v>
      </c>
      <c r="T457" t="str">
        <f t="shared" si="62"/>
        <v>Cold</v>
      </c>
    </row>
    <row r="458" spans="1:20">
      <c r="A458" s="1">
        <v>457</v>
      </c>
      <c r="B458" s="2">
        <v>40564</v>
      </c>
      <c r="C458" s="1">
        <v>1</v>
      </c>
      <c r="D458" s="1">
        <v>0</v>
      </c>
      <c r="E458" s="1">
        <v>1</v>
      </c>
      <c r="F458" s="1">
        <v>1</v>
      </c>
      <c r="G458" s="1" t="b">
        <v>0</v>
      </c>
      <c r="H458" s="1">
        <v>5</v>
      </c>
      <c r="I458" s="1">
        <v>2</v>
      </c>
      <c r="J458" s="1">
        <v>0.24</v>
      </c>
      <c r="M458" t="str">
        <f t="shared" si="57"/>
        <v>Unique</v>
      </c>
      <c r="N458" t="str">
        <f t="shared" si="58"/>
        <v>Spring</v>
      </c>
      <c r="O458" t="str">
        <f t="shared" si="56"/>
        <v>2011</v>
      </c>
      <c r="P458" t="str">
        <f t="shared" si="63"/>
        <v>Working Day</v>
      </c>
      <c r="Q458" t="str">
        <f t="shared" si="59"/>
        <v>Friday</v>
      </c>
      <c r="R458" t="str">
        <f t="shared" si="60"/>
        <v>Cloudy</v>
      </c>
      <c r="S458" t="str">
        <f t="shared" si="61"/>
        <v>Morning</v>
      </c>
      <c r="T458" t="str">
        <f t="shared" si="62"/>
        <v>Cold</v>
      </c>
    </row>
    <row r="459" spans="1:20">
      <c r="A459" s="1">
        <v>458</v>
      </c>
      <c r="B459" s="2">
        <v>40564</v>
      </c>
      <c r="C459" s="1">
        <v>1</v>
      </c>
      <c r="D459" s="1">
        <v>0</v>
      </c>
      <c r="E459" s="1">
        <v>1</v>
      </c>
      <c r="F459" s="1">
        <v>2</v>
      </c>
      <c r="G459" s="1" t="b">
        <v>0</v>
      </c>
      <c r="H459" s="1">
        <v>5</v>
      </c>
      <c r="I459" s="1">
        <v>3</v>
      </c>
      <c r="J459" s="1">
        <v>0.24</v>
      </c>
      <c r="M459" t="str">
        <f t="shared" si="57"/>
        <v>Unique</v>
      </c>
      <c r="N459" t="str">
        <f t="shared" si="58"/>
        <v>Spring</v>
      </c>
      <c r="O459" t="str">
        <f t="shared" si="56"/>
        <v>2011</v>
      </c>
      <c r="P459" t="str">
        <f t="shared" si="63"/>
        <v>Working Day</v>
      </c>
      <c r="Q459" t="str">
        <f t="shared" si="59"/>
        <v>Friday</v>
      </c>
      <c r="R459" t="str">
        <f t="shared" si="60"/>
        <v>Rainy</v>
      </c>
      <c r="S459" t="str">
        <f t="shared" si="61"/>
        <v>Morning</v>
      </c>
      <c r="T459" t="str">
        <f t="shared" si="62"/>
        <v>Cold</v>
      </c>
    </row>
    <row r="460" spans="1:20">
      <c r="A460" s="1">
        <v>459</v>
      </c>
      <c r="B460" s="2">
        <v>40564</v>
      </c>
      <c r="C460" s="1">
        <v>1</v>
      </c>
      <c r="D460" s="1">
        <v>0</v>
      </c>
      <c r="E460" s="1">
        <v>1</v>
      </c>
      <c r="F460" s="1">
        <v>3</v>
      </c>
      <c r="G460" s="1" t="b">
        <v>0</v>
      </c>
      <c r="H460" s="1">
        <v>5</v>
      </c>
      <c r="I460" s="1">
        <v>3</v>
      </c>
      <c r="J460" s="1">
        <v>0.22</v>
      </c>
      <c r="M460" t="str">
        <f t="shared" si="57"/>
        <v>Unique</v>
      </c>
      <c r="N460" t="str">
        <f t="shared" si="58"/>
        <v>Spring</v>
      </c>
      <c r="O460" t="str">
        <f t="shared" si="56"/>
        <v>2011</v>
      </c>
      <c r="P460" t="str">
        <f t="shared" si="63"/>
        <v>Working Day</v>
      </c>
      <c r="Q460" t="str">
        <f t="shared" si="59"/>
        <v>Friday</v>
      </c>
      <c r="R460" t="str">
        <f t="shared" si="60"/>
        <v>Rainy</v>
      </c>
      <c r="S460" t="str">
        <f t="shared" si="61"/>
        <v>Morning</v>
      </c>
      <c r="T460" t="str">
        <f t="shared" si="62"/>
        <v>Cold</v>
      </c>
    </row>
    <row r="461" spans="1:20">
      <c r="A461" s="1">
        <v>460</v>
      </c>
      <c r="B461" s="2">
        <v>40564</v>
      </c>
      <c r="C461" s="1">
        <v>1</v>
      </c>
      <c r="D461" s="1">
        <v>0</v>
      </c>
      <c r="E461" s="1">
        <v>1</v>
      </c>
      <c r="F461" s="1">
        <v>4</v>
      </c>
      <c r="G461" s="1" t="b">
        <v>0</v>
      </c>
      <c r="H461" s="1">
        <v>5</v>
      </c>
      <c r="I461" s="1">
        <v>2</v>
      </c>
      <c r="J461" s="1">
        <v>0.22</v>
      </c>
      <c r="M461" t="str">
        <f t="shared" si="57"/>
        <v>Unique</v>
      </c>
      <c r="N461" t="str">
        <f t="shared" si="58"/>
        <v>Spring</v>
      </c>
      <c r="O461" t="str">
        <f t="shared" si="56"/>
        <v>2011</v>
      </c>
      <c r="P461" t="str">
        <f t="shared" si="63"/>
        <v>Working Day</v>
      </c>
      <c r="Q461" t="str">
        <f t="shared" si="59"/>
        <v>Friday</v>
      </c>
      <c r="R461" t="str">
        <f t="shared" si="60"/>
        <v>Cloudy</v>
      </c>
      <c r="S461" t="str">
        <f t="shared" si="61"/>
        <v>Morning</v>
      </c>
      <c r="T461" t="str">
        <f t="shared" si="62"/>
        <v>Cold</v>
      </c>
    </row>
    <row r="462" spans="1:20">
      <c r="A462" s="1">
        <v>461</v>
      </c>
      <c r="B462" s="2">
        <v>40564</v>
      </c>
      <c r="C462" s="1">
        <v>1</v>
      </c>
      <c r="D462" s="1">
        <v>0</v>
      </c>
      <c r="E462" s="1">
        <v>1</v>
      </c>
      <c r="F462" s="1">
        <v>5</v>
      </c>
      <c r="G462" s="1" t="b">
        <v>0</v>
      </c>
      <c r="H462" s="1">
        <v>5</v>
      </c>
      <c r="I462" s="1">
        <v>1</v>
      </c>
      <c r="J462" s="1">
        <v>0.24</v>
      </c>
      <c r="M462" t="str">
        <f t="shared" si="57"/>
        <v>Unique</v>
      </c>
      <c r="N462" t="str">
        <f t="shared" si="58"/>
        <v>Spring</v>
      </c>
      <c r="O462" t="str">
        <f t="shared" si="56"/>
        <v>2011</v>
      </c>
      <c r="P462" t="str">
        <f t="shared" si="63"/>
        <v>Working Day</v>
      </c>
      <c r="Q462" t="str">
        <f t="shared" si="59"/>
        <v>Friday</v>
      </c>
      <c r="R462" t="str">
        <f t="shared" si="60"/>
        <v>Clear</v>
      </c>
      <c r="S462" t="str">
        <f t="shared" si="61"/>
        <v>Morning</v>
      </c>
      <c r="T462" t="str">
        <f t="shared" si="62"/>
        <v>Cold</v>
      </c>
    </row>
    <row r="463" spans="1:20">
      <c r="A463" s="1">
        <v>462</v>
      </c>
      <c r="B463" s="2">
        <v>40564</v>
      </c>
      <c r="C463" s="1">
        <v>1</v>
      </c>
      <c r="D463" s="1">
        <v>0</v>
      </c>
      <c r="E463" s="1">
        <v>1</v>
      </c>
      <c r="F463" s="1">
        <v>6</v>
      </c>
      <c r="G463" s="1" t="b">
        <v>0</v>
      </c>
      <c r="H463" s="1">
        <v>5</v>
      </c>
      <c r="I463" s="1">
        <v>1</v>
      </c>
      <c r="J463" s="1">
        <v>0.22</v>
      </c>
      <c r="M463" t="str">
        <f t="shared" si="57"/>
        <v>Unique</v>
      </c>
      <c r="N463" t="str">
        <f t="shared" si="58"/>
        <v>Spring</v>
      </c>
      <c r="O463" t="str">
        <f t="shared" si="56"/>
        <v>2011</v>
      </c>
      <c r="P463" t="str">
        <f t="shared" si="63"/>
        <v>Working Day</v>
      </c>
      <c r="Q463" t="str">
        <f t="shared" si="59"/>
        <v>Friday</v>
      </c>
      <c r="R463" t="str">
        <f t="shared" si="60"/>
        <v>Clear</v>
      </c>
      <c r="S463" t="str">
        <f t="shared" si="61"/>
        <v>Morning</v>
      </c>
      <c r="T463" t="str">
        <f t="shared" si="62"/>
        <v>Cold</v>
      </c>
    </row>
    <row r="464" spans="1:20">
      <c r="A464" s="1">
        <v>463</v>
      </c>
      <c r="B464" s="2">
        <v>40564</v>
      </c>
      <c r="C464" s="1">
        <v>1</v>
      </c>
      <c r="D464" s="1">
        <v>0</v>
      </c>
      <c r="E464" s="1">
        <v>1</v>
      </c>
      <c r="F464" s="1">
        <v>7</v>
      </c>
      <c r="G464" s="1" t="b">
        <v>0</v>
      </c>
      <c r="H464" s="1">
        <v>5</v>
      </c>
      <c r="I464" s="1">
        <v>1</v>
      </c>
      <c r="J464" s="1">
        <v>0.2</v>
      </c>
      <c r="M464" t="str">
        <f t="shared" si="57"/>
        <v>Unique</v>
      </c>
      <c r="N464" t="str">
        <f t="shared" si="58"/>
        <v>Spring</v>
      </c>
      <c r="O464" t="str">
        <f t="shared" si="56"/>
        <v>2011</v>
      </c>
      <c r="P464" t="str">
        <f t="shared" si="63"/>
        <v>Working Day</v>
      </c>
      <c r="Q464" t="str">
        <f t="shared" si="59"/>
        <v>Friday</v>
      </c>
      <c r="R464" t="str">
        <f t="shared" si="60"/>
        <v>Clear</v>
      </c>
      <c r="S464" t="str">
        <f t="shared" si="61"/>
        <v>Morning</v>
      </c>
      <c r="T464" t="str">
        <f t="shared" si="62"/>
        <v>Cold</v>
      </c>
    </row>
    <row r="465" spans="1:20">
      <c r="A465" s="1">
        <v>464</v>
      </c>
      <c r="B465" s="2">
        <v>40564</v>
      </c>
      <c r="C465" s="1">
        <v>1</v>
      </c>
      <c r="D465" s="1">
        <v>0</v>
      </c>
      <c r="E465" s="1">
        <v>1</v>
      </c>
      <c r="F465" s="1">
        <v>8</v>
      </c>
      <c r="G465" s="1" t="b">
        <v>0</v>
      </c>
      <c r="H465" s="1">
        <v>5</v>
      </c>
      <c r="I465" s="1">
        <v>1</v>
      </c>
      <c r="J465" s="1">
        <v>0.2</v>
      </c>
      <c r="M465" t="str">
        <f t="shared" si="57"/>
        <v>Unique</v>
      </c>
      <c r="N465" t="str">
        <f t="shared" si="58"/>
        <v>Spring</v>
      </c>
      <c r="O465" t="str">
        <f t="shared" si="56"/>
        <v>2011</v>
      </c>
      <c r="P465" t="str">
        <f t="shared" si="63"/>
        <v>Working Day</v>
      </c>
      <c r="Q465" t="str">
        <f t="shared" si="59"/>
        <v>Friday</v>
      </c>
      <c r="R465" t="str">
        <f t="shared" si="60"/>
        <v>Clear</v>
      </c>
      <c r="S465" t="str">
        <f t="shared" si="61"/>
        <v>Morning</v>
      </c>
      <c r="T465" t="str">
        <f t="shared" si="62"/>
        <v>Cold</v>
      </c>
    </row>
    <row r="466" spans="1:20">
      <c r="A466" s="1">
        <v>465</v>
      </c>
      <c r="B466" s="2">
        <v>40564</v>
      </c>
      <c r="C466" s="1">
        <v>1</v>
      </c>
      <c r="D466" s="1">
        <v>0</v>
      </c>
      <c r="E466" s="1">
        <v>1</v>
      </c>
      <c r="F466" s="1">
        <v>9</v>
      </c>
      <c r="G466" s="1" t="b">
        <v>0</v>
      </c>
      <c r="H466" s="1">
        <v>5</v>
      </c>
      <c r="I466" s="1">
        <v>1</v>
      </c>
      <c r="J466" s="1">
        <v>0.2</v>
      </c>
      <c r="M466" t="str">
        <f t="shared" si="57"/>
        <v>Unique</v>
      </c>
      <c r="N466" t="str">
        <f t="shared" si="58"/>
        <v>Spring</v>
      </c>
      <c r="O466" t="str">
        <f t="shared" si="56"/>
        <v>2011</v>
      </c>
      <c r="P466" t="str">
        <f t="shared" si="63"/>
        <v>Working Day</v>
      </c>
      <c r="Q466" t="str">
        <f t="shared" si="59"/>
        <v>Friday</v>
      </c>
      <c r="R466" t="str">
        <f t="shared" si="60"/>
        <v>Clear</v>
      </c>
      <c r="S466" t="str">
        <f t="shared" si="61"/>
        <v>Morning</v>
      </c>
      <c r="T466" t="str">
        <f t="shared" si="62"/>
        <v>Cold</v>
      </c>
    </row>
    <row r="467" spans="1:20">
      <c r="A467" s="1">
        <v>466</v>
      </c>
      <c r="B467" s="2">
        <v>40564</v>
      </c>
      <c r="C467" s="1">
        <v>1</v>
      </c>
      <c r="D467" s="1">
        <v>0</v>
      </c>
      <c r="E467" s="1">
        <v>1</v>
      </c>
      <c r="F467" s="1">
        <v>10</v>
      </c>
      <c r="G467" s="1" t="b">
        <v>0</v>
      </c>
      <c r="H467" s="1">
        <v>5</v>
      </c>
      <c r="I467" s="1">
        <v>1</v>
      </c>
      <c r="J467" s="1">
        <v>0.2</v>
      </c>
      <c r="M467" t="str">
        <f t="shared" si="57"/>
        <v>Unique</v>
      </c>
      <c r="N467" t="str">
        <f t="shared" si="58"/>
        <v>Spring</v>
      </c>
      <c r="O467" t="str">
        <f t="shared" si="56"/>
        <v>2011</v>
      </c>
      <c r="P467" t="str">
        <f t="shared" si="63"/>
        <v>Working Day</v>
      </c>
      <c r="Q467" t="str">
        <f t="shared" si="59"/>
        <v>Friday</v>
      </c>
      <c r="R467" t="str">
        <f t="shared" si="60"/>
        <v>Clear</v>
      </c>
      <c r="S467" t="str">
        <f t="shared" si="61"/>
        <v>Morning</v>
      </c>
      <c r="T467" t="str">
        <f t="shared" si="62"/>
        <v>Cold</v>
      </c>
    </row>
    <row r="468" spans="1:20">
      <c r="A468" s="1">
        <v>467</v>
      </c>
      <c r="B468" s="2">
        <v>40564</v>
      </c>
      <c r="C468" s="1">
        <v>1</v>
      </c>
      <c r="D468" s="1">
        <v>0</v>
      </c>
      <c r="E468" s="1">
        <v>1</v>
      </c>
      <c r="F468" s="1">
        <v>11</v>
      </c>
      <c r="G468" s="1" t="b">
        <v>0</v>
      </c>
      <c r="H468" s="1">
        <v>5</v>
      </c>
      <c r="I468" s="1">
        <v>1</v>
      </c>
      <c r="J468" s="1">
        <v>0.22</v>
      </c>
      <c r="M468" t="str">
        <f t="shared" si="57"/>
        <v>Unique</v>
      </c>
      <c r="N468" t="str">
        <f t="shared" si="58"/>
        <v>Spring</v>
      </c>
      <c r="O468" t="str">
        <f t="shared" si="56"/>
        <v>2011</v>
      </c>
      <c r="P468" t="str">
        <f t="shared" si="63"/>
        <v>Working Day</v>
      </c>
      <c r="Q468" t="str">
        <f t="shared" si="59"/>
        <v>Friday</v>
      </c>
      <c r="R468" t="str">
        <f t="shared" si="60"/>
        <v>Clear</v>
      </c>
      <c r="S468" t="str">
        <f t="shared" si="61"/>
        <v>Morning</v>
      </c>
      <c r="T468" t="str">
        <f t="shared" si="62"/>
        <v>Cold</v>
      </c>
    </row>
    <row r="469" spans="1:20">
      <c r="A469" s="1">
        <v>468</v>
      </c>
      <c r="B469" s="2">
        <v>40564</v>
      </c>
      <c r="C469" s="1">
        <v>1</v>
      </c>
      <c r="D469" s="1">
        <v>0</v>
      </c>
      <c r="E469" s="1">
        <v>1</v>
      </c>
      <c r="F469" s="1">
        <v>12</v>
      </c>
      <c r="G469" s="1" t="b">
        <v>0</v>
      </c>
      <c r="H469" s="1">
        <v>5</v>
      </c>
      <c r="I469" s="1">
        <v>1</v>
      </c>
      <c r="J469" s="1">
        <v>0.22</v>
      </c>
      <c r="M469" t="str">
        <f t="shared" si="57"/>
        <v>Unique</v>
      </c>
      <c r="N469" t="str">
        <f t="shared" si="58"/>
        <v>Spring</v>
      </c>
      <c r="O469" t="str">
        <f t="shared" si="56"/>
        <v>2011</v>
      </c>
      <c r="P469" t="str">
        <f t="shared" si="63"/>
        <v>Working Day</v>
      </c>
      <c r="Q469" t="str">
        <f t="shared" si="59"/>
        <v>Friday</v>
      </c>
      <c r="R469" t="str">
        <f t="shared" si="60"/>
        <v>Clear</v>
      </c>
      <c r="S469" t="str">
        <f t="shared" si="61"/>
        <v>Afternoon</v>
      </c>
      <c r="T469" t="str">
        <f t="shared" si="62"/>
        <v>Cold</v>
      </c>
    </row>
    <row r="470" spans="1:20">
      <c r="A470" s="1">
        <v>469</v>
      </c>
      <c r="B470" s="2">
        <v>40564</v>
      </c>
      <c r="C470" s="1">
        <v>1</v>
      </c>
      <c r="D470" s="1">
        <v>0</v>
      </c>
      <c r="E470" s="1">
        <v>1</v>
      </c>
      <c r="F470" s="1">
        <v>13</v>
      </c>
      <c r="G470" s="1" t="b">
        <v>0</v>
      </c>
      <c r="H470" s="1">
        <v>5</v>
      </c>
      <c r="I470" s="1">
        <v>1</v>
      </c>
      <c r="J470" s="1">
        <v>0.2</v>
      </c>
      <c r="M470" t="str">
        <f t="shared" si="57"/>
        <v>Unique</v>
      </c>
      <c r="N470" t="str">
        <f t="shared" si="58"/>
        <v>Spring</v>
      </c>
      <c r="O470" t="str">
        <f t="shared" si="56"/>
        <v>2011</v>
      </c>
      <c r="P470" t="str">
        <f t="shared" si="63"/>
        <v>Working Day</v>
      </c>
      <c r="Q470" t="str">
        <f t="shared" si="59"/>
        <v>Friday</v>
      </c>
      <c r="R470" t="str">
        <f t="shared" si="60"/>
        <v>Clear</v>
      </c>
      <c r="S470" t="str">
        <f t="shared" si="61"/>
        <v>Afternoon</v>
      </c>
      <c r="T470" t="str">
        <f t="shared" si="62"/>
        <v>Cold</v>
      </c>
    </row>
    <row r="471" spans="1:20">
      <c r="A471" s="1">
        <v>470</v>
      </c>
      <c r="B471" s="2">
        <v>40564</v>
      </c>
      <c r="C471" s="1">
        <v>1</v>
      </c>
      <c r="D471" s="1">
        <v>0</v>
      </c>
      <c r="E471" s="1">
        <v>1</v>
      </c>
      <c r="F471" s="1">
        <v>14</v>
      </c>
      <c r="G471" s="1" t="b">
        <v>0</v>
      </c>
      <c r="H471" s="1">
        <v>5</v>
      </c>
      <c r="I471" s="1">
        <v>1</v>
      </c>
      <c r="J471" s="1">
        <v>0.2</v>
      </c>
      <c r="M471" t="str">
        <f t="shared" si="57"/>
        <v>Unique</v>
      </c>
      <c r="N471" t="str">
        <f t="shared" si="58"/>
        <v>Spring</v>
      </c>
      <c r="O471" t="str">
        <f t="shared" si="56"/>
        <v>2011</v>
      </c>
      <c r="P471" t="str">
        <f t="shared" si="63"/>
        <v>Working Day</v>
      </c>
      <c r="Q471" t="str">
        <f t="shared" si="59"/>
        <v>Friday</v>
      </c>
      <c r="R471" t="str">
        <f t="shared" si="60"/>
        <v>Clear</v>
      </c>
      <c r="S471" t="str">
        <f t="shared" si="61"/>
        <v>Afternoon</v>
      </c>
      <c r="T471" t="str">
        <f t="shared" si="62"/>
        <v>Cold</v>
      </c>
    </row>
    <row r="472" spans="1:20">
      <c r="A472" s="1">
        <v>471</v>
      </c>
      <c r="B472" s="2">
        <v>40564</v>
      </c>
      <c r="C472" s="1">
        <v>1</v>
      </c>
      <c r="D472" s="1">
        <v>0</v>
      </c>
      <c r="E472" s="1">
        <v>1</v>
      </c>
      <c r="F472" s="1">
        <v>15</v>
      </c>
      <c r="G472" s="1" t="b">
        <v>0</v>
      </c>
      <c r="H472" s="1">
        <v>5</v>
      </c>
      <c r="I472" s="1">
        <v>1</v>
      </c>
      <c r="J472" s="1">
        <v>0.16</v>
      </c>
      <c r="M472" t="str">
        <f t="shared" si="57"/>
        <v>Unique</v>
      </c>
      <c r="N472" t="str">
        <f t="shared" si="58"/>
        <v>Spring</v>
      </c>
      <c r="O472" t="str">
        <f t="shared" si="56"/>
        <v>2011</v>
      </c>
      <c r="P472" t="str">
        <f t="shared" si="63"/>
        <v>Working Day</v>
      </c>
      <c r="Q472" t="str">
        <f t="shared" si="59"/>
        <v>Friday</v>
      </c>
      <c r="R472" t="str">
        <f t="shared" si="60"/>
        <v>Clear</v>
      </c>
      <c r="S472" t="str">
        <f t="shared" si="61"/>
        <v>Afternoon</v>
      </c>
      <c r="T472" t="str">
        <f t="shared" si="62"/>
        <v>Cold</v>
      </c>
    </row>
    <row r="473" spans="1:20">
      <c r="A473" s="1">
        <v>472</v>
      </c>
      <c r="B473" s="2">
        <v>40564</v>
      </c>
      <c r="C473" s="1">
        <v>1</v>
      </c>
      <c r="D473" s="1">
        <v>0</v>
      </c>
      <c r="E473" s="1">
        <v>1</v>
      </c>
      <c r="F473" s="1">
        <v>16</v>
      </c>
      <c r="G473" s="1" t="b">
        <v>0</v>
      </c>
      <c r="H473" s="1">
        <v>5</v>
      </c>
      <c r="I473" s="1">
        <v>1</v>
      </c>
      <c r="J473" s="1">
        <v>0.16</v>
      </c>
      <c r="M473" t="str">
        <f t="shared" si="57"/>
        <v>Unique</v>
      </c>
      <c r="N473" t="str">
        <f t="shared" si="58"/>
        <v>Spring</v>
      </c>
      <c r="O473" t="str">
        <f t="shared" si="56"/>
        <v>2011</v>
      </c>
      <c r="P473" t="str">
        <f t="shared" si="63"/>
        <v>Working Day</v>
      </c>
      <c r="Q473" t="str">
        <f t="shared" si="59"/>
        <v>Friday</v>
      </c>
      <c r="R473" t="str">
        <f t="shared" si="60"/>
        <v>Clear</v>
      </c>
      <c r="S473" t="str">
        <f t="shared" si="61"/>
        <v>Afternoon</v>
      </c>
      <c r="T473" t="str">
        <f t="shared" si="62"/>
        <v>Cold</v>
      </c>
    </row>
    <row r="474" spans="1:20">
      <c r="A474" s="1">
        <v>473</v>
      </c>
      <c r="B474" s="2">
        <v>40564</v>
      </c>
      <c r="C474" s="1">
        <v>1</v>
      </c>
      <c r="D474" s="1">
        <v>0</v>
      </c>
      <c r="E474" s="1">
        <v>1</v>
      </c>
      <c r="F474" s="1">
        <v>17</v>
      </c>
      <c r="G474" s="1" t="b">
        <v>0</v>
      </c>
      <c r="H474" s="1">
        <v>5</v>
      </c>
      <c r="I474" s="1">
        <v>1</v>
      </c>
      <c r="J474" s="1">
        <v>0.14000000000000001</v>
      </c>
      <c r="M474" t="str">
        <f t="shared" si="57"/>
        <v>Unique</v>
      </c>
      <c r="N474" t="str">
        <f t="shared" si="58"/>
        <v>Spring</v>
      </c>
      <c r="O474" t="str">
        <f t="shared" si="56"/>
        <v>2011</v>
      </c>
      <c r="P474" t="str">
        <f t="shared" si="63"/>
        <v>Working Day</v>
      </c>
      <c r="Q474" t="str">
        <f t="shared" si="59"/>
        <v>Friday</v>
      </c>
      <c r="R474" t="str">
        <f t="shared" si="60"/>
        <v>Clear</v>
      </c>
      <c r="S474" t="str">
        <f t="shared" si="61"/>
        <v>Afternoon</v>
      </c>
      <c r="T474" t="str">
        <f t="shared" si="62"/>
        <v>Cold</v>
      </c>
    </row>
    <row r="475" spans="1:20">
      <c r="A475" s="1">
        <v>474</v>
      </c>
      <c r="B475" s="2">
        <v>40564</v>
      </c>
      <c r="C475" s="1">
        <v>1</v>
      </c>
      <c r="D475" s="1">
        <v>0</v>
      </c>
      <c r="E475" s="1">
        <v>1</v>
      </c>
      <c r="F475" s="1">
        <v>18</v>
      </c>
      <c r="G475" s="1" t="b">
        <v>0</v>
      </c>
      <c r="H475" s="1">
        <v>5</v>
      </c>
      <c r="I475" s="1">
        <v>1</v>
      </c>
      <c r="J475" s="1">
        <v>0.12</v>
      </c>
      <c r="M475" t="str">
        <f t="shared" si="57"/>
        <v>Unique</v>
      </c>
      <c r="N475" t="str">
        <f t="shared" si="58"/>
        <v>Spring</v>
      </c>
      <c r="O475" t="str">
        <f t="shared" si="56"/>
        <v>2011</v>
      </c>
      <c r="P475" t="str">
        <f t="shared" si="63"/>
        <v>Working Day</v>
      </c>
      <c r="Q475" t="str">
        <f t="shared" si="59"/>
        <v>Friday</v>
      </c>
      <c r="R475" t="str">
        <f t="shared" si="60"/>
        <v>Clear</v>
      </c>
      <c r="S475" t="str">
        <f t="shared" si="61"/>
        <v>Night</v>
      </c>
      <c r="T475" t="str">
        <f t="shared" si="62"/>
        <v>Cold</v>
      </c>
    </row>
    <row r="476" spans="1:20">
      <c r="A476" s="1">
        <v>475</v>
      </c>
      <c r="B476" s="2">
        <v>40564</v>
      </c>
      <c r="C476" s="1">
        <v>1</v>
      </c>
      <c r="D476" s="1">
        <v>0</v>
      </c>
      <c r="E476" s="1">
        <v>1</v>
      </c>
      <c r="F476" s="1">
        <v>19</v>
      </c>
      <c r="G476" s="1" t="b">
        <v>0</v>
      </c>
      <c r="H476" s="1">
        <v>5</v>
      </c>
      <c r="I476" s="1">
        <v>1</v>
      </c>
      <c r="J476" s="1">
        <v>0.12</v>
      </c>
      <c r="M476" t="str">
        <f t="shared" si="57"/>
        <v>Unique</v>
      </c>
      <c r="N476" t="str">
        <f t="shared" si="58"/>
        <v>Spring</v>
      </c>
      <c r="O476" t="str">
        <f t="shared" si="56"/>
        <v>2011</v>
      </c>
      <c r="P476" t="str">
        <f t="shared" si="63"/>
        <v>Working Day</v>
      </c>
      <c r="Q476" t="str">
        <f t="shared" si="59"/>
        <v>Friday</v>
      </c>
      <c r="R476" t="str">
        <f t="shared" si="60"/>
        <v>Clear</v>
      </c>
      <c r="S476" t="str">
        <f t="shared" si="61"/>
        <v>Night</v>
      </c>
      <c r="T476" t="str">
        <f t="shared" si="62"/>
        <v>Cold</v>
      </c>
    </row>
    <row r="477" spans="1:20">
      <c r="A477" s="1">
        <v>476</v>
      </c>
      <c r="B477" s="2">
        <v>40564</v>
      </c>
      <c r="C477" s="1">
        <v>1</v>
      </c>
      <c r="D477" s="1">
        <v>0</v>
      </c>
      <c r="E477" s="1">
        <v>1</v>
      </c>
      <c r="F477" s="1">
        <v>20</v>
      </c>
      <c r="G477" s="1" t="b">
        <v>0</v>
      </c>
      <c r="H477" s="1">
        <v>5</v>
      </c>
      <c r="I477" s="1">
        <v>1</v>
      </c>
      <c r="J477" s="1">
        <v>0.1</v>
      </c>
      <c r="M477" t="str">
        <f t="shared" si="57"/>
        <v>Unique</v>
      </c>
      <c r="N477" t="str">
        <f t="shared" si="58"/>
        <v>Spring</v>
      </c>
      <c r="O477" t="str">
        <f t="shared" si="56"/>
        <v>2011</v>
      </c>
      <c r="P477" t="str">
        <f t="shared" si="63"/>
        <v>Working Day</v>
      </c>
      <c r="Q477" t="str">
        <f t="shared" si="59"/>
        <v>Friday</v>
      </c>
      <c r="R477" t="str">
        <f t="shared" si="60"/>
        <v>Clear</v>
      </c>
      <c r="S477" t="str">
        <f t="shared" si="61"/>
        <v>Night</v>
      </c>
      <c r="T477" t="str">
        <f t="shared" si="62"/>
        <v>Cold</v>
      </c>
    </row>
    <row r="478" spans="1:20">
      <c r="A478" s="1">
        <v>477</v>
      </c>
      <c r="B478" s="2">
        <v>40564</v>
      </c>
      <c r="C478" s="1">
        <v>1</v>
      </c>
      <c r="D478" s="1">
        <v>0</v>
      </c>
      <c r="E478" s="1">
        <v>1</v>
      </c>
      <c r="F478" s="1">
        <v>21</v>
      </c>
      <c r="G478" s="1" t="b">
        <v>0</v>
      </c>
      <c r="H478" s="1">
        <v>5</v>
      </c>
      <c r="I478" s="1">
        <v>1</v>
      </c>
      <c r="J478" s="1">
        <v>0.08</v>
      </c>
      <c r="M478" t="str">
        <f t="shared" si="57"/>
        <v>Unique</v>
      </c>
      <c r="N478" t="str">
        <f t="shared" si="58"/>
        <v>Spring</v>
      </c>
      <c r="O478" t="str">
        <f t="shared" si="56"/>
        <v>2011</v>
      </c>
      <c r="P478" t="str">
        <f t="shared" si="63"/>
        <v>Working Day</v>
      </c>
      <c r="Q478" t="str">
        <f t="shared" si="59"/>
        <v>Friday</v>
      </c>
      <c r="R478" t="str">
        <f t="shared" si="60"/>
        <v>Clear</v>
      </c>
      <c r="S478" t="str">
        <f t="shared" si="61"/>
        <v>Night</v>
      </c>
      <c r="T478" t="str">
        <f t="shared" si="62"/>
        <v>Cold</v>
      </c>
    </row>
    <row r="479" spans="1:20">
      <c r="A479" s="1">
        <v>478</v>
      </c>
      <c r="B479" s="2">
        <v>40564</v>
      </c>
      <c r="C479" s="1">
        <v>1</v>
      </c>
      <c r="D479" s="1">
        <v>0</v>
      </c>
      <c r="E479" s="1">
        <v>1</v>
      </c>
      <c r="F479" s="1">
        <v>22</v>
      </c>
      <c r="G479" s="1" t="b">
        <v>0</v>
      </c>
      <c r="H479" s="1">
        <v>5</v>
      </c>
      <c r="I479" s="1">
        <v>1</v>
      </c>
      <c r="J479" s="1">
        <v>0.06</v>
      </c>
      <c r="M479" t="str">
        <f t="shared" si="57"/>
        <v>Unique</v>
      </c>
      <c r="N479" t="str">
        <f t="shared" si="58"/>
        <v>Spring</v>
      </c>
      <c r="O479" t="str">
        <f t="shared" si="56"/>
        <v>2011</v>
      </c>
      <c r="P479" t="str">
        <f t="shared" si="63"/>
        <v>Working Day</v>
      </c>
      <c r="Q479" t="str">
        <f t="shared" si="59"/>
        <v>Friday</v>
      </c>
      <c r="R479" t="str">
        <f t="shared" si="60"/>
        <v>Clear</v>
      </c>
      <c r="S479" t="str">
        <f t="shared" si="61"/>
        <v>Night</v>
      </c>
      <c r="T479" t="str">
        <f t="shared" si="62"/>
        <v>Cold</v>
      </c>
    </row>
    <row r="480" spans="1:20">
      <c r="A480" s="1">
        <v>479</v>
      </c>
      <c r="B480" s="2">
        <v>40564</v>
      </c>
      <c r="C480" s="1">
        <v>1</v>
      </c>
      <c r="D480" s="1">
        <v>0</v>
      </c>
      <c r="E480" s="1">
        <v>1</v>
      </c>
      <c r="F480" s="1">
        <v>23</v>
      </c>
      <c r="G480" s="1" t="b">
        <v>0</v>
      </c>
      <c r="H480" s="1">
        <v>5</v>
      </c>
      <c r="I480" s="1">
        <v>1</v>
      </c>
      <c r="J480" s="1">
        <v>0.06</v>
      </c>
      <c r="M480" t="str">
        <f t="shared" si="57"/>
        <v>Unique</v>
      </c>
      <c r="N480" t="str">
        <f t="shared" si="58"/>
        <v>Spring</v>
      </c>
      <c r="O480" t="str">
        <f t="shared" si="56"/>
        <v>2011</v>
      </c>
      <c r="P480" t="str">
        <f t="shared" si="63"/>
        <v>Working Day</v>
      </c>
      <c r="Q480" t="str">
        <f t="shared" si="59"/>
        <v>Friday</v>
      </c>
      <c r="R480" t="str">
        <f t="shared" si="60"/>
        <v>Clear</v>
      </c>
      <c r="S480" t="str">
        <f t="shared" si="61"/>
        <v>Night</v>
      </c>
      <c r="T480" t="str">
        <f t="shared" si="62"/>
        <v>Cold</v>
      </c>
    </row>
    <row r="481" spans="1:20">
      <c r="A481" s="1">
        <v>480</v>
      </c>
      <c r="B481" s="2">
        <v>40565</v>
      </c>
      <c r="C481" s="1">
        <v>1</v>
      </c>
      <c r="D481" s="1">
        <v>0</v>
      </c>
      <c r="E481" s="1">
        <v>1</v>
      </c>
      <c r="F481" s="1">
        <v>0</v>
      </c>
      <c r="G481" s="1" t="b">
        <v>0</v>
      </c>
      <c r="H481" s="1">
        <v>6</v>
      </c>
      <c r="I481" s="1">
        <v>1</v>
      </c>
      <c r="J481" s="1">
        <v>0.04</v>
      </c>
      <c r="M481" t="str">
        <f t="shared" si="57"/>
        <v>Unique</v>
      </c>
      <c r="N481" t="str">
        <f t="shared" si="58"/>
        <v>Spring</v>
      </c>
      <c r="O481" t="str">
        <f t="shared" si="56"/>
        <v>2011</v>
      </c>
      <c r="P481" t="str">
        <f t="shared" si="63"/>
        <v>Working Day</v>
      </c>
      <c r="Q481" t="str">
        <f t="shared" si="59"/>
        <v>Saturday</v>
      </c>
      <c r="R481" t="str">
        <f t="shared" si="60"/>
        <v>Clear</v>
      </c>
      <c r="S481" t="str">
        <f t="shared" si="61"/>
        <v>Morning</v>
      </c>
      <c r="T481" t="str">
        <f t="shared" si="62"/>
        <v>Cold</v>
      </c>
    </row>
    <row r="482" spans="1:20">
      <c r="A482" s="1">
        <v>481</v>
      </c>
      <c r="B482" s="2">
        <v>40565</v>
      </c>
      <c r="C482" s="1">
        <v>1</v>
      </c>
      <c r="D482" s="1">
        <v>0</v>
      </c>
      <c r="E482" s="1">
        <v>1</v>
      </c>
      <c r="F482" s="1">
        <v>1</v>
      </c>
      <c r="G482" s="1" t="b">
        <v>0</v>
      </c>
      <c r="H482" s="1">
        <v>6</v>
      </c>
      <c r="I482" s="1">
        <v>2</v>
      </c>
      <c r="J482" s="1">
        <v>0.04</v>
      </c>
      <c r="M482" t="str">
        <f t="shared" si="57"/>
        <v>Unique</v>
      </c>
      <c r="N482" t="str">
        <f t="shared" si="58"/>
        <v>Spring</v>
      </c>
      <c r="O482" t="str">
        <f t="shared" si="56"/>
        <v>2011</v>
      </c>
      <c r="P482" t="str">
        <f t="shared" si="63"/>
        <v>Working Day</v>
      </c>
      <c r="Q482" t="str">
        <f t="shared" si="59"/>
        <v>Saturday</v>
      </c>
      <c r="R482" t="str">
        <f t="shared" si="60"/>
        <v>Cloudy</v>
      </c>
      <c r="S482" t="str">
        <f t="shared" si="61"/>
        <v>Morning</v>
      </c>
      <c r="T482" t="str">
        <f t="shared" si="62"/>
        <v>Cold</v>
      </c>
    </row>
    <row r="483" spans="1:20">
      <c r="A483" s="1">
        <v>482</v>
      </c>
      <c r="B483" s="2">
        <v>40565</v>
      </c>
      <c r="C483" s="1">
        <v>1</v>
      </c>
      <c r="D483" s="1">
        <v>0</v>
      </c>
      <c r="E483" s="1">
        <v>1</v>
      </c>
      <c r="F483" s="1">
        <v>2</v>
      </c>
      <c r="G483" s="1" t="b">
        <v>0</v>
      </c>
      <c r="H483" s="1">
        <v>6</v>
      </c>
      <c r="I483" s="1">
        <v>2</v>
      </c>
      <c r="J483" s="1">
        <v>0.04</v>
      </c>
      <c r="M483" t="str">
        <f t="shared" si="57"/>
        <v>Unique</v>
      </c>
      <c r="N483" t="str">
        <f t="shared" si="58"/>
        <v>Spring</v>
      </c>
      <c r="O483" t="str">
        <f t="shared" si="56"/>
        <v>2011</v>
      </c>
      <c r="P483" t="str">
        <f t="shared" si="63"/>
        <v>Working Day</v>
      </c>
      <c r="Q483" t="str">
        <f t="shared" si="59"/>
        <v>Saturday</v>
      </c>
      <c r="R483" t="str">
        <f t="shared" si="60"/>
        <v>Cloudy</v>
      </c>
      <c r="S483" t="str">
        <f t="shared" si="61"/>
        <v>Morning</v>
      </c>
      <c r="T483" t="str">
        <f t="shared" si="62"/>
        <v>Cold</v>
      </c>
    </row>
    <row r="484" spans="1:20">
      <c r="A484" s="1">
        <v>483</v>
      </c>
      <c r="B484" s="2">
        <v>40565</v>
      </c>
      <c r="C484" s="1">
        <v>1</v>
      </c>
      <c r="D484" s="1">
        <v>0</v>
      </c>
      <c r="E484" s="1">
        <v>1</v>
      </c>
      <c r="F484" s="1">
        <v>3</v>
      </c>
      <c r="G484" s="1" t="b">
        <v>0</v>
      </c>
      <c r="H484" s="1">
        <v>6</v>
      </c>
      <c r="I484" s="1">
        <v>2</v>
      </c>
      <c r="J484" s="1">
        <v>0.04</v>
      </c>
      <c r="M484" t="str">
        <f t="shared" si="57"/>
        <v>Unique</v>
      </c>
      <c r="N484" t="str">
        <f t="shared" si="58"/>
        <v>Spring</v>
      </c>
      <c r="O484" t="str">
        <f t="shared" si="56"/>
        <v>2011</v>
      </c>
      <c r="P484" t="str">
        <f t="shared" si="63"/>
        <v>Working Day</v>
      </c>
      <c r="Q484" t="str">
        <f t="shared" si="59"/>
        <v>Saturday</v>
      </c>
      <c r="R484" t="str">
        <f t="shared" si="60"/>
        <v>Cloudy</v>
      </c>
      <c r="S484" t="str">
        <f t="shared" si="61"/>
        <v>Morning</v>
      </c>
      <c r="T484" t="str">
        <f t="shared" si="62"/>
        <v>Cold</v>
      </c>
    </row>
    <row r="485" spans="1:20">
      <c r="A485" s="1">
        <v>484</v>
      </c>
      <c r="B485" s="2">
        <v>40565</v>
      </c>
      <c r="C485" s="1">
        <v>1</v>
      </c>
      <c r="D485" s="1">
        <v>0</v>
      </c>
      <c r="E485" s="1">
        <v>1</v>
      </c>
      <c r="F485" s="1">
        <v>4</v>
      </c>
      <c r="G485" s="1" t="b">
        <v>0</v>
      </c>
      <c r="H485" s="1">
        <v>6</v>
      </c>
      <c r="I485" s="1">
        <v>2</v>
      </c>
      <c r="J485" s="1">
        <v>0.02</v>
      </c>
      <c r="M485" t="str">
        <f t="shared" si="57"/>
        <v>Unique</v>
      </c>
      <c r="N485" t="str">
        <f t="shared" si="58"/>
        <v>Spring</v>
      </c>
      <c r="O485" t="str">
        <f t="shared" si="56"/>
        <v>2011</v>
      </c>
      <c r="P485" t="str">
        <f t="shared" si="63"/>
        <v>Working Day</v>
      </c>
      <c r="Q485" t="str">
        <f t="shared" si="59"/>
        <v>Saturday</v>
      </c>
      <c r="R485" t="str">
        <f t="shared" si="60"/>
        <v>Cloudy</v>
      </c>
      <c r="S485" t="str">
        <f t="shared" si="61"/>
        <v>Morning</v>
      </c>
      <c r="T485" t="str">
        <f t="shared" si="62"/>
        <v>Cold</v>
      </c>
    </row>
    <row r="486" spans="1:20">
      <c r="A486" s="1">
        <v>485</v>
      </c>
      <c r="B486" s="2">
        <v>40565</v>
      </c>
      <c r="C486" s="1">
        <v>1</v>
      </c>
      <c r="D486" s="1">
        <v>0</v>
      </c>
      <c r="E486" s="1">
        <v>1</v>
      </c>
      <c r="F486" s="1">
        <v>6</v>
      </c>
      <c r="G486" s="1" t="b">
        <v>0</v>
      </c>
      <c r="H486" s="1">
        <v>6</v>
      </c>
      <c r="I486" s="1">
        <v>2</v>
      </c>
      <c r="J486" s="1">
        <v>0.02</v>
      </c>
      <c r="M486" t="str">
        <f t="shared" si="57"/>
        <v>Unique</v>
      </c>
      <c r="N486" t="str">
        <f t="shared" si="58"/>
        <v>Spring</v>
      </c>
      <c r="O486" t="str">
        <f t="shared" si="56"/>
        <v>2011</v>
      </c>
      <c r="P486" t="str">
        <f t="shared" si="63"/>
        <v>Working Day</v>
      </c>
      <c r="Q486" t="str">
        <f t="shared" si="59"/>
        <v>Saturday</v>
      </c>
      <c r="R486" t="str">
        <f t="shared" si="60"/>
        <v>Cloudy</v>
      </c>
      <c r="S486" t="str">
        <f t="shared" si="61"/>
        <v>Morning</v>
      </c>
      <c r="T486" t="str">
        <f t="shared" si="62"/>
        <v>Cold</v>
      </c>
    </row>
    <row r="487" spans="1:20">
      <c r="A487" s="1">
        <v>486</v>
      </c>
      <c r="B487" s="2">
        <v>40565</v>
      </c>
      <c r="C487" s="1">
        <v>1</v>
      </c>
      <c r="D487" s="1">
        <v>0</v>
      </c>
      <c r="E487" s="1">
        <v>1</v>
      </c>
      <c r="F487" s="1">
        <v>7</v>
      </c>
      <c r="G487" s="1" t="b">
        <v>0</v>
      </c>
      <c r="H487" s="1">
        <v>6</v>
      </c>
      <c r="I487" s="1">
        <v>1</v>
      </c>
      <c r="J487" s="1">
        <v>0.02</v>
      </c>
      <c r="M487" t="str">
        <f t="shared" si="57"/>
        <v>Unique</v>
      </c>
      <c r="N487" t="str">
        <f t="shared" si="58"/>
        <v>Spring</v>
      </c>
      <c r="O487" t="str">
        <f t="shared" si="56"/>
        <v>2011</v>
      </c>
      <c r="P487" t="str">
        <f t="shared" si="63"/>
        <v>Working Day</v>
      </c>
      <c r="Q487" t="str">
        <f t="shared" si="59"/>
        <v>Saturday</v>
      </c>
      <c r="R487" t="str">
        <f t="shared" si="60"/>
        <v>Clear</v>
      </c>
      <c r="S487" t="str">
        <f t="shared" si="61"/>
        <v>Morning</v>
      </c>
      <c r="T487" t="str">
        <f t="shared" si="62"/>
        <v>Cold</v>
      </c>
    </row>
    <row r="488" spans="1:20">
      <c r="A488" s="1">
        <v>487</v>
      </c>
      <c r="B488" s="2">
        <v>40565</v>
      </c>
      <c r="C488" s="1">
        <v>1</v>
      </c>
      <c r="D488" s="1">
        <v>0</v>
      </c>
      <c r="E488" s="1">
        <v>1</v>
      </c>
      <c r="F488" s="1">
        <v>8</v>
      </c>
      <c r="G488" s="1" t="b">
        <v>0</v>
      </c>
      <c r="H488" s="1">
        <v>6</v>
      </c>
      <c r="I488" s="1">
        <v>1</v>
      </c>
      <c r="J488" s="1">
        <v>0.02</v>
      </c>
      <c r="M488" t="str">
        <f t="shared" si="57"/>
        <v>Unique</v>
      </c>
      <c r="N488" t="str">
        <f t="shared" si="58"/>
        <v>Spring</v>
      </c>
      <c r="O488" t="str">
        <f t="shared" si="56"/>
        <v>2011</v>
      </c>
      <c r="P488" t="str">
        <f t="shared" si="63"/>
        <v>Working Day</v>
      </c>
      <c r="Q488" t="str">
        <f t="shared" si="59"/>
        <v>Saturday</v>
      </c>
      <c r="R488" t="str">
        <f t="shared" si="60"/>
        <v>Clear</v>
      </c>
      <c r="S488" t="str">
        <f t="shared" si="61"/>
        <v>Morning</v>
      </c>
      <c r="T488" t="str">
        <f t="shared" si="62"/>
        <v>Cold</v>
      </c>
    </row>
    <row r="489" spans="1:20">
      <c r="A489" s="1">
        <v>488</v>
      </c>
      <c r="B489" s="2">
        <v>40565</v>
      </c>
      <c r="C489" s="1">
        <v>1</v>
      </c>
      <c r="D489" s="1">
        <v>0</v>
      </c>
      <c r="E489" s="1">
        <v>1</v>
      </c>
      <c r="F489" s="1">
        <v>9</v>
      </c>
      <c r="G489" s="1" t="b">
        <v>0</v>
      </c>
      <c r="H489" s="1">
        <v>6</v>
      </c>
      <c r="I489" s="1">
        <v>1</v>
      </c>
      <c r="J489" s="1">
        <v>0.04</v>
      </c>
      <c r="M489" t="str">
        <f t="shared" si="57"/>
        <v>Unique</v>
      </c>
      <c r="N489" t="str">
        <f t="shared" si="58"/>
        <v>Spring</v>
      </c>
      <c r="O489" t="str">
        <f t="shared" si="56"/>
        <v>2011</v>
      </c>
      <c r="P489" t="str">
        <f t="shared" si="63"/>
        <v>Working Day</v>
      </c>
      <c r="Q489" t="str">
        <f t="shared" si="59"/>
        <v>Saturday</v>
      </c>
      <c r="R489" t="str">
        <f t="shared" si="60"/>
        <v>Clear</v>
      </c>
      <c r="S489" t="str">
        <f t="shared" si="61"/>
        <v>Morning</v>
      </c>
      <c r="T489" t="str">
        <f t="shared" si="62"/>
        <v>Cold</v>
      </c>
    </row>
    <row r="490" spans="1:20">
      <c r="A490" s="1">
        <v>489</v>
      </c>
      <c r="B490" s="2">
        <v>40565</v>
      </c>
      <c r="C490" s="1">
        <v>1</v>
      </c>
      <c r="D490" s="1">
        <v>0</v>
      </c>
      <c r="E490" s="1">
        <v>1</v>
      </c>
      <c r="F490" s="1">
        <v>10</v>
      </c>
      <c r="G490" s="1" t="b">
        <v>0</v>
      </c>
      <c r="H490" s="1">
        <v>6</v>
      </c>
      <c r="I490" s="1">
        <v>2</v>
      </c>
      <c r="J490" s="1">
        <v>0.04</v>
      </c>
      <c r="M490" t="str">
        <f t="shared" si="57"/>
        <v>Unique</v>
      </c>
      <c r="N490" t="str">
        <f t="shared" si="58"/>
        <v>Spring</v>
      </c>
      <c r="O490" t="str">
        <f t="shared" si="56"/>
        <v>2011</v>
      </c>
      <c r="P490" t="str">
        <f t="shared" si="63"/>
        <v>Working Day</v>
      </c>
      <c r="Q490" t="str">
        <f t="shared" si="59"/>
        <v>Saturday</v>
      </c>
      <c r="R490" t="str">
        <f t="shared" si="60"/>
        <v>Cloudy</v>
      </c>
      <c r="S490" t="str">
        <f t="shared" si="61"/>
        <v>Morning</v>
      </c>
      <c r="T490" t="str">
        <f t="shared" si="62"/>
        <v>Cold</v>
      </c>
    </row>
    <row r="491" spans="1:20">
      <c r="A491" s="1">
        <v>490</v>
      </c>
      <c r="B491" s="2">
        <v>40565</v>
      </c>
      <c r="C491" s="1">
        <v>1</v>
      </c>
      <c r="D491" s="1">
        <v>0</v>
      </c>
      <c r="E491" s="1">
        <v>1</v>
      </c>
      <c r="F491" s="1">
        <v>11</v>
      </c>
      <c r="G491" s="1" t="b">
        <v>0</v>
      </c>
      <c r="H491" s="1">
        <v>6</v>
      </c>
      <c r="I491" s="1">
        <v>2</v>
      </c>
      <c r="J491" s="1">
        <v>0.06</v>
      </c>
      <c r="M491" t="str">
        <f t="shared" si="57"/>
        <v>Unique</v>
      </c>
      <c r="N491" t="str">
        <f t="shared" si="58"/>
        <v>Spring</v>
      </c>
      <c r="O491" t="str">
        <f t="shared" si="56"/>
        <v>2011</v>
      </c>
      <c r="P491" t="str">
        <f t="shared" si="63"/>
        <v>Working Day</v>
      </c>
      <c r="Q491" t="str">
        <f t="shared" si="59"/>
        <v>Saturday</v>
      </c>
      <c r="R491" t="str">
        <f t="shared" si="60"/>
        <v>Cloudy</v>
      </c>
      <c r="S491" t="str">
        <f t="shared" si="61"/>
        <v>Morning</v>
      </c>
      <c r="T491" t="str">
        <f t="shared" si="62"/>
        <v>Cold</v>
      </c>
    </row>
    <row r="492" spans="1:20">
      <c r="A492" s="1">
        <v>491</v>
      </c>
      <c r="B492" s="2">
        <v>40565</v>
      </c>
      <c r="C492" s="1">
        <v>1</v>
      </c>
      <c r="D492" s="1">
        <v>0</v>
      </c>
      <c r="E492" s="1">
        <v>1</v>
      </c>
      <c r="F492" s="1">
        <v>12</v>
      </c>
      <c r="G492" s="1" t="b">
        <v>0</v>
      </c>
      <c r="H492" s="1">
        <v>6</v>
      </c>
      <c r="I492" s="1">
        <v>2</v>
      </c>
      <c r="J492" s="1">
        <v>0.06</v>
      </c>
      <c r="M492" t="str">
        <f t="shared" si="57"/>
        <v>Unique</v>
      </c>
      <c r="N492" t="str">
        <f t="shared" si="58"/>
        <v>Spring</v>
      </c>
      <c r="O492" t="str">
        <f t="shared" si="56"/>
        <v>2011</v>
      </c>
      <c r="P492" t="str">
        <f t="shared" si="63"/>
        <v>Working Day</v>
      </c>
      <c r="Q492" t="str">
        <f t="shared" si="59"/>
        <v>Saturday</v>
      </c>
      <c r="R492" t="str">
        <f t="shared" si="60"/>
        <v>Cloudy</v>
      </c>
      <c r="S492" t="str">
        <f t="shared" si="61"/>
        <v>Afternoon</v>
      </c>
      <c r="T492" t="str">
        <f t="shared" si="62"/>
        <v>Cold</v>
      </c>
    </row>
    <row r="493" spans="1:20">
      <c r="A493" s="1">
        <v>492</v>
      </c>
      <c r="B493" s="2">
        <v>40565</v>
      </c>
      <c r="C493" s="1">
        <v>1</v>
      </c>
      <c r="D493" s="1">
        <v>0</v>
      </c>
      <c r="E493" s="1">
        <v>1</v>
      </c>
      <c r="F493" s="1">
        <v>13</v>
      </c>
      <c r="G493" s="1" t="b">
        <v>0</v>
      </c>
      <c r="H493" s="1">
        <v>6</v>
      </c>
      <c r="I493" s="1">
        <v>1</v>
      </c>
      <c r="J493" s="1">
        <v>0.08</v>
      </c>
      <c r="M493" t="str">
        <f t="shared" si="57"/>
        <v>Unique</v>
      </c>
      <c r="N493" t="str">
        <f t="shared" si="58"/>
        <v>Spring</v>
      </c>
      <c r="O493" t="str">
        <f t="shared" si="56"/>
        <v>2011</v>
      </c>
      <c r="P493" t="str">
        <f t="shared" si="63"/>
        <v>Working Day</v>
      </c>
      <c r="Q493" t="str">
        <f t="shared" si="59"/>
        <v>Saturday</v>
      </c>
      <c r="R493" t="str">
        <f t="shared" si="60"/>
        <v>Clear</v>
      </c>
      <c r="S493" t="str">
        <f t="shared" si="61"/>
        <v>Afternoon</v>
      </c>
      <c r="T493" t="str">
        <f t="shared" si="62"/>
        <v>Cold</v>
      </c>
    </row>
    <row r="494" spans="1:20">
      <c r="A494" s="1">
        <v>493</v>
      </c>
      <c r="B494" s="2">
        <v>40565</v>
      </c>
      <c r="C494" s="1">
        <v>1</v>
      </c>
      <c r="D494" s="1">
        <v>0</v>
      </c>
      <c r="E494" s="1">
        <v>1</v>
      </c>
      <c r="F494" s="1">
        <v>14</v>
      </c>
      <c r="G494" s="1" t="b">
        <v>0</v>
      </c>
      <c r="H494" s="1">
        <v>6</v>
      </c>
      <c r="I494" s="1">
        <v>1</v>
      </c>
      <c r="J494" s="1">
        <v>0.1</v>
      </c>
      <c r="M494" t="str">
        <f t="shared" si="57"/>
        <v>Unique</v>
      </c>
      <c r="N494" t="str">
        <f t="shared" si="58"/>
        <v>Spring</v>
      </c>
      <c r="O494" t="str">
        <f t="shared" si="56"/>
        <v>2011</v>
      </c>
      <c r="P494" t="str">
        <f t="shared" si="63"/>
        <v>Working Day</v>
      </c>
      <c r="Q494" t="str">
        <f t="shared" si="59"/>
        <v>Saturday</v>
      </c>
      <c r="R494" t="str">
        <f t="shared" si="60"/>
        <v>Clear</v>
      </c>
      <c r="S494" t="str">
        <f t="shared" si="61"/>
        <v>Afternoon</v>
      </c>
      <c r="T494" t="str">
        <f t="shared" si="62"/>
        <v>Cold</v>
      </c>
    </row>
    <row r="495" spans="1:20">
      <c r="A495" s="1">
        <v>494</v>
      </c>
      <c r="B495" s="2">
        <v>40565</v>
      </c>
      <c r="C495" s="1">
        <v>1</v>
      </c>
      <c r="D495" s="1">
        <v>0</v>
      </c>
      <c r="E495" s="1">
        <v>1</v>
      </c>
      <c r="F495" s="1">
        <v>15</v>
      </c>
      <c r="G495" s="1" t="b">
        <v>0</v>
      </c>
      <c r="H495" s="1">
        <v>6</v>
      </c>
      <c r="I495" s="1">
        <v>1</v>
      </c>
      <c r="J495" s="1">
        <v>0.12</v>
      </c>
      <c r="M495" t="str">
        <f t="shared" si="57"/>
        <v>Unique</v>
      </c>
      <c r="N495" t="str">
        <f t="shared" si="58"/>
        <v>Spring</v>
      </c>
      <c r="O495" t="str">
        <f t="shared" si="56"/>
        <v>2011</v>
      </c>
      <c r="P495" t="str">
        <f t="shared" si="63"/>
        <v>Working Day</v>
      </c>
      <c r="Q495" t="str">
        <f t="shared" si="59"/>
        <v>Saturday</v>
      </c>
      <c r="R495" t="str">
        <f t="shared" si="60"/>
        <v>Clear</v>
      </c>
      <c r="S495" t="str">
        <f t="shared" si="61"/>
        <v>Afternoon</v>
      </c>
      <c r="T495" t="str">
        <f t="shared" si="62"/>
        <v>Cold</v>
      </c>
    </row>
    <row r="496" spans="1:20">
      <c r="A496" s="1">
        <v>495</v>
      </c>
      <c r="B496" s="2">
        <v>40565</v>
      </c>
      <c r="C496" s="1">
        <v>1</v>
      </c>
      <c r="D496" s="1">
        <v>0</v>
      </c>
      <c r="E496" s="1">
        <v>1</v>
      </c>
      <c r="F496" s="1">
        <v>16</v>
      </c>
      <c r="G496" s="1" t="b">
        <v>0</v>
      </c>
      <c r="H496" s="1">
        <v>6</v>
      </c>
      <c r="I496" s="1">
        <v>1</v>
      </c>
      <c r="J496" s="1">
        <v>0.12</v>
      </c>
      <c r="M496" t="str">
        <f t="shared" si="57"/>
        <v>Unique</v>
      </c>
      <c r="N496" t="str">
        <f t="shared" si="58"/>
        <v>Spring</v>
      </c>
      <c r="O496" t="str">
        <f t="shared" si="56"/>
        <v>2011</v>
      </c>
      <c r="P496" t="str">
        <f t="shared" si="63"/>
        <v>Working Day</v>
      </c>
      <c r="Q496" t="str">
        <f t="shared" si="59"/>
        <v>Saturday</v>
      </c>
      <c r="R496" t="str">
        <f t="shared" si="60"/>
        <v>Clear</v>
      </c>
      <c r="S496" t="str">
        <f t="shared" si="61"/>
        <v>Afternoon</v>
      </c>
      <c r="T496" t="str">
        <f t="shared" si="62"/>
        <v>Cold</v>
      </c>
    </row>
    <row r="497" spans="1:20">
      <c r="A497" s="1">
        <v>496</v>
      </c>
      <c r="B497" s="2">
        <v>40565</v>
      </c>
      <c r="C497" s="1">
        <v>1</v>
      </c>
      <c r="D497" s="1">
        <v>0</v>
      </c>
      <c r="E497" s="1">
        <v>1</v>
      </c>
      <c r="F497" s="1">
        <v>17</v>
      </c>
      <c r="G497" s="1" t="b">
        <v>0</v>
      </c>
      <c r="H497" s="1">
        <v>6</v>
      </c>
      <c r="I497" s="1">
        <v>1</v>
      </c>
      <c r="J497" s="1">
        <v>0.12</v>
      </c>
      <c r="M497" t="str">
        <f t="shared" si="57"/>
        <v>Unique</v>
      </c>
      <c r="N497" t="str">
        <f t="shared" si="58"/>
        <v>Spring</v>
      </c>
      <c r="O497" t="str">
        <f t="shared" si="56"/>
        <v>2011</v>
      </c>
      <c r="P497" t="str">
        <f t="shared" si="63"/>
        <v>Working Day</v>
      </c>
      <c r="Q497" t="str">
        <f t="shared" si="59"/>
        <v>Saturday</v>
      </c>
      <c r="R497" t="str">
        <f t="shared" si="60"/>
        <v>Clear</v>
      </c>
      <c r="S497" t="str">
        <f t="shared" si="61"/>
        <v>Afternoon</v>
      </c>
      <c r="T497" t="str">
        <f t="shared" si="62"/>
        <v>Cold</v>
      </c>
    </row>
    <row r="498" spans="1:20">
      <c r="A498" s="1">
        <v>497</v>
      </c>
      <c r="B498" s="2">
        <v>40565</v>
      </c>
      <c r="C498" s="1">
        <v>1</v>
      </c>
      <c r="D498" s="1">
        <v>0</v>
      </c>
      <c r="E498" s="1">
        <v>1</v>
      </c>
      <c r="F498" s="1">
        <v>18</v>
      </c>
      <c r="G498" s="1" t="b">
        <v>0</v>
      </c>
      <c r="H498" s="1">
        <v>6</v>
      </c>
      <c r="I498" s="1">
        <v>1</v>
      </c>
      <c r="J498" s="1">
        <v>0.08</v>
      </c>
      <c r="M498" t="str">
        <f t="shared" si="57"/>
        <v>Unique</v>
      </c>
      <c r="N498" t="str">
        <f t="shared" si="58"/>
        <v>Spring</v>
      </c>
      <c r="O498" t="str">
        <f t="shared" si="56"/>
        <v>2011</v>
      </c>
      <c r="P498" t="str">
        <f t="shared" si="63"/>
        <v>Working Day</v>
      </c>
      <c r="Q498" t="str">
        <f t="shared" si="59"/>
        <v>Saturday</v>
      </c>
      <c r="R498" t="str">
        <f t="shared" si="60"/>
        <v>Clear</v>
      </c>
      <c r="S498" t="str">
        <f t="shared" si="61"/>
        <v>Night</v>
      </c>
      <c r="T498" t="str">
        <f t="shared" si="62"/>
        <v>Cold</v>
      </c>
    </row>
    <row r="499" spans="1:20">
      <c r="A499" s="1">
        <v>498</v>
      </c>
      <c r="B499" s="2">
        <v>40565</v>
      </c>
      <c r="C499" s="1">
        <v>1</v>
      </c>
      <c r="D499" s="1">
        <v>0</v>
      </c>
      <c r="E499" s="1">
        <v>1</v>
      </c>
      <c r="F499" s="1">
        <v>19</v>
      </c>
      <c r="G499" s="1" t="b">
        <v>0</v>
      </c>
      <c r="H499" s="1">
        <v>6</v>
      </c>
      <c r="I499" s="1">
        <v>1</v>
      </c>
      <c r="J499" s="1">
        <v>0.08</v>
      </c>
      <c r="M499" t="str">
        <f t="shared" si="57"/>
        <v>Unique</v>
      </c>
      <c r="N499" t="str">
        <f t="shared" si="58"/>
        <v>Spring</v>
      </c>
      <c r="O499" t="str">
        <f t="shared" si="56"/>
        <v>2011</v>
      </c>
      <c r="P499" t="str">
        <f t="shared" si="63"/>
        <v>Working Day</v>
      </c>
      <c r="Q499" t="str">
        <f t="shared" si="59"/>
        <v>Saturday</v>
      </c>
      <c r="R499" t="str">
        <f t="shared" si="60"/>
        <v>Clear</v>
      </c>
      <c r="S499" t="str">
        <f t="shared" si="61"/>
        <v>Night</v>
      </c>
      <c r="T499" t="str">
        <f t="shared" si="62"/>
        <v>Cold</v>
      </c>
    </row>
    <row r="500" spans="1:20">
      <c r="A500" s="1">
        <v>499</v>
      </c>
      <c r="B500" s="2">
        <v>40565</v>
      </c>
      <c r="C500" s="1">
        <v>1</v>
      </c>
      <c r="D500" s="1">
        <v>0</v>
      </c>
      <c r="E500" s="1">
        <v>1</v>
      </c>
      <c r="F500" s="1">
        <v>20</v>
      </c>
      <c r="G500" s="1" t="b">
        <v>0</v>
      </c>
      <c r="H500" s="1">
        <v>6</v>
      </c>
      <c r="I500" s="1">
        <v>1</v>
      </c>
      <c r="J500" s="1">
        <v>0.06</v>
      </c>
      <c r="M500" t="str">
        <f t="shared" si="57"/>
        <v>Unique</v>
      </c>
      <c r="N500" t="str">
        <f t="shared" si="58"/>
        <v>Spring</v>
      </c>
      <c r="O500" t="str">
        <f t="shared" si="56"/>
        <v>2011</v>
      </c>
      <c r="P500" t="str">
        <f t="shared" si="63"/>
        <v>Working Day</v>
      </c>
      <c r="Q500" t="str">
        <f t="shared" si="59"/>
        <v>Saturday</v>
      </c>
      <c r="R500" t="str">
        <f t="shared" si="60"/>
        <v>Clear</v>
      </c>
      <c r="S500" t="str">
        <f t="shared" si="61"/>
        <v>Night</v>
      </c>
      <c r="T500" t="str">
        <f t="shared" si="62"/>
        <v>Cold</v>
      </c>
    </row>
    <row r="501" spans="1:20">
      <c r="A501" s="1">
        <v>500</v>
      </c>
      <c r="B501" s="2">
        <v>40565</v>
      </c>
      <c r="C501" s="1">
        <v>1</v>
      </c>
      <c r="D501" s="1">
        <v>0</v>
      </c>
      <c r="E501" s="1">
        <v>1</v>
      </c>
      <c r="F501" s="1">
        <v>21</v>
      </c>
      <c r="G501" s="1" t="b">
        <v>0</v>
      </c>
      <c r="H501" s="1">
        <v>6</v>
      </c>
      <c r="I501" s="1">
        <v>1</v>
      </c>
      <c r="J501" s="1">
        <v>0.06</v>
      </c>
      <c r="M501" t="str">
        <f t="shared" si="57"/>
        <v>Unique</v>
      </c>
      <c r="N501" t="str">
        <f t="shared" si="58"/>
        <v>Spring</v>
      </c>
      <c r="O501" t="str">
        <f t="shared" si="56"/>
        <v>2011</v>
      </c>
      <c r="P501" t="str">
        <f t="shared" si="63"/>
        <v>Working Day</v>
      </c>
      <c r="Q501" t="str">
        <f t="shared" si="59"/>
        <v>Saturday</v>
      </c>
      <c r="R501" t="str">
        <f t="shared" si="60"/>
        <v>Clear</v>
      </c>
      <c r="S501" t="str">
        <f t="shared" si="61"/>
        <v>Night</v>
      </c>
      <c r="T501" t="str">
        <f t="shared" si="62"/>
        <v>Cold</v>
      </c>
    </row>
    <row r="502" spans="1:20">
      <c r="A502" s="1">
        <v>501</v>
      </c>
      <c r="B502" s="2">
        <v>40565</v>
      </c>
      <c r="C502" s="1">
        <v>1</v>
      </c>
      <c r="D502" s="1">
        <v>0</v>
      </c>
      <c r="E502" s="1">
        <v>1</v>
      </c>
      <c r="F502" s="1">
        <v>22</v>
      </c>
      <c r="G502" s="1" t="b">
        <v>0</v>
      </c>
      <c r="H502" s="1">
        <v>6</v>
      </c>
      <c r="I502" s="1">
        <v>1</v>
      </c>
      <c r="J502" s="1">
        <v>0.06</v>
      </c>
      <c r="M502" t="str">
        <f t="shared" si="57"/>
        <v>Unique</v>
      </c>
      <c r="N502" t="str">
        <f t="shared" si="58"/>
        <v>Spring</v>
      </c>
      <c r="O502" t="str">
        <f t="shared" si="56"/>
        <v>2011</v>
      </c>
      <c r="P502" t="str">
        <f t="shared" si="63"/>
        <v>Working Day</v>
      </c>
      <c r="Q502" t="str">
        <f t="shared" si="59"/>
        <v>Saturday</v>
      </c>
      <c r="R502" t="str">
        <f t="shared" si="60"/>
        <v>Clear</v>
      </c>
      <c r="S502" t="str">
        <f t="shared" si="61"/>
        <v>Night</v>
      </c>
      <c r="T502" t="str">
        <f t="shared" si="62"/>
        <v>Cold</v>
      </c>
    </row>
    <row r="503" spans="1:20">
      <c r="A503" s="1">
        <v>502</v>
      </c>
      <c r="B503" s="2">
        <v>40565</v>
      </c>
      <c r="C503" s="1">
        <v>1</v>
      </c>
      <c r="D503" s="1">
        <v>0</v>
      </c>
      <c r="E503" s="1">
        <v>1</v>
      </c>
      <c r="F503" s="1">
        <v>23</v>
      </c>
      <c r="G503" s="1" t="b">
        <v>0</v>
      </c>
      <c r="H503" s="1">
        <v>6</v>
      </c>
      <c r="I503" s="1">
        <v>1</v>
      </c>
      <c r="J503" s="1">
        <v>0.04</v>
      </c>
      <c r="M503" t="str">
        <f t="shared" si="57"/>
        <v>Unique</v>
      </c>
      <c r="N503" t="str">
        <f t="shared" si="58"/>
        <v>Spring</v>
      </c>
      <c r="O503" t="str">
        <f t="shared" si="56"/>
        <v>2011</v>
      </c>
      <c r="P503" t="str">
        <f t="shared" si="63"/>
        <v>Working Day</v>
      </c>
      <c r="Q503" t="str">
        <f t="shared" si="59"/>
        <v>Saturday</v>
      </c>
      <c r="R503" t="str">
        <f t="shared" si="60"/>
        <v>Clear</v>
      </c>
      <c r="S503" t="str">
        <f t="shared" si="61"/>
        <v>Night</v>
      </c>
      <c r="T503" t="str">
        <f t="shared" si="62"/>
        <v>Cold</v>
      </c>
    </row>
    <row r="504" spans="1:20">
      <c r="A504" s="1">
        <v>503</v>
      </c>
      <c r="B504" s="2">
        <v>40566</v>
      </c>
      <c r="C504" s="1">
        <v>1</v>
      </c>
      <c r="D504" s="1">
        <v>0</v>
      </c>
      <c r="E504" s="1">
        <v>1</v>
      </c>
      <c r="F504" s="1">
        <v>0</v>
      </c>
      <c r="G504" s="1" t="b">
        <v>0</v>
      </c>
      <c r="H504" s="1">
        <v>0</v>
      </c>
      <c r="I504" s="1">
        <v>1</v>
      </c>
      <c r="J504" s="1">
        <v>0.04</v>
      </c>
      <c r="M504" t="str">
        <f t="shared" si="57"/>
        <v>Unique</v>
      </c>
      <c r="N504" t="str">
        <f t="shared" si="58"/>
        <v>Spring</v>
      </c>
      <c r="O504" t="str">
        <f t="shared" si="56"/>
        <v>2011</v>
      </c>
      <c r="P504" t="str">
        <f t="shared" si="63"/>
        <v>Working Day</v>
      </c>
      <c r="Q504" t="str">
        <f t="shared" si="59"/>
        <v>Sunday</v>
      </c>
      <c r="R504" t="str">
        <f t="shared" si="60"/>
        <v>Clear</v>
      </c>
      <c r="S504" t="str">
        <f t="shared" si="61"/>
        <v>Morning</v>
      </c>
      <c r="T504" t="str">
        <f t="shared" si="62"/>
        <v>Cold</v>
      </c>
    </row>
    <row r="505" spans="1:20">
      <c r="A505" s="1">
        <v>504</v>
      </c>
      <c r="B505" s="2">
        <v>40566</v>
      </c>
      <c r="C505" s="1">
        <v>1</v>
      </c>
      <c r="D505" s="1">
        <v>0</v>
      </c>
      <c r="E505" s="1">
        <v>1</v>
      </c>
      <c r="F505" s="1">
        <v>1</v>
      </c>
      <c r="G505" s="1" t="b">
        <v>0</v>
      </c>
      <c r="H505" s="1">
        <v>0</v>
      </c>
      <c r="I505" s="1">
        <v>1</v>
      </c>
      <c r="J505" s="1">
        <v>0.04</v>
      </c>
      <c r="M505" t="str">
        <f t="shared" si="57"/>
        <v>Unique</v>
      </c>
      <c r="N505" t="str">
        <f t="shared" si="58"/>
        <v>Spring</v>
      </c>
      <c r="O505" t="str">
        <f t="shared" si="56"/>
        <v>2011</v>
      </c>
      <c r="P505" t="str">
        <f t="shared" si="63"/>
        <v>Working Day</v>
      </c>
      <c r="Q505" t="str">
        <f t="shared" si="59"/>
        <v>Sunday</v>
      </c>
      <c r="R505" t="str">
        <f t="shared" si="60"/>
        <v>Clear</v>
      </c>
      <c r="S505" t="str">
        <f t="shared" si="61"/>
        <v>Morning</v>
      </c>
      <c r="T505" t="str">
        <f t="shared" si="62"/>
        <v>Cold</v>
      </c>
    </row>
    <row r="506" spans="1:20">
      <c r="A506" s="1">
        <v>505</v>
      </c>
      <c r="B506" s="2">
        <v>40566</v>
      </c>
      <c r="C506" s="1">
        <v>1</v>
      </c>
      <c r="D506" s="1">
        <v>0</v>
      </c>
      <c r="E506" s="1">
        <v>1</v>
      </c>
      <c r="F506" s="1">
        <v>2</v>
      </c>
      <c r="G506" s="1" t="b">
        <v>0</v>
      </c>
      <c r="H506" s="1">
        <v>0</v>
      </c>
      <c r="I506" s="1">
        <v>1</v>
      </c>
      <c r="J506" s="1">
        <v>0.02</v>
      </c>
      <c r="M506" t="str">
        <f t="shared" si="57"/>
        <v>Unique</v>
      </c>
      <c r="N506" t="str">
        <f t="shared" si="58"/>
        <v>Spring</v>
      </c>
      <c r="O506" t="str">
        <f t="shared" si="56"/>
        <v>2011</v>
      </c>
      <c r="P506" t="str">
        <f t="shared" si="63"/>
        <v>Working Day</v>
      </c>
      <c r="Q506" t="str">
        <f t="shared" si="59"/>
        <v>Sunday</v>
      </c>
      <c r="R506" t="str">
        <f t="shared" si="60"/>
        <v>Clear</v>
      </c>
      <c r="S506" t="str">
        <f t="shared" si="61"/>
        <v>Morning</v>
      </c>
      <c r="T506" t="str">
        <f t="shared" si="62"/>
        <v>Cold</v>
      </c>
    </row>
    <row r="507" spans="1:20">
      <c r="A507" s="1">
        <v>506</v>
      </c>
      <c r="B507" s="2">
        <v>40566</v>
      </c>
      <c r="C507" s="1">
        <v>1</v>
      </c>
      <c r="D507" s="1">
        <v>0</v>
      </c>
      <c r="E507" s="1">
        <v>1</v>
      </c>
      <c r="F507" s="1">
        <v>3</v>
      </c>
      <c r="G507" s="1" t="b">
        <v>0</v>
      </c>
      <c r="H507" s="1">
        <v>0</v>
      </c>
      <c r="I507" s="1">
        <v>1</v>
      </c>
      <c r="J507" s="1">
        <v>0.02</v>
      </c>
      <c r="M507" t="str">
        <f t="shared" si="57"/>
        <v>Unique</v>
      </c>
      <c r="N507" t="str">
        <f t="shared" si="58"/>
        <v>Spring</v>
      </c>
      <c r="O507" t="str">
        <f t="shared" si="56"/>
        <v>2011</v>
      </c>
      <c r="P507" t="str">
        <f t="shared" si="63"/>
        <v>Working Day</v>
      </c>
      <c r="Q507" t="str">
        <f t="shared" si="59"/>
        <v>Sunday</v>
      </c>
      <c r="R507" t="str">
        <f t="shared" si="60"/>
        <v>Clear</v>
      </c>
      <c r="S507" t="str">
        <f t="shared" si="61"/>
        <v>Morning</v>
      </c>
      <c r="T507" t="str">
        <f t="shared" si="62"/>
        <v>Cold</v>
      </c>
    </row>
    <row r="508" spans="1:20">
      <c r="A508" s="1">
        <v>507</v>
      </c>
      <c r="B508" s="2">
        <v>40566</v>
      </c>
      <c r="C508" s="1">
        <v>1</v>
      </c>
      <c r="D508" s="1">
        <v>0</v>
      </c>
      <c r="E508" s="1">
        <v>1</v>
      </c>
      <c r="F508" s="1">
        <v>5</v>
      </c>
      <c r="G508" s="1" t="b">
        <v>0</v>
      </c>
      <c r="H508" s="1">
        <v>0</v>
      </c>
      <c r="I508" s="1">
        <v>2</v>
      </c>
      <c r="J508" s="1">
        <v>0.04</v>
      </c>
      <c r="M508" t="str">
        <f t="shared" si="57"/>
        <v>Unique</v>
      </c>
      <c r="N508" t="str">
        <f t="shared" si="58"/>
        <v>Spring</v>
      </c>
      <c r="O508" t="str">
        <f t="shared" si="56"/>
        <v>2011</v>
      </c>
      <c r="P508" t="str">
        <f t="shared" si="63"/>
        <v>Working Day</v>
      </c>
      <c r="Q508" t="str">
        <f t="shared" si="59"/>
        <v>Sunday</v>
      </c>
      <c r="R508" t="str">
        <f t="shared" si="60"/>
        <v>Cloudy</v>
      </c>
      <c r="S508" t="str">
        <f t="shared" si="61"/>
        <v>Morning</v>
      </c>
      <c r="T508" t="str">
        <f t="shared" si="62"/>
        <v>Cold</v>
      </c>
    </row>
    <row r="509" spans="1:20">
      <c r="A509" s="1">
        <v>508</v>
      </c>
      <c r="B509" s="2">
        <v>40566</v>
      </c>
      <c r="C509" s="1">
        <v>1</v>
      </c>
      <c r="D509" s="1">
        <v>0</v>
      </c>
      <c r="E509" s="1">
        <v>1</v>
      </c>
      <c r="F509" s="1">
        <v>6</v>
      </c>
      <c r="G509" s="1" t="b">
        <v>0</v>
      </c>
      <c r="H509" s="1">
        <v>0</v>
      </c>
      <c r="I509" s="1">
        <v>2</v>
      </c>
      <c r="J509" s="1">
        <v>0.04</v>
      </c>
      <c r="M509" t="str">
        <f t="shared" si="57"/>
        <v>Unique</v>
      </c>
      <c r="N509" t="str">
        <f t="shared" si="58"/>
        <v>Spring</v>
      </c>
      <c r="O509" t="str">
        <f t="shared" si="56"/>
        <v>2011</v>
      </c>
      <c r="P509" t="str">
        <f t="shared" si="63"/>
        <v>Working Day</v>
      </c>
      <c r="Q509" t="str">
        <f t="shared" si="59"/>
        <v>Sunday</v>
      </c>
      <c r="R509" t="str">
        <f t="shared" si="60"/>
        <v>Cloudy</v>
      </c>
      <c r="S509" t="str">
        <f t="shared" si="61"/>
        <v>Morning</v>
      </c>
      <c r="T509" t="str">
        <f t="shared" si="62"/>
        <v>Cold</v>
      </c>
    </row>
    <row r="510" spans="1:20">
      <c r="A510" s="1">
        <v>509</v>
      </c>
      <c r="B510" s="2">
        <v>40566</v>
      </c>
      <c r="C510" s="1">
        <v>1</v>
      </c>
      <c r="D510" s="1">
        <v>0</v>
      </c>
      <c r="E510" s="1">
        <v>1</v>
      </c>
      <c r="F510" s="1">
        <v>7</v>
      </c>
      <c r="G510" s="1" t="b">
        <v>0</v>
      </c>
      <c r="H510" s="1">
        <v>0</v>
      </c>
      <c r="I510" s="1">
        <v>1</v>
      </c>
      <c r="J510" s="1">
        <v>0.08</v>
      </c>
      <c r="M510" t="str">
        <f t="shared" si="57"/>
        <v>Unique</v>
      </c>
      <c r="N510" t="str">
        <f t="shared" si="58"/>
        <v>Spring</v>
      </c>
      <c r="O510" t="str">
        <f t="shared" si="56"/>
        <v>2011</v>
      </c>
      <c r="P510" t="str">
        <f t="shared" si="63"/>
        <v>Working Day</v>
      </c>
      <c r="Q510" t="str">
        <f t="shared" si="59"/>
        <v>Sunday</v>
      </c>
      <c r="R510" t="str">
        <f t="shared" si="60"/>
        <v>Clear</v>
      </c>
      <c r="S510" t="str">
        <f t="shared" si="61"/>
        <v>Morning</v>
      </c>
      <c r="T510" t="str">
        <f t="shared" si="62"/>
        <v>Cold</v>
      </c>
    </row>
    <row r="511" spans="1:20">
      <c r="A511" s="1">
        <v>510</v>
      </c>
      <c r="B511" s="2">
        <v>40566</v>
      </c>
      <c r="C511" s="1">
        <v>1</v>
      </c>
      <c r="D511" s="1">
        <v>0</v>
      </c>
      <c r="E511" s="1">
        <v>1</v>
      </c>
      <c r="F511" s="1">
        <v>8</v>
      </c>
      <c r="G511" s="1" t="b">
        <v>0</v>
      </c>
      <c r="H511" s="1">
        <v>0</v>
      </c>
      <c r="I511" s="1">
        <v>1</v>
      </c>
      <c r="J511" s="1">
        <v>0.06</v>
      </c>
      <c r="M511" t="str">
        <f t="shared" si="57"/>
        <v>Unique</v>
      </c>
      <c r="N511" t="str">
        <f t="shared" si="58"/>
        <v>Spring</v>
      </c>
      <c r="O511" t="str">
        <f t="shared" si="56"/>
        <v>2011</v>
      </c>
      <c r="P511" t="str">
        <f t="shared" si="63"/>
        <v>Working Day</v>
      </c>
      <c r="Q511" t="str">
        <f t="shared" si="59"/>
        <v>Sunday</v>
      </c>
      <c r="R511" t="str">
        <f t="shared" si="60"/>
        <v>Clear</v>
      </c>
      <c r="S511" t="str">
        <f t="shared" si="61"/>
        <v>Morning</v>
      </c>
      <c r="T511" t="str">
        <f t="shared" si="62"/>
        <v>Cold</v>
      </c>
    </row>
    <row r="512" spans="1:20">
      <c r="A512" s="1">
        <v>511</v>
      </c>
      <c r="B512" s="2">
        <v>40566</v>
      </c>
      <c r="C512" s="1">
        <v>1</v>
      </c>
      <c r="D512" s="1">
        <v>0</v>
      </c>
      <c r="E512" s="1">
        <v>1</v>
      </c>
      <c r="F512" s="1">
        <v>9</v>
      </c>
      <c r="G512" s="1" t="b">
        <v>0</v>
      </c>
      <c r="H512" s="1">
        <v>0</v>
      </c>
      <c r="I512" s="1">
        <v>1</v>
      </c>
      <c r="J512" s="1">
        <v>0.1</v>
      </c>
      <c r="M512" t="str">
        <f t="shared" si="57"/>
        <v>Unique</v>
      </c>
      <c r="N512" t="str">
        <f t="shared" si="58"/>
        <v>Spring</v>
      </c>
      <c r="O512" t="str">
        <f t="shared" si="56"/>
        <v>2011</v>
      </c>
      <c r="P512" t="str">
        <f t="shared" si="63"/>
        <v>Working Day</v>
      </c>
      <c r="Q512" t="str">
        <f t="shared" si="59"/>
        <v>Sunday</v>
      </c>
      <c r="R512" t="str">
        <f t="shared" si="60"/>
        <v>Clear</v>
      </c>
      <c r="S512" t="str">
        <f t="shared" si="61"/>
        <v>Morning</v>
      </c>
      <c r="T512" t="str">
        <f t="shared" si="62"/>
        <v>Cold</v>
      </c>
    </row>
    <row r="513" spans="1:20">
      <c r="A513" s="1">
        <v>512</v>
      </c>
      <c r="B513" s="2">
        <v>40566</v>
      </c>
      <c r="C513" s="1">
        <v>1</v>
      </c>
      <c r="D513" s="1">
        <v>0</v>
      </c>
      <c r="E513" s="1">
        <v>1</v>
      </c>
      <c r="F513" s="1">
        <v>10</v>
      </c>
      <c r="G513" s="1" t="b">
        <v>0</v>
      </c>
      <c r="H513" s="1">
        <v>0</v>
      </c>
      <c r="I513" s="1">
        <v>1</v>
      </c>
      <c r="J513" s="1">
        <v>0.14000000000000001</v>
      </c>
      <c r="M513" t="str">
        <f t="shared" si="57"/>
        <v>Unique</v>
      </c>
      <c r="N513" t="str">
        <f t="shared" si="58"/>
        <v>Spring</v>
      </c>
      <c r="O513" t="str">
        <f t="shared" si="56"/>
        <v>2011</v>
      </c>
      <c r="P513" t="str">
        <f t="shared" si="63"/>
        <v>Working Day</v>
      </c>
      <c r="Q513" t="str">
        <f t="shared" si="59"/>
        <v>Sunday</v>
      </c>
      <c r="R513" t="str">
        <f t="shared" si="60"/>
        <v>Clear</v>
      </c>
      <c r="S513" t="str">
        <f t="shared" si="61"/>
        <v>Morning</v>
      </c>
      <c r="T513" t="str">
        <f t="shared" si="62"/>
        <v>Cold</v>
      </c>
    </row>
    <row r="514" spans="1:20">
      <c r="A514" s="1">
        <v>513</v>
      </c>
      <c r="B514" s="2">
        <v>40566</v>
      </c>
      <c r="C514" s="1">
        <v>1</v>
      </c>
      <c r="D514" s="1">
        <v>0</v>
      </c>
      <c r="E514" s="1">
        <v>1</v>
      </c>
      <c r="F514" s="1">
        <v>11</v>
      </c>
      <c r="G514" s="1" t="b">
        <v>0</v>
      </c>
      <c r="H514" s="1">
        <v>0</v>
      </c>
      <c r="I514" s="1">
        <v>1</v>
      </c>
      <c r="J514" s="1">
        <v>0.14000000000000001</v>
      </c>
      <c r="M514" t="str">
        <f t="shared" si="57"/>
        <v>Unique</v>
      </c>
      <c r="N514" t="str">
        <f t="shared" si="58"/>
        <v>Spring</v>
      </c>
      <c r="O514" t="str">
        <f t="shared" ref="O514:O577" si="64">IF(D514=0,"2011","2012")</f>
        <v>2011</v>
      </c>
      <c r="P514" t="str">
        <f t="shared" si="63"/>
        <v>Working Day</v>
      </c>
      <c r="Q514" t="str">
        <f t="shared" si="59"/>
        <v>Sunday</v>
      </c>
      <c r="R514" t="str">
        <f t="shared" si="60"/>
        <v>Clear</v>
      </c>
      <c r="S514" t="str">
        <f t="shared" si="61"/>
        <v>Morning</v>
      </c>
      <c r="T514" t="str">
        <f t="shared" si="62"/>
        <v>Cold</v>
      </c>
    </row>
    <row r="515" spans="1:20">
      <c r="A515" s="1">
        <v>514</v>
      </c>
      <c r="B515" s="2">
        <v>40566</v>
      </c>
      <c r="C515" s="1">
        <v>1</v>
      </c>
      <c r="D515" s="1">
        <v>0</v>
      </c>
      <c r="E515" s="1">
        <v>1</v>
      </c>
      <c r="F515" s="1">
        <v>12</v>
      </c>
      <c r="G515" s="1" t="b">
        <v>0</v>
      </c>
      <c r="H515" s="1">
        <v>0</v>
      </c>
      <c r="I515" s="1">
        <v>1</v>
      </c>
      <c r="J515" s="1">
        <v>0.16</v>
      </c>
      <c r="M515" t="str">
        <f t="shared" ref="M515:M578" si="65">IF(COUNTIF(A:A,A515)&gt;1,"Duplicate","Unique")</f>
        <v>Unique</v>
      </c>
      <c r="N515" t="str">
        <f t="shared" ref="N515:N578" si="66">IF(C515=1,"Spring",IF(C515=2,"Summer",IF(C515=3,"Fall","Winter")))</f>
        <v>Spring</v>
      </c>
      <c r="O515" t="str">
        <f t="shared" si="64"/>
        <v>2011</v>
      </c>
      <c r="P515" t="str">
        <f t="shared" si="63"/>
        <v>Working Day</v>
      </c>
      <c r="Q515" t="str">
        <f t="shared" ref="Q515:Q578" si="67">CHOOSE(H515+1,"Sunday","Monday","Tuesday","Wednesday","Thursday","Friday","Saturday")</f>
        <v>Sunday</v>
      </c>
      <c r="R515" t="str">
        <f t="shared" ref="R515:R578" si="68">IF(I515=1,"Clear",IF(I515=2,"Cloudy",IF(I515=3,"Rainy","Storm")))</f>
        <v>Clear</v>
      </c>
      <c r="S515" t="str">
        <f t="shared" ref="S515:S578" si="69">IF(F515&lt;12,"Morning",IF(F515&lt;18,"Afternoon","Night"))</f>
        <v>Afternoon</v>
      </c>
      <c r="T515" t="str">
        <f t="shared" ref="T515:T578" si="70">IF(J515&lt;0.3,"Cold",IF(J515&lt;0.6,"Normal","Hot"))</f>
        <v>Cold</v>
      </c>
    </row>
    <row r="516" spans="1:20">
      <c r="A516" s="1">
        <v>515</v>
      </c>
      <c r="B516" s="2">
        <v>40566</v>
      </c>
      <c r="C516" s="1">
        <v>1</v>
      </c>
      <c r="D516" s="1">
        <v>0</v>
      </c>
      <c r="E516" s="1">
        <v>1</v>
      </c>
      <c r="F516" s="1">
        <v>13</v>
      </c>
      <c r="G516" s="1" t="b">
        <v>0</v>
      </c>
      <c r="H516" s="1">
        <v>0</v>
      </c>
      <c r="I516" s="1">
        <v>1</v>
      </c>
      <c r="J516" s="1">
        <v>0.14000000000000001</v>
      </c>
      <c r="M516" t="str">
        <f t="shared" si="65"/>
        <v>Unique</v>
      </c>
      <c r="N516" t="str">
        <f t="shared" si="66"/>
        <v>Spring</v>
      </c>
      <c r="O516" t="str">
        <f t="shared" si="64"/>
        <v>2011</v>
      </c>
      <c r="P516" t="str">
        <f t="shared" ref="P516:P579" si="71">IF(G515=FALSE,"Working Day","Holiday")</f>
        <v>Working Day</v>
      </c>
      <c r="Q516" t="str">
        <f t="shared" si="67"/>
        <v>Sunday</v>
      </c>
      <c r="R516" t="str">
        <f t="shared" si="68"/>
        <v>Clear</v>
      </c>
      <c r="S516" t="str">
        <f t="shared" si="69"/>
        <v>Afternoon</v>
      </c>
      <c r="T516" t="str">
        <f t="shared" si="70"/>
        <v>Cold</v>
      </c>
    </row>
    <row r="517" spans="1:20">
      <c r="A517" s="1">
        <v>516</v>
      </c>
      <c r="B517" s="2">
        <v>40566</v>
      </c>
      <c r="C517" s="1">
        <v>1</v>
      </c>
      <c r="D517" s="1">
        <v>0</v>
      </c>
      <c r="E517" s="1">
        <v>1</v>
      </c>
      <c r="F517" s="1">
        <v>14</v>
      </c>
      <c r="G517" s="1" t="b">
        <v>0</v>
      </c>
      <c r="H517" s="1">
        <v>0</v>
      </c>
      <c r="I517" s="1">
        <v>1</v>
      </c>
      <c r="J517" s="1">
        <v>0.16</v>
      </c>
      <c r="M517" t="str">
        <f t="shared" si="65"/>
        <v>Unique</v>
      </c>
      <c r="N517" t="str">
        <f t="shared" si="66"/>
        <v>Spring</v>
      </c>
      <c r="O517" t="str">
        <f t="shared" si="64"/>
        <v>2011</v>
      </c>
      <c r="P517" t="str">
        <f t="shared" si="71"/>
        <v>Working Day</v>
      </c>
      <c r="Q517" t="str">
        <f t="shared" si="67"/>
        <v>Sunday</v>
      </c>
      <c r="R517" t="str">
        <f t="shared" si="68"/>
        <v>Clear</v>
      </c>
      <c r="S517" t="str">
        <f t="shared" si="69"/>
        <v>Afternoon</v>
      </c>
      <c r="T517" t="str">
        <f t="shared" si="70"/>
        <v>Cold</v>
      </c>
    </row>
    <row r="518" spans="1:20">
      <c r="A518" s="1">
        <v>517</v>
      </c>
      <c r="B518" s="2">
        <v>40566</v>
      </c>
      <c r="C518" s="1">
        <v>1</v>
      </c>
      <c r="D518" s="1">
        <v>0</v>
      </c>
      <c r="E518" s="1">
        <v>1</v>
      </c>
      <c r="F518" s="1">
        <v>15</v>
      </c>
      <c r="G518" s="1" t="b">
        <v>0</v>
      </c>
      <c r="H518" s="1">
        <v>0</v>
      </c>
      <c r="I518" s="1">
        <v>1</v>
      </c>
      <c r="J518" s="1">
        <v>0.16</v>
      </c>
      <c r="M518" t="str">
        <f t="shared" si="65"/>
        <v>Unique</v>
      </c>
      <c r="N518" t="str">
        <f t="shared" si="66"/>
        <v>Spring</v>
      </c>
      <c r="O518" t="str">
        <f t="shared" si="64"/>
        <v>2011</v>
      </c>
      <c r="P518" t="str">
        <f t="shared" si="71"/>
        <v>Working Day</v>
      </c>
      <c r="Q518" t="str">
        <f t="shared" si="67"/>
        <v>Sunday</v>
      </c>
      <c r="R518" t="str">
        <f t="shared" si="68"/>
        <v>Clear</v>
      </c>
      <c r="S518" t="str">
        <f t="shared" si="69"/>
        <v>Afternoon</v>
      </c>
      <c r="T518" t="str">
        <f t="shared" si="70"/>
        <v>Cold</v>
      </c>
    </row>
    <row r="519" spans="1:20">
      <c r="A519" s="1">
        <v>518</v>
      </c>
      <c r="B519" s="2">
        <v>40566</v>
      </c>
      <c r="C519" s="1">
        <v>1</v>
      </c>
      <c r="D519" s="1">
        <v>0</v>
      </c>
      <c r="E519" s="1">
        <v>1</v>
      </c>
      <c r="F519" s="1">
        <v>16</v>
      </c>
      <c r="G519" s="1" t="b">
        <v>0</v>
      </c>
      <c r="H519" s="1">
        <v>0</v>
      </c>
      <c r="I519" s="1">
        <v>1</v>
      </c>
      <c r="J519" s="1">
        <v>0.16</v>
      </c>
      <c r="M519" t="str">
        <f t="shared" si="65"/>
        <v>Unique</v>
      </c>
      <c r="N519" t="str">
        <f t="shared" si="66"/>
        <v>Spring</v>
      </c>
      <c r="O519" t="str">
        <f t="shared" si="64"/>
        <v>2011</v>
      </c>
      <c r="P519" t="str">
        <f t="shared" si="71"/>
        <v>Working Day</v>
      </c>
      <c r="Q519" t="str">
        <f t="shared" si="67"/>
        <v>Sunday</v>
      </c>
      <c r="R519" t="str">
        <f t="shared" si="68"/>
        <v>Clear</v>
      </c>
      <c r="S519" t="str">
        <f t="shared" si="69"/>
        <v>Afternoon</v>
      </c>
      <c r="T519" t="str">
        <f t="shared" si="70"/>
        <v>Cold</v>
      </c>
    </row>
    <row r="520" spans="1:20">
      <c r="A520" s="1">
        <v>519</v>
      </c>
      <c r="B520" s="2">
        <v>40566</v>
      </c>
      <c r="C520" s="1">
        <v>1</v>
      </c>
      <c r="D520" s="1">
        <v>0</v>
      </c>
      <c r="E520" s="1">
        <v>1</v>
      </c>
      <c r="F520" s="1">
        <v>17</v>
      </c>
      <c r="G520" s="1" t="b">
        <v>0</v>
      </c>
      <c r="H520" s="1">
        <v>0</v>
      </c>
      <c r="I520" s="1">
        <v>1</v>
      </c>
      <c r="J520" s="1">
        <v>0.14000000000000001</v>
      </c>
      <c r="M520" t="str">
        <f t="shared" si="65"/>
        <v>Unique</v>
      </c>
      <c r="N520" t="str">
        <f t="shared" si="66"/>
        <v>Spring</v>
      </c>
      <c r="O520" t="str">
        <f t="shared" si="64"/>
        <v>2011</v>
      </c>
      <c r="P520" t="str">
        <f t="shared" si="71"/>
        <v>Working Day</v>
      </c>
      <c r="Q520" t="str">
        <f t="shared" si="67"/>
        <v>Sunday</v>
      </c>
      <c r="R520" t="str">
        <f t="shared" si="68"/>
        <v>Clear</v>
      </c>
      <c r="S520" t="str">
        <f t="shared" si="69"/>
        <v>Afternoon</v>
      </c>
      <c r="T520" t="str">
        <f t="shared" si="70"/>
        <v>Cold</v>
      </c>
    </row>
    <row r="521" spans="1:20">
      <c r="A521" s="1">
        <v>520</v>
      </c>
      <c r="B521" s="2">
        <v>40566</v>
      </c>
      <c r="C521" s="1">
        <v>1</v>
      </c>
      <c r="D521" s="1">
        <v>0</v>
      </c>
      <c r="E521" s="1">
        <v>1</v>
      </c>
      <c r="F521" s="1">
        <v>18</v>
      </c>
      <c r="G521" s="1" t="b">
        <v>0</v>
      </c>
      <c r="H521" s="1">
        <v>0</v>
      </c>
      <c r="I521" s="1">
        <v>1</v>
      </c>
      <c r="J521" s="1">
        <v>0.12</v>
      </c>
      <c r="M521" t="str">
        <f t="shared" si="65"/>
        <v>Unique</v>
      </c>
      <c r="N521" t="str">
        <f t="shared" si="66"/>
        <v>Spring</v>
      </c>
      <c r="O521" t="str">
        <f t="shared" si="64"/>
        <v>2011</v>
      </c>
      <c r="P521" t="str">
        <f t="shared" si="71"/>
        <v>Working Day</v>
      </c>
      <c r="Q521" t="str">
        <f t="shared" si="67"/>
        <v>Sunday</v>
      </c>
      <c r="R521" t="str">
        <f t="shared" si="68"/>
        <v>Clear</v>
      </c>
      <c r="S521" t="str">
        <f t="shared" si="69"/>
        <v>Night</v>
      </c>
      <c r="T521" t="str">
        <f t="shared" si="70"/>
        <v>Cold</v>
      </c>
    </row>
    <row r="522" spans="1:20">
      <c r="A522" s="1">
        <v>521</v>
      </c>
      <c r="B522" s="2">
        <v>40566</v>
      </c>
      <c r="C522" s="1">
        <v>1</v>
      </c>
      <c r="D522" s="1">
        <v>0</v>
      </c>
      <c r="E522" s="1">
        <v>1</v>
      </c>
      <c r="F522" s="1">
        <v>19</v>
      </c>
      <c r="G522" s="1" t="b">
        <v>0</v>
      </c>
      <c r="H522" s="1">
        <v>0</v>
      </c>
      <c r="I522" s="1">
        <v>1</v>
      </c>
      <c r="J522" s="1">
        <v>0.12</v>
      </c>
      <c r="M522" t="str">
        <f t="shared" si="65"/>
        <v>Unique</v>
      </c>
      <c r="N522" t="str">
        <f t="shared" si="66"/>
        <v>Spring</v>
      </c>
      <c r="O522" t="str">
        <f t="shared" si="64"/>
        <v>2011</v>
      </c>
      <c r="P522" t="str">
        <f t="shared" si="71"/>
        <v>Working Day</v>
      </c>
      <c r="Q522" t="str">
        <f t="shared" si="67"/>
        <v>Sunday</v>
      </c>
      <c r="R522" t="str">
        <f t="shared" si="68"/>
        <v>Clear</v>
      </c>
      <c r="S522" t="str">
        <f t="shared" si="69"/>
        <v>Night</v>
      </c>
      <c r="T522" t="str">
        <f t="shared" si="70"/>
        <v>Cold</v>
      </c>
    </row>
    <row r="523" spans="1:20">
      <c r="A523" s="1">
        <v>522</v>
      </c>
      <c r="B523" s="2">
        <v>40566</v>
      </c>
      <c r="C523" s="1">
        <v>1</v>
      </c>
      <c r="D523" s="1">
        <v>0</v>
      </c>
      <c r="E523" s="1">
        <v>1</v>
      </c>
      <c r="F523" s="1">
        <v>20</v>
      </c>
      <c r="G523" s="1" t="b">
        <v>0</v>
      </c>
      <c r="H523" s="1">
        <v>0</v>
      </c>
      <c r="I523" s="1">
        <v>1</v>
      </c>
      <c r="J523" s="1">
        <v>0.1</v>
      </c>
      <c r="M523" t="str">
        <f t="shared" si="65"/>
        <v>Unique</v>
      </c>
      <c r="N523" t="str">
        <f t="shared" si="66"/>
        <v>Spring</v>
      </c>
      <c r="O523" t="str">
        <f t="shared" si="64"/>
        <v>2011</v>
      </c>
      <c r="P523" t="str">
        <f t="shared" si="71"/>
        <v>Working Day</v>
      </c>
      <c r="Q523" t="str">
        <f t="shared" si="67"/>
        <v>Sunday</v>
      </c>
      <c r="R523" t="str">
        <f t="shared" si="68"/>
        <v>Clear</v>
      </c>
      <c r="S523" t="str">
        <f t="shared" si="69"/>
        <v>Night</v>
      </c>
      <c r="T523" t="str">
        <f t="shared" si="70"/>
        <v>Cold</v>
      </c>
    </row>
    <row r="524" spans="1:20">
      <c r="A524" s="1">
        <v>523</v>
      </c>
      <c r="B524" s="2">
        <v>40566</v>
      </c>
      <c r="C524" s="1">
        <v>1</v>
      </c>
      <c r="D524" s="1">
        <v>0</v>
      </c>
      <c r="E524" s="1">
        <v>1</v>
      </c>
      <c r="F524" s="1">
        <v>21</v>
      </c>
      <c r="G524" s="1" t="b">
        <v>0</v>
      </c>
      <c r="H524" s="1">
        <v>0</v>
      </c>
      <c r="I524" s="1">
        <v>1</v>
      </c>
      <c r="J524" s="1">
        <v>0.1</v>
      </c>
      <c r="M524" t="str">
        <f t="shared" si="65"/>
        <v>Unique</v>
      </c>
      <c r="N524" t="str">
        <f t="shared" si="66"/>
        <v>Spring</v>
      </c>
      <c r="O524" t="str">
        <f t="shared" si="64"/>
        <v>2011</v>
      </c>
      <c r="P524" t="str">
        <f t="shared" si="71"/>
        <v>Working Day</v>
      </c>
      <c r="Q524" t="str">
        <f t="shared" si="67"/>
        <v>Sunday</v>
      </c>
      <c r="R524" t="str">
        <f t="shared" si="68"/>
        <v>Clear</v>
      </c>
      <c r="S524" t="str">
        <f t="shared" si="69"/>
        <v>Night</v>
      </c>
      <c r="T524" t="str">
        <f t="shared" si="70"/>
        <v>Cold</v>
      </c>
    </row>
    <row r="525" spans="1:20">
      <c r="A525" s="1">
        <v>524</v>
      </c>
      <c r="B525" s="2">
        <v>40566</v>
      </c>
      <c r="C525" s="1">
        <v>1</v>
      </c>
      <c r="D525" s="1">
        <v>0</v>
      </c>
      <c r="E525" s="1">
        <v>1</v>
      </c>
      <c r="F525" s="1">
        <v>22</v>
      </c>
      <c r="G525" s="1" t="b">
        <v>0</v>
      </c>
      <c r="H525" s="1">
        <v>0</v>
      </c>
      <c r="I525" s="1">
        <v>1</v>
      </c>
      <c r="J525" s="1">
        <v>0.08</v>
      </c>
      <c r="M525" t="str">
        <f t="shared" si="65"/>
        <v>Unique</v>
      </c>
      <c r="N525" t="str">
        <f t="shared" si="66"/>
        <v>Spring</v>
      </c>
      <c r="O525" t="str">
        <f t="shared" si="64"/>
        <v>2011</v>
      </c>
      <c r="P525" t="str">
        <f t="shared" si="71"/>
        <v>Working Day</v>
      </c>
      <c r="Q525" t="str">
        <f t="shared" si="67"/>
        <v>Sunday</v>
      </c>
      <c r="R525" t="str">
        <f t="shared" si="68"/>
        <v>Clear</v>
      </c>
      <c r="S525" t="str">
        <f t="shared" si="69"/>
        <v>Night</v>
      </c>
      <c r="T525" t="str">
        <f t="shared" si="70"/>
        <v>Cold</v>
      </c>
    </row>
    <row r="526" spans="1:20">
      <c r="A526" s="1">
        <v>525</v>
      </c>
      <c r="B526" s="2">
        <v>40566</v>
      </c>
      <c r="C526" s="1">
        <v>1</v>
      </c>
      <c r="D526" s="1">
        <v>0</v>
      </c>
      <c r="E526" s="1">
        <v>1</v>
      </c>
      <c r="F526" s="1">
        <v>23</v>
      </c>
      <c r="G526" s="1" t="b">
        <v>0</v>
      </c>
      <c r="H526" s="1">
        <v>0</v>
      </c>
      <c r="I526" s="1">
        <v>1</v>
      </c>
      <c r="J526" s="1">
        <v>0.06</v>
      </c>
      <c r="M526" t="str">
        <f t="shared" si="65"/>
        <v>Unique</v>
      </c>
      <c r="N526" t="str">
        <f t="shared" si="66"/>
        <v>Spring</v>
      </c>
      <c r="O526" t="str">
        <f t="shared" si="64"/>
        <v>2011</v>
      </c>
      <c r="P526" t="str">
        <f t="shared" si="71"/>
        <v>Working Day</v>
      </c>
      <c r="Q526" t="str">
        <f t="shared" si="67"/>
        <v>Sunday</v>
      </c>
      <c r="R526" t="str">
        <f t="shared" si="68"/>
        <v>Clear</v>
      </c>
      <c r="S526" t="str">
        <f t="shared" si="69"/>
        <v>Night</v>
      </c>
      <c r="T526" t="str">
        <f t="shared" si="70"/>
        <v>Cold</v>
      </c>
    </row>
    <row r="527" spans="1:20">
      <c r="A527" s="1">
        <v>526</v>
      </c>
      <c r="B527" s="2">
        <v>40567</v>
      </c>
      <c r="C527" s="1">
        <v>1</v>
      </c>
      <c r="D527" s="1">
        <v>0</v>
      </c>
      <c r="E527" s="1">
        <v>1</v>
      </c>
      <c r="F527" s="1">
        <v>0</v>
      </c>
      <c r="G527" s="1" t="b">
        <v>0</v>
      </c>
      <c r="H527" s="1">
        <v>1</v>
      </c>
      <c r="I527" s="1">
        <v>1</v>
      </c>
      <c r="J527" s="1">
        <v>0.06</v>
      </c>
      <c r="M527" t="str">
        <f t="shared" si="65"/>
        <v>Unique</v>
      </c>
      <c r="N527" t="str">
        <f t="shared" si="66"/>
        <v>Spring</v>
      </c>
      <c r="O527" t="str">
        <f t="shared" si="64"/>
        <v>2011</v>
      </c>
      <c r="P527" t="str">
        <f t="shared" si="71"/>
        <v>Working Day</v>
      </c>
      <c r="Q527" t="str">
        <f t="shared" si="67"/>
        <v>Monday</v>
      </c>
      <c r="R527" t="str">
        <f t="shared" si="68"/>
        <v>Clear</v>
      </c>
      <c r="S527" t="str">
        <f t="shared" si="69"/>
        <v>Morning</v>
      </c>
      <c r="T527" t="str">
        <f t="shared" si="70"/>
        <v>Cold</v>
      </c>
    </row>
    <row r="528" spans="1:20">
      <c r="A528" s="1">
        <v>527</v>
      </c>
      <c r="B528" s="2">
        <v>40567</v>
      </c>
      <c r="C528" s="1">
        <v>1</v>
      </c>
      <c r="D528" s="1">
        <v>0</v>
      </c>
      <c r="E528" s="1">
        <v>1</v>
      </c>
      <c r="F528" s="1">
        <v>1</v>
      </c>
      <c r="G528" s="1" t="b">
        <v>0</v>
      </c>
      <c r="H528" s="1">
        <v>1</v>
      </c>
      <c r="I528" s="1">
        <v>1</v>
      </c>
      <c r="J528" s="1">
        <v>0.04</v>
      </c>
      <c r="M528" t="str">
        <f t="shared" si="65"/>
        <v>Unique</v>
      </c>
      <c r="N528" t="str">
        <f t="shared" si="66"/>
        <v>Spring</v>
      </c>
      <c r="O528" t="str">
        <f t="shared" si="64"/>
        <v>2011</v>
      </c>
      <c r="P528" t="str">
        <f t="shared" si="71"/>
        <v>Working Day</v>
      </c>
      <c r="Q528" t="str">
        <f t="shared" si="67"/>
        <v>Monday</v>
      </c>
      <c r="R528" t="str">
        <f t="shared" si="68"/>
        <v>Clear</v>
      </c>
      <c r="S528" t="str">
        <f t="shared" si="69"/>
        <v>Morning</v>
      </c>
      <c r="T528" t="str">
        <f t="shared" si="70"/>
        <v>Cold</v>
      </c>
    </row>
    <row r="529" spans="1:20">
      <c r="A529" s="1">
        <v>528</v>
      </c>
      <c r="B529" s="2">
        <v>40567</v>
      </c>
      <c r="C529" s="1">
        <v>1</v>
      </c>
      <c r="D529" s="1">
        <v>0</v>
      </c>
      <c r="E529" s="1">
        <v>1</v>
      </c>
      <c r="F529" s="1">
        <v>3</v>
      </c>
      <c r="G529" s="1" t="b">
        <v>0</v>
      </c>
      <c r="H529" s="1">
        <v>1</v>
      </c>
      <c r="I529" s="1">
        <v>1</v>
      </c>
      <c r="J529" s="1">
        <v>0.04</v>
      </c>
      <c r="M529" t="str">
        <f t="shared" si="65"/>
        <v>Unique</v>
      </c>
      <c r="N529" t="str">
        <f t="shared" si="66"/>
        <v>Spring</v>
      </c>
      <c r="O529" t="str">
        <f t="shared" si="64"/>
        <v>2011</v>
      </c>
      <c r="P529" t="str">
        <f t="shared" si="71"/>
        <v>Working Day</v>
      </c>
      <c r="Q529" t="str">
        <f t="shared" si="67"/>
        <v>Monday</v>
      </c>
      <c r="R529" t="str">
        <f t="shared" si="68"/>
        <v>Clear</v>
      </c>
      <c r="S529" t="str">
        <f t="shared" si="69"/>
        <v>Morning</v>
      </c>
      <c r="T529" t="str">
        <f t="shared" si="70"/>
        <v>Cold</v>
      </c>
    </row>
    <row r="530" spans="1:20">
      <c r="A530" s="1">
        <v>529</v>
      </c>
      <c r="B530" s="2">
        <v>40567</v>
      </c>
      <c r="C530" s="1">
        <v>1</v>
      </c>
      <c r="D530" s="1">
        <v>0</v>
      </c>
      <c r="E530" s="1">
        <v>1</v>
      </c>
      <c r="F530" s="1">
        <v>4</v>
      </c>
      <c r="G530" s="1" t="b">
        <v>0</v>
      </c>
      <c r="H530" s="1">
        <v>1</v>
      </c>
      <c r="I530" s="1">
        <v>1</v>
      </c>
      <c r="J530" s="1">
        <v>0.02</v>
      </c>
      <c r="M530" t="str">
        <f t="shared" si="65"/>
        <v>Unique</v>
      </c>
      <c r="N530" t="str">
        <f t="shared" si="66"/>
        <v>Spring</v>
      </c>
      <c r="O530" t="str">
        <f t="shared" si="64"/>
        <v>2011</v>
      </c>
      <c r="P530" t="str">
        <f t="shared" si="71"/>
        <v>Working Day</v>
      </c>
      <c r="Q530" t="str">
        <f t="shared" si="67"/>
        <v>Monday</v>
      </c>
      <c r="R530" t="str">
        <f t="shared" si="68"/>
        <v>Clear</v>
      </c>
      <c r="S530" t="str">
        <f t="shared" si="69"/>
        <v>Morning</v>
      </c>
      <c r="T530" t="str">
        <f t="shared" si="70"/>
        <v>Cold</v>
      </c>
    </row>
    <row r="531" spans="1:20">
      <c r="A531" s="1">
        <v>530</v>
      </c>
      <c r="B531" s="2">
        <v>40567</v>
      </c>
      <c r="C531" s="1">
        <v>1</v>
      </c>
      <c r="D531" s="1">
        <v>0</v>
      </c>
      <c r="E531" s="1">
        <v>1</v>
      </c>
      <c r="F531" s="1">
        <v>5</v>
      </c>
      <c r="G531" s="1" t="b">
        <v>0</v>
      </c>
      <c r="H531" s="1">
        <v>1</v>
      </c>
      <c r="I531" s="1">
        <v>1</v>
      </c>
      <c r="J531" s="1">
        <v>0.02</v>
      </c>
      <c r="M531" t="str">
        <f t="shared" si="65"/>
        <v>Unique</v>
      </c>
      <c r="N531" t="str">
        <f t="shared" si="66"/>
        <v>Spring</v>
      </c>
      <c r="O531" t="str">
        <f t="shared" si="64"/>
        <v>2011</v>
      </c>
      <c r="P531" t="str">
        <f t="shared" si="71"/>
        <v>Working Day</v>
      </c>
      <c r="Q531" t="str">
        <f t="shared" si="67"/>
        <v>Monday</v>
      </c>
      <c r="R531" t="str">
        <f t="shared" si="68"/>
        <v>Clear</v>
      </c>
      <c r="S531" t="str">
        <f t="shared" si="69"/>
        <v>Morning</v>
      </c>
      <c r="T531" t="str">
        <f t="shared" si="70"/>
        <v>Cold</v>
      </c>
    </row>
    <row r="532" spans="1:20">
      <c r="A532" s="1">
        <v>531</v>
      </c>
      <c r="B532" s="2">
        <v>40567</v>
      </c>
      <c r="C532" s="1">
        <v>1</v>
      </c>
      <c r="D532" s="1">
        <v>0</v>
      </c>
      <c r="E532" s="1">
        <v>1</v>
      </c>
      <c r="F532" s="1">
        <v>6</v>
      </c>
      <c r="G532" s="1" t="b">
        <v>0</v>
      </c>
      <c r="H532" s="1">
        <v>1</v>
      </c>
      <c r="I532" s="1">
        <v>1</v>
      </c>
      <c r="J532" s="1">
        <v>0.02</v>
      </c>
      <c r="M532" t="str">
        <f t="shared" si="65"/>
        <v>Unique</v>
      </c>
      <c r="N532" t="str">
        <f t="shared" si="66"/>
        <v>Spring</v>
      </c>
      <c r="O532" t="str">
        <f t="shared" si="64"/>
        <v>2011</v>
      </c>
      <c r="P532" t="str">
        <f t="shared" si="71"/>
        <v>Working Day</v>
      </c>
      <c r="Q532" t="str">
        <f t="shared" si="67"/>
        <v>Monday</v>
      </c>
      <c r="R532" t="str">
        <f t="shared" si="68"/>
        <v>Clear</v>
      </c>
      <c r="S532" t="str">
        <f t="shared" si="69"/>
        <v>Morning</v>
      </c>
      <c r="T532" t="str">
        <f t="shared" si="70"/>
        <v>Cold</v>
      </c>
    </row>
    <row r="533" spans="1:20">
      <c r="A533" s="1">
        <v>532</v>
      </c>
      <c r="B533" s="2">
        <v>40567</v>
      </c>
      <c r="C533" s="1">
        <v>1</v>
      </c>
      <c r="D533" s="1">
        <v>0</v>
      </c>
      <c r="E533" s="1">
        <v>1</v>
      </c>
      <c r="F533" s="1">
        <v>7</v>
      </c>
      <c r="G533" s="1" t="b">
        <v>0</v>
      </c>
      <c r="H533" s="1">
        <v>1</v>
      </c>
      <c r="I533" s="1">
        <v>1</v>
      </c>
      <c r="J533" s="1">
        <v>0.02</v>
      </c>
      <c r="M533" t="str">
        <f t="shared" si="65"/>
        <v>Unique</v>
      </c>
      <c r="N533" t="str">
        <f t="shared" si="66"/>
        <v>Spring</v>
      </c>
      <c r="O533" t="str">
        <f t="shared" si="64"/>
        <v>2011</v>
      </c>
      <c r="P533" t="str">
        <f t="shared" si="71"/>
        <v>Working Day</v>
      </c>
      <c r="Q533" t="str">
        <f t="shared" si="67"/>
        <v>Monday</v>
      </c>
      <c r="R533" t="str">
        <f t="shared" si="68"/>
        <v>Clear</v>
      </c>
      <c r="S533" t="str">
        <f t="shared" si="69"/>
        <v>Morning</v>
      </c>
      <c r="T533" t="str">
        <f t="shared" si="70"/>
        <v>Cold</v>
      </c>
    </row>
    <row r="534" spans="1:20">
      <c r="A534" s="1">
        <v>533</v>
      </c>
      <c r="B534" s="2">
        <v>40567</v>
      </c>
      <c r="C534" s="1">
        <v>1</v>
      </c>
      <c r="D534" s="1">
        <v>0</v>
      </c>
      <c r="E534" s="1">
        <v>1</v>
      </c>
      <c r="F534" s="1">
        <v>8</v>
      </c>
      <c r="G534" s="1" t="b">
        <v>0</v>
      </c>
      <c r="H534" s="1">
        <v>1</v>
      </c>
      <c r="I534" s="1">
        <v>1</v>
      </c>
      <c r="J534" s="1">
        <v>0.04</v>
      </c>
      <c r="M534" t="str">
        <f t="shared" si="65"/>
        <v>Unique</v>
      </c>
      <c r="N534" t="str">
        <f t="shared" si="66"/>
        <v>Spring</v>
      </c>
      <c r="O534" t="str">
        <f t="shared" si="64"/>
        <v>2011</v>
      </c>
      <c r="P534" t="str">
        <f t="shared" si="71"/>
        <v>Working Day</v>
      </c>
      <c r="Q534" t="str">
        <f t="shared" si="67"/>
        <v>Monday</v>
      </c>
      <c r="R534" t="str">
        <f t="shared" si="68"/>
        <v>Clear</v>
      </c>
      <c r="S534" t="str">
        <f t="shared" si="69"/>
        <v>Morning</v>
      </c>
      <c r="T534" t="str">
        <f t="shared" si="70"/>
        <v>Cold</v>
      </c>
    </row>
    <row r="535" spans="1:20">
      <c r="A535" s="1">
        <v>534</v>
      </c>
      <c r="B535" s="2">
        <v>40567</v>
      </c>
      <c r="C535" s="1">
        <v>1</v>
      </c>
      <c r="D535" s="1">
        <v>0</v>
      </c>
      <c r="E535" s="1">
        <v>1</v>
      </c>
      <c r="F535" s="1">
        <v>9</v>
      </c>
      <c r="G535" s="1" t="b">
        <v>0</v>
      </c>
      <c r="H535" s="1">
        <v>1</v>
      </c>
      <c r="I535" s="1">
        <v>1</v>
      </c>
      <c r="J535" s="1">
        <v>0.06</v>
      </c>
      <c r="M535" t="str">
        <f t="shared" si="65"/>
        <v>Unique</v>
      </c>
      <c r="N535" t="str">
        <f t="shared" si="66"/>
        <v>Spring</v>
      </c>
      <c r="O535" t="str">
        <f t="shared" si="64"/>
        <v>2011</v>
      </c>
      <c r="P535" t="str">
        <f t="shared" si="71"/>
        <v>Working Day</v>
      </c>
      <c r="Q535" t="str">
        <f t="shared" si="67"/>
        <v>Monday</v>
      </c>
      <c r="R535" t="str">
        <f t="shared" si="68"/>
        <v>Clear</v>
      </c>
      <c r="S535" t="str">
        <f t="shared" si="69"/>
        <v>Morning</v>
      </c>
      <c r="T535" t="str">
        <f t="shared" si="70"/>
        <v>Cold</v>
      </c>
    </row>
    <row r="536" spans="1:20">
      <c r="A536" s="1">
        <v>535</v>
      </c>
      <c r="B536" s="2">
        <v>40567</v>
      </c>
      <c r="C536" s="1">
        <v>1</v>
      </c>
      <c r="D536" s="1">
        <v>0</v>
      </c>
      <c r="E536" s="1">
        <v>1</v>
      </c>
      <c r="F536" s="1">
        <v>10</v>
      </c>
      <c r="G536" s="1" t="b">
        <v>0</v>
      </c>
      <c r="H536" s="1">
        <v>1</v>
      </c>
      <c r="I536" s="1">
        <v>1</v>
      </c>
      <c r="J536" s="1">
        <v>0.1</v>
      </c>
      <c r="M536" t="str">
        <f t="shared" si="65"/>
        <v>Unique</v>
      </c>
      <c r="N536" t="str">
        <f t="shared" si="66"/>
        <v>Spring</v>
      </c>
      <c r="O536" t="str">
        <f t="shared" si="64"/>
        <v>2011</v>
      </c>
      <c r="P536" t="str">
        <f t="shared" si="71"/>
        <v>Working Day</v>
      </c>
      <c r="Q536" t="str">
        <f t="shared" si="67"/>
        <v>Monday</v>
      </c>
      <c r="R536" t="str">
        <f t="shared" si="68"/>
        <v>Clear</v>
      </c>
      <c r="S536" t="str">
        <f t="shared" si="69"/>
        <v>Morning</v>
      </c>
      <c r="T536" t="str">
        <f t="shared" si="70"/>
        <v>Cold</v>
      </c>
    </row>
    <row r="537" spans="1:20">
      <c r="A537" s="1">
        <v>536</v>
      </c>
      <c r="B537" s="2">
        <v>40567</v>
      </c>
      <c r="C537" s="1">
        <v>1</v>
      </c>
      <c r="D537" s="1">
        <v>0</v>
      </c>
      <c r="E537" s="1">
        <v>1</v>
      </c>
      <c r="F537" s="1">
        <v>11</v>
      </c>
      <c r="G537" s="1" t="b">
        <v>0</v>
      </c>
      <c r="H537" s="1">
        <v>1</v>
      </c>
      <c r="I537" s="1">
        <v>1</v>
      </c>
      <c r="J537" s="1">
        <v>0.1</v>
      </c>
      <c r="M537" t="str">
        <f t="shared" si="65"/>
        <v>Unique</v>
      </c>
      <c r="N537" t="str">
        <f t="shared" si="66"/>
        <v>Spring</v>
      </c>
      <c r="O537" t="str">
        <f t="shared" si="64"/>
        <v>2011</v>
      </c>
      <c r="P537" t="str">
        <f t="shared" si="71"/>
        <v>Working Day</v>
      </c>
      <c r="Q537" t="str">
        <f t="shared" si="67"/>
        <v>Monday</v>
      </c>
      <c r="R537" t="str">
        <f t="shared" si="68"/>
        <v>Clear</v>
      </c>
      <c r="S537" t="str">
        <f t="shared" si="69"/>
        <v>Morning</v>
      </c>
      <c r="T537" t="str">
        <f t="shared" si="70"/>
        <v>Cold</v>
      </c>
    </row>
    <row r="538" spans="1:20">
      <c r="A538" s="1">
        <v>537</v>
      </c>
      <c r="B538" s="2">
        <v>40567</v>
      </c>
      <c r="C538" s="1">
        <v>1</v>
      </c>
      <c r="D538" s="1">
        <v>0</v>
      </c>
      <c r="E538" s="1">
        <v>1</v>
      </c>
      <c r="F538" s="1">
        <v>12</v>
      </c>
      <c r="G538" s="1" t="b">
        <v>0</v>
      </c>
      <c r="H538" s="1">
        <v>1</v>
      </c>
      <c r="I538" s="1">
        <v>2</v>
      </c>
      <c r="J538" s="1">
        <v>0.12</v>
      </c>
      <c r="M538" t="str">
        <f t="shared" si="65"/>
        <v>Unique</v>
      </c>
      <c r="N538" t="str">
        <f t="shared" si="66"/>
        <v>Spring</v>
      </c>
      <c r="O538" t="str">
        <f t="shared" si="64"/>
        <v>2011</v>
      </c>
      <c r="P538" t="str">
        <f t="shared" si="71"/>
        <v>Working Day</v>
      </c>
      <c r="Q538" t="str">
        <f t="shared" si="67"/>
        <v>Monday</v>
      </c>
      <c r="R538" t="str">
        <f t="shared" si="68"/>
        <v>Cloudy</v>
      </c>
      <c r="S538" t="str">
        <f t="shared" si="69"/>
        <v>Afternoon</v>
      </c>
      <c r="T538" t="str">
        <f t="shared" si="70"/>
        <v>Cold</v>
      </c>
    </row>
    <row r="539" spans="1:20">
      <c r="A539" s="1">
        <v>538</v>
      </c>
      <c r="B539" s="2">
        <v>40567</v>
      </c>
      <c r="C539" s="1">
        <v>1</v>
      </c>
      <c r="D539" s="1">
        <v>0</v>
      </c>
      <c r="E539" s="1">
        <v>1</v>
      </c>
      <c r="F539" s="1">
        <v>13</v>
      </c>
      <c r="G539" s="1" t="b">
        <v>0</v>
      </c>
      <c r="H539" s="1">
        <v>1</v>
      </c>
      <c r="I539" s="1">
        <v>2</v>
      </c>
      <c r="J539" s="1">
        <v>0.14000000000000001</v>
      </c>
      <c r="M539" t="str">
        <f t="shared" si="65"/>
        <v>Unique</v>
      </c>
      <c r="N539" t="str">
        <f t="shared" si="66"/>
        <v>Spring</v>
      </c>
      <c r="O539" t="str">
        <f t="shared" si="64"/>
        <v>2011</v>
      </c>
      <c r="P539" t="str">
        <f t="shared" si="71"/>
        <v>Working Day</v>
      </c>
      <c r="Q539" t="str">
        <f t="shared" si="67"/>
        <v>Monday</v>
      </c>
      <c r="R539" t="str">
        <f t="shared" si="68"/>
        <v>Cloudy</v>
      </c>
      <c r="S539" t="str">
        <f t="shared" si="69"/>
        <v>Afternoon</v>
      </c>
      <c r="T539" t="str">
        <f t="shared" si="70"/>
        <v>Cold</v>
      </c>
    </row>
    <row r="540" spans="1:20">
      <c r="A540" s="1">
        <v>539</v>
      </c>
      <c r="B540" s="2">
        <v>40567</v>
      </c>
      <c r="C540" s="1">
        <v>1</v>
      </c>
      <c r="D540" s="1">
        <v>0</v>
      </c>
      <c r="E540" s="1">
        <v>1</v>
      </c>
      <c r="F540" s="1">
        <v>14</v>
      </c>
      <c r="G540" s="1" t="b">
        <v>0</v>
      </c>
      <c r="H540" s="1">
        <v>1</v>
      </c>
      <c r="I540" s="1">
        <v>2</v>
      </c>
      <c r="J540" s="1">
        <v>0.14000000000000001</v>
      </c>
      <c r="M540" t="str">
        <f t="shared" si="65"/>
        <v>Unique</v>
      </c>
      <c r="N540" t="str">
        <f t="shared" si="66"/>
        <v>Spring</v>
      </c>
      <c r="O540" t="str">
        <f t="shared" si="64"/>
        <v>2011</v>
      </c>
      <c r="P540" t="str">
        <f t="shared" si="71"/>
        <v>Working Day</v>
      </c>
      <c r="Q540" t="str">
        <f t="shared" si="67"/>
        <v>Monday</v>
      </c>
      <c r="R540" t="str">
        <f t="shared" si="68"/>
        <v>Cloudy</v>
      </c>
      <c r="S540" t="str">
        <f t="shared" si="69"/>
        <v>Afternoon</v>
      </c>
      <c r="T540" t="str">
        <f t="shared" si="70"/>
        <v>Cold</v>
      </c>
    </row>
    <row r="541" spans="1:20">
      <c r="A541" s="1">
        <v>540</v>
      </c>
      <c r="B541" s="2">
        <v>40567</v>
      </c>
      <c r="C541" s="1">
        <v>1</v>
      </c>
      <c r="D541" s="1">
        <v>0</v>
      </c>
      <c r="E541" s="1">
        <v>1</v>
      </c>
      <c r="F541" s="1">
        <v>15</v>
      </c>
      <c r="G541" s="1" t="b">
        <v>0</v>
      </c>
      <c r="H541" s="1">
        <v>1</v>
      </c>
      <c r="I541" s="1">
        <v>1</v>
      </c>
      <c r="J541" s="1">
        <v>0.16</v>
      </c>
      <c r="M541" t="str">
        <f t="shared" si="65"/>
        <v>Unique</v>
      </c>
      <c r="N541" t="str">
        <f t="shared" si="66"/>
        <v>Spring</v>
      </c>
      <c r="O541" t="str">
        <f t="shared" si="64"/>
        <v>2011</v>
      </c>
      <c r="P541" t="str">
        <f t="shared" si="71"/>
        <v>Working Day</v>
      </c>
      <c r="Q541" t="str">
        <f t="shared" si="67"/>
        <v>Monday</v>
      </c>
      <c r="R541" t="str">
        <f t="shared" si="68"/>
        <v>Clear</v>
      </c>
      <c r="S541" t="str">
        <f t="shared" si="69"/>
        <v>Afternoon</v>
      </c>
      <c r="T541" t="str">
        <f t="shared" si="70"/>
        <v>Cold</v>
      </c>
    </row>
    <row r="542" spans="1:20">
      <c r="A542" s="1">
        <v>541</v>
      </c>
      <c r="B542" s="2">
        <v>40567</v>
      </c>
      <c r="C542" s="1">
        <v>1</v>
      </c>
      <c r="D542" s="1">
        <v>0</v>
      </c>
      <c r="E542" s="1">
        <v>1</v>
      </c>
      <c r="F542" s="1">
        <v>16</v>
      </c>
      <c r="G542" s="1" t="b">
        <v>0</v>
      </c>
      <c r="H542" s="1">
        <v>1</v>
      </c>
      <c r="I542" s="1">
        <v>1</v>
      </c>
      <c r="J542" s="1">
        <v>0.16</v>
      </c>
      <c r="M542" t="str">
        <f t="shared" si="65"/>
        <v>Unique</v>
      </c>
      <c r="N542" t="str">
        <f t="shared" si="66"/>
        <v>Spring</v>
      </c>
      <c r="O542" t="str">
        <f t="shared" si="64"/>
        <v>2011</v>
      </c>
      <c r="P542" t="str">
        <f t="shared" si="71"/>
        <v>Working Day</v>
      </c>
      <c r="Q542" t="str">
        <f t="shared" si="67"/>
        <v>Monday</v>
      </c>
      <c r="R542" t="str">
        <f t="shared" si="68"/>
        <v>Clear</v>
      </c>
      <c r="S542" t="str">
        <f t="shared" si="69"/>
        <v>Afternoon</v>
      </c>
      <c r="T542" t="str">
        <f t="shared" si="70"/>
        <v>Cold</v>
      </c>
    </row>
    <row r="543" spans="1:20">
      <c r="A543" s="1">
        <v>542</v>
      </c>
      <c r="B543" s="2">
        <v>40567</v>
      </c>
      <c r="C543" s="1">
        <v>1</v>
      </c>
      <c r="D543" s="1">
        <v>0</v>
      </c>
      <c r="E543" s="1">
        <v>1</v>
      </c>
      <c r="F543" s="1">
        <v>17</v>
      </c>
      <c r="G543" s="1" t="b">
        <v>0</v>
      </c>
      <c r="H543" s="1">
        <v>1</v>
      </c>
      <c r="I543" s="1">
        <v>1</v>
      </c>
      <c r="J543" s="1">
        <v>0.14000000000000001</v>
      </c>
      <c r="M543" t="str">
        <f t="shared" si="65"/>
        <v>Unique</v>
      </c>
      <c r="N543" t="str">
        <f t="shared" si="66"/>
        <v>Spring</v>
      </c>
      <c r="O543" t="str">
        <f t="shared" si="64"/>
        <v>2011</v>
      </c>
      <c r="P543" t="str">
        <f t="shared" si="71"/>
        <v>Working Day</v>
      </c>
      <c r="Q543" t="str">
        <f t="shared" si="67"/>
        <v>Monday</v>
      </c>
      <c r="R543" t="str">
        <f t="shared" si="68"/>
        <v>Clear</v>
      </c>
      <c r="S543" t="str">
        <f t="shared" si="69"/>
        <v>Afternoon</v>
      </c>
      <c r="T543" t="str">
        <f t="shared" si="70"/>
        <v>Cold</v>
      </c>
    </row>
    <row r="544" spans="1:20">
      <c r="A544" s="1">
        <v>543</v>
      </c>
      <c r="B544" s="2">
        <v>40567</v>
      </c>
      <c r="C544" s="1">
        <v>1</v>
      </c>
      <c r="D544" s="1">
        <v>0</v>
      </c>
      <c r="E544" s="1">
        <v>1</v>
      </c>
      <c r="F544" s="1">
        <v>18</v>
      </c>
      <c r="G544" s="1" t="b">
        <v>0</v>
      </c>
      <c r="H544" s="1">
        <v>1</v>
      </c>
      <c r="I544" s="1">
        <v>1</v>
      </c>
      <c r="J544" s="1">
        <v>0.14000000000000001</v>
      </c>
      <c r="M544" t="str">
        <f t="shared" si="65"/>
        <v>Unique</v>
      </c>
      <c r="N544" t="str">
        <f t="shared" si="66"/>
        <v>Spring</v>
      </c>
      <c r="O544" t="str">
        <f t="shared" si="64"/>
        <v>2011</v>
      </c>
      <c r="P544" t="str">
        <f t="shared" si="71"/>
        <v>Working Day</v>
      </c>
      <c r="Q544" t="str">
        <f t="shared" si="67"/>
        <v>Monday</v>
      </c>
      <c r="R544" t="str">
        <f t="shared" si="68"/>
        <v>Clear</v>
      </c>
      <c r="S544" t="str">
        <f t="shared" si="69"/>
        <v>Night</v>
      </c>
      <c r="T544" t="str">
        <f t="shared" si="70"/>
        <v>Cold</v>
      </c>
    </row>
    <row r="545" spans="1:20">
      <c r="A545" s="1">
        <v>544</v>
      </c>
      <c r="B545" s="2">
        <v>40567</v>
      </c>
      <c r="C545" s="1">
        <v>1</v>
      </c>
      <c r="D545" s="1">
        <v>0</v>
      </c>
      <c r="E545" s="1">
        <v>1</v>
      </c>
      <c r="F545" s="1">
        <v>19</v>
      </c>
      <c r="G545" s="1" t="b">
        <v>0</v>
      </c>
      <c r="H545" s="1">
        <v>1</v>
      </c>
      <c r="I545" s="1">
        <v>1</v>
      </c>
      <c r="J545" s="1">
        <v>0.14000000000000001</v>
      </c>
      <c r="M545" t="str">
        <f t="shared" si="65"/>
        <v>Unique</v>
      </c>
      <c r="N545" t="str">
        <f t="shared" si="66"/>
        <v>Spring</v>
      </c>
      <c r="O545" t="str">
        <f t="shared" si="64"/>
        <v>2011</v>
      </c>
      <c r="P545" t="str">
        <f t="shared" si="71"/>
        <v>Working Day</v>
      </c>
      <c r="Q545" t="str">
        <f t="shared" si="67"/>
        <v>Monday</v>
      </c>
      <c r="R545" t="str">
        <f t="shared" si="68"/>
        <v>Clear</v>
      </c>
      <c r="S545" t="str">
        <f t="shared" si="69"/>
        <v>Night</v>
      </c>
      <c r="T545" t="str">
        <f t="shared" si="70"/>
        <v>Cold</v>
      </c>
    </row>
    <row r="546" spans="1:20">
      <c r="A546" s="1">
        <v>545</v>
      </c>
      <c r="B546" s="2">
        <v>40567</v>
      </c>
      <c r="C546" s="1">
        <v>1</v>
      </c>
      <c r="D546" s="1">
        <v>0</v>
      </c>
      <c r="E546" s="1">
        <v>1</v>
      </c>
      <c r="F546" s="1">
        <v>20</v>
      </c>
      <c r="G546" s="1" t="b">
        <v>0</v>
      </c>
      <c r="H546" s="1">
        <v>1</v>
      </c>
      <c r="I546" s="1">
        <v>1</v>
      </c>
      <c r="J546" s="1">
        <v>0.14000000000000001</v>
      </c>
      <c r="M546" t="str">
        <f t="shared" si="65"/>
        <v>Unique</v>
      </c>
      <c r="N546" t="str">
        <f t="shared" si="66"/>
        <v>Spring</v>
      </c>
      <c r="O546" t="str">
        <f t="shared" si="64"/>
        <v>2011</v>
      </c>
      <c r="P546" t="str">
        <f t="shared" si="71"/>
        <v>Working Day</v>
      </c>
      <c r="Q546" t="str">
        <f t="shared" si="67"/>
        <v>Monday</v>
      </c>
      <c r="R546" t="str">
        <f t="shared" si="68"/>
        <v>Clear</v>
      </c>
      <c r="S546" t="str">
        <f t="shared" si="69"/>
        <v>Night</v>
      </c>
      <c r="T546" t="str">
        <f t="shared" si="70"/>
        <v>Cold</v>
      </c>
    </row>
    <row r="547" spans="1:20">
      <c r="A547" s="1">
        <v>546</v>
      </c>
      <c r="B547" s="2">
        <v>40567</v>
      </c>
      <c r="C547" s="1">
        <v>1</v>
      </c>
      <c r="D547" s="1">
        <v>0</v>
      </c>
      <c r="E547" s="1">
        <v>1</v>
      </c>
      <c r="F547" s="1">
        <v>21</v>
      </c>
      <c r="G547" s="1" t="b">
        <v>0</v>
      </c>
      <c r="H547" s="1">
        <v>1</v>
      </c>
      <c r="I547" s="1">
        <v>1</v>
      </c>
      <c r="J547" s="1">
        <v>0.14000000000000001</v>
      </c>
      <c r="M547" t="str">
        <f t="shared" si="65"/>
        <v>Unique</v>
      </c>
      <c r="N547" t="str">
        <f t="shared" si="66"/>
        <v>Spring</v>
      </c>
      <c r="O547" t="str">
        <f t="shared" si="64"/>
        <v>2011</v>
      </c>
      <c r="P547" t="str">
        <f t="shared" si="71"/>
        <v>Working Day</v>
      </c>
      <c r="Q547" t="str">
        <f t="shared" si="67"/>
        <v>Monday</v>
      </c>
      <c r="R547" t="str">
        <f t="shared" si="68"/>
        <v>Clear</v>
      </c>
      <c r="S547" t="str">
        <f t="shared" si="69"/>
        <v>Night</v>
      </c>
      <c r="T547" t="str">
        <f t="shared" si="70"/>
        <v>Cold</v>
      </c>
    </row>
    <row r="548" spans="1:20">
      <c r="A548" s="1">
        <v>547</v>
      </c>
      <c r="B548" s="2">
        <v>40567</v>
      </c>
      <c r="C548" s="1">
        <v>1</v>
      </c>
      <c r="D548" s="1">
        <v>0</v>
      </c>
      <c r="E548" s="1">
        <v>1</v>
      </c>
      <c r="F548" s="1">
        <v>22</v>
      </c>
      <c r="G548" s="1" t="b">
        <v>0</v>
      </c>
      <c r="H548" s="1">
        <v>1</v>
      </c>
      <c r="I548" s="1">
        <v>2</v>
      </c>
      <c r="J548" s="1">
        <v>0.14000000000000001</v>
      </c>
      <c r="M548" t="str">
        <f t="shared" si="65"/>
        <v>Unique</v>
      </c>
      <c r="N548" t="str">
        <f t="shared" si="66"/>
        <v>Spring</v>
      </c>
      <c r="O548" t="str">
        <f t="shared" si="64"/>
        <v>2011</v>
      </c>
      <c r="P548" t="str">
        <f t="shared" si="71"/>
        <v>Working Day</v>
      </c>
      <c r="Q548" t="str">
        <f t="shared" si="67"/>
        <v>Monday</v>
      </c>
      <c r="R548" t="str">
        <f t="shared" si="68"/>
        <v>Cloudy</v>
      </c>
      <c r="S548" t="str">
        <f t="shared" si="69"/>
        <v>Night</v>
      </c>
      <c r="T548" t="str">
        <f t="shared" si="70"/>
        <v>Cold</v>
      </c>
    </row>
    <row r="549" spans="1:20">
      <c r="A549" s="1">
        <v>548</v>
      </c>
      <c r="B549" s="2">
        <v>40567</v>
      </c>
      <c r="C549" s="1">
        <v>1</v>
      </c>
      <c r="D549" s="1">
        <v>0</v>
      </c>
      <c r="E549" s="1">
        <v>1</v>
      </c>
      <c r="F549" s="1">
        <v>23</v>
      </c>
      <c r="G549" s="1" t="b">
        <v>0</v>
      </c>
      <c r="H549" s="1">
        <v>1</v>
      </c>
      <c r="I549" s="1">
        <v>2</v>
      </c>
      <c r="J549" s="1">
        <v>0.16</v>
      </c>
      <c r="M549" t="str">
        <f t="shared" si="65"/>
        <v>Unique</v>
      </c>
      <c r="N549" t="str">
        <f t="shared" si="66"/>
        <v>Spring</v>
      </c>
      <c r="O549" t="str">
        <f t="shared" si="64"/>
        <v>2011</v>
      </c>
      <c r="P549" t="str">
        <f t="shared" si="71"/>
        <v>Working Day</v>
      </c>
      <c r="Q549" t="str">
        <f t="shared" si="67"/>
        <v>Monday</v>
      </c>
      <c r="R549" t="str">
        <f t="shared" si="68"/>
        <v>Cloudy</v>
      </c>
      <c r="S549" t="str">
        <f t="shared" si="69"/>
        <v>Night</v>
      </c>
      <c r="T549" t="str">
        <f t="shared" si="70"/>
        <v>Cold</v>
      </c>
    </row>
    <row r="550" spans="1:20">
      <c r="A550" s="1">
        <v>549</v>
      </c>
      <c r="B550" s="2">
        <v>40568</v>
      </c>
      <c r="C550" s="1">
        <v>1</v>
      </c>
      <c r="D550" s="1">
        <v>0</v>
      </c>
      <c r="E550" s="1">
        <v>1</v>
      </c>
      <c r="F550" s="1">
        <v>0</v>
      </c>
      <c r="G550" s="1" t="b">
        <v>0</v>
      </c>
      <c r="H550" s="1">
        <v>2</v>
      </c>
      <c r="I550" s="1">
        <v>2</v>
      </c>
      <c r="J550" s="1">
        <v>0.16</v>
      </c>
      <c r="M550" t="str">
        <f t="shared" si="65"/>
        <v>Unique</v>
      </c>
      <c r="N550" t="str">
        <f t="shared" si="66"/>
        <v>Spring</v>
      </c>
      <c r="O550" t="str">
        <f t="shared" si="64"/>
        <v>2011</v>
      </c>
      <c r="P550" t="str">
        <f t="shared" si="71"/>
        <v>Working Day</v>
      </c>
      <c r="Q550" t="str">
        <f t="shared" si="67"/>
        <v>Tuesday</v>
      </c>
      <c r="R550" t="str">
        <f t="shared" si="68"/>
        <v>Cloudy</v>
      </c>
      <c r="S550" t="str">
        <f t="shared" si="69"/>
        <v>Morning</v>
      </c>
      <c r="T550" t="str">
        <f t="shared" si="70"/>
        <v>Cold</v>
      </c>
    </row>
    <row r="551" spans="1:20">
      <c r="A551" s="1">
        <v>550</v>
      </c>
      <c r="B551" s="2">
        <v>40568</v>
      </c>
      <c r="C551" s="1">
        <v>1</v>
      </c>
      <c r="D551" s="1">
        <v>0</v>
      </c>
      <c r="E551" s="1">
        <v>1</v>
      </c>
      <c r="F551" s="1">
        <v>1</v>
      </c>
      <c r="G551" s="1" t="b">
        <v>0</v>
      </c>
      <c r="H551" s="1">
        <v>2</v>
      </c>
      <c r="I551" s="1">
        <v>2</v>
      </c>
      <c r="J551" s="1">
        <v>0.16</v>
      </c>
      <c r="M551" t="str">
        <f t="shared" si="65"/>
        <v>Unique</v>
      </c>
      <c r="N551" t="str">
        <f t="shared" si="66"/>
        <v>Spring</v>
      </c>
      <c r="O551" t="str">
        <f t="shared" si="64"/>
        <v>2011</v>
      </c>
      <c r="P551" t="str">
        <f t="shared" si="71"/>
        <v>Working Day</v>
      </c>
      <c r="Q551" t="str">
        <f t="shared" si="67"/>
        <v>Tuesday</v>
      </c>
      <c r="R551" t="str">
        <f t="shared" si="68"/>
        <v>Cloudy</v>
      </c>
      <c r="S551" t="str">
        <f t="shared" si="69"/>
        <v>Morning</v>
      </c>
      <c r="T551" t="str">
        <f t="shared" si="70"/>
        <v>Cold</v>
      </c>
    </row>
    <row r="552" spans="1:20">
      <c r="A552" s="1">
        <v>551</v>
      </c>
      <c r="B552" s="2">
        <v>40568</v>
      </c>
      <c r="C552" s="1">
        <v>1</v>
      </c>
      <c r="D552" s="1">
        <v>0</v>
      </c>
      <c r="E552" s="1">
        <v>1</v>
      </c>
      <c r="F552" s="1">
        <v>2</v>
      </c>
      <c r="G552" s="1" t="b">
        <v>0</v>
      </c>
      <c r="H552" s="1">
        <v>2</v>
      </c>
      <c r="I552" s="1">
        <v>1</v>
      </c>
      <c r="J552" s="1">
        <v>0.16</v>
      </c>
      <c r="M552" t="str">
        <f t="shared" si="65"/>
        <v>Unique</v>
      </c>
      <c r="N552" t="str">
        <f t="shared" si="66"/>
        <v>Spring</v>
      </c>
      <c r="O552" t="str">
        <f t="shared" si="64"/>
        <v>2011</v>
      </c>
      <c r="P552" t="str">
        <f t="shared" si="71"/>
        <v>Working Day</v>
      </c>
      <c r="Q552" t="str">
        <f t="shared" si="67"/>
        <v>Tuesday</v>
      </c>
      <c r="R552" t="str">
        <f t="shared" si="68"/>
        <v>Clear</v>
      </c>
      <c r="S552" t="str">
        <f t="shared" si="69"/>
        <v>Morning</v>
      </c>
      <c r="T552" t="str">
        <f t="shared" si="70"/>
        <v>Cold</v>
      </c>
    </row>
    <row r="553" spans="1:20">
      <c r="A553" s="1">
        <v>552</v>
      </c>
      <c r="B553" s="2">
        <v>40568</v>
      </c>
      <c r="C553" s="1">
        <v>1</v>
      </c>
      <c r="D553" s="1">
        <v>0</v>
      </c>
      <c r="E553" s="1">
        <v>1</v>
      </c>
      <c r="F553" s="1">
        <v>4</v>
      </c>
      <c r="G553" s="1" t="b">
        <v>0</v>
      </c>
      <c r="H553" s="1">
        <v>2</v>
      </c>
      <c r="I553" s="1">
        <v>1</v>
      </c>
      <c r="J553" s="1">
        <v>0.14000000000000001</v>
      </c>
      <c r="M553" t="str">
        <f t="shared" si="65"/>
        <v>Unique</v>
      </c>
      <c r="N553" t="str">
        <f t="shared" si="66"/>
        <v>Spring</v>
      </c>
      <c r="O553" t="str">
        <f t="shared" si="64"/>
        <v>2011</v>
      </c>
      <c r="P553" t="str">
        <f t="shared" si="71"/>
        <v>Working Day</v>
      </c>
      <c r="Q553" t="str">
        <f t="shared" si="67"/>
        <v>Tuesday</v>
      </c>
      <c r="R553" t="str">
        <f t="shared" si="68"/>
        <v>Clear</v>
      </c>
      <c r="S553" t="str">
        <f t="shared" si="69"/>
        <v>Morning</v>
      </c>
      <c r="T553" t="str">
        <f t="shared" si="70"/>
        <v>Cold</v>
      </c>
    </row>
    <row r="554" spans="1:20">
      <c r="A554" s="1">
        <v>553</v>
      </c>
      <c r="B554" s="2">
        <v>40568</v>
      </c>
      <c r="C554" s="1">
        <v>1</v>
      </c>
      <c r="D554" s="1">
        <v>0</v>
      </c>
      <c r="E554" s="1">
        <v>1</v>
      </c>
      <c r="F554" s="1">
        <v>5</v>
      </c>
      <c r="G554" s="1" t="b">
        <v>0</v>
      </c>
      <c r="H554" s="1">
        <v>2</v>
      </c>
      <c r="I554" s="1">
        <v>1</v>
      </c>
      <c r="J554" s="1">
        <v>0.14000000000000001</v>
      </c>
      <c r="M554" t="str">
        <f t="shared" si="65"/>
        <v>Unique</v>
      </c>
      <c r="N554" t="str">
        <f t="shared" si="66"/>
        <v>Spring</v>
      </c>
      <c r="O554" t="str">
        <f t="shared" si="64"/>
        <v>2011</v>
      </c>
      <c r="P554" t="str">
        <f t="shared" si="71"/>
        <v>Working Day</v>
      </c>
      <c r="Q554" t="str">
        <f t="shared" si="67"/>
        <v>Tuesday</v>
      </c>
      <c r="R554" t="str">
        <f t="shared" si="68"/>
        <v>Clear</v>
      </c>
      <c r="S554" t="str">
        <f t="shared" si="69"/>
        <v>Morning</v>
      </c>
      <c r="T554" t="str">
        <f t="shared" si="70"/>
        <v>Cold</v>
      </c>
    </row>
    <row r="555" spans="1:20">
      <c r="A555" s="1">
        <v>554</v>
      </c>
      <c r="B555" s="2">
        <v>40568</v>
      </c>
      <c r="C555" s="1">
        <v>1</v>
      </c>
      <c r="D555" s="1">
        <v>0</v>
      </c>
      <c r="E555" s="1">
        <v>1</v>
      </c>
      <c r="F555" s="1">
        <v>6</v>
      </c>
      <c r="G555" s="1" t="b">
        <v>0</v>
      </c>
      <c r="H555" s="1">
        <v>2</v>
      </c>
      <c r="I555" s="1">
        <v>1</v>
      </c>
      <c r="J555" s="1">
        <v>0.16</v>
      </c>
      <c r="M555" t="str">
        <f t="shared" si="65"/>
        <v>Unique</v>
      </c>
      <c r="N555" t="str">
        <f t="shared" si="66"/>
        <v>Spring</v>
      </c>
      <c r="O555" t="str">
        <f t="shared" si="64"/>
        <v>2011</v>
      </c>
      <c r="P555" t="str">
        <f t="shared" si="71"/>
        <v>Working Day</v>
      </c>
      <c r="Q555" t="str">
        <f t="shared" si="67"/>
        <v>Tuesday</v>
      </c>
      <c r="R555" t="str">
        <f t="shared" si="68"/>
        <v>Clear</v>
      </c>
      <c r="S555" t="str">
        <f t="shared" si="69"/>
        <v>Morning</v>
      </c>
      <c r="T555" t="str">
        <f t="shared" si="70"/>
        <v>Cold</v>
      </c>
    </row>
    <row r="556" spans="1:20">
      <c r="A556" s="1">
        <v>555</v>
      </c>
      <c r="B556" s="2">
        <v>40568</v>
      </c>
      <c r="C556" s="1">
        <v>1</v>
      </c>
      <c r="D556" s="1">
        <v>0</v>
      </c>
      <c r="E556" s="1">
        <v>1</v>
      </c>
      <c r="F556" s="1">
        <v>7</v>
      </c>
      <c r="G556" s="1" t="b">
        <v>0</v>
      </c>
      <c r="H556" s="1">
        <v>2</v>
      </c>
      <c r="I556" s="1">
        <v>1</v>
      </c>
      <c r="J556" s="1">
        <v>0.16</v>
      </c>
      <c r="M556" t="str">
        <f t="shared" si="65"/>
        <v>Unique</v>
      </c>
      <c r="N556" t="str">
        <f t="shared" si="66"/>
        <v>Spring</v>
      </c>
      <c r="O556" t="str">
        <f t="shared" si="64"/>
        <v>2011</v>
      </c>
      <c r="P556" t="str">
        <f t="shared" si="71"/>
        <v>Working Day</v>
      </c>
      <c r="Q556" t="str">
        <f t="shared" si="67"/>
        <v>Tuesday</v>
      </c>
      <c r="R556" t="str">
        <f t="shared" si="68"/>
        <v>Clear</v>
      </c>
      <c r="S556" t="str">
        <f t="shared" si="69"/>
        <v>Morning</v>
      </c>
      <c r="T556" t="str">
        <f t="shared" si="70"/>
        <v>Cold</v>
      </c>
    </row>
    <row r="557" spans="1:20">
      <c r="A557" s="1">
        <v>556</v>
      </c>
      <c r="B557" s="2">
        <v>40568</v>
      </c>
      <c r="C557" s="1">
        <v>1</v>
      </c>
      <c r="D557" s="1">
        <v>0</v>
      </c>
      <c r="E557" s="1">
        <v>1</v>
      </c>
      <c r="F557" s="1">
        <v>8</v>
      </c>
      <c r="G557" s="1" t="b">
        <v>0</v>
      </c>
      <c r="H557" s="1">
        <v>2</v>
      </c>
      <c r="I557" s="1">
        <v>2</v>
      </c>
      <c r="J557" s="1">
        <v>0.16</v>
      </c>
      <c r="M557" t="str">
        <f t="shared" si="65"/>
        <v>Unique</v>
      </c>
      <c r="N557" t="str">
        <f t="shared" si="66"/>
        <v>Spring</v>
      </c>
      <c r="O557" t="str">
        <f t="shared" si="64"/>
        <v>2011</v>
      </c>
      <c r="P557" t="str">
        <f t="shared" si="71"/>
        <v>Working Day</v>
      </c>
      <c r="Q557" t="str">
        <f t="shared" si="67"/>
        <v>Tuesday</v>
      </c>
      <c r="R557" t="str">
        <f t="shared" si="68"/>
        <v>Cloudy</v>
      </c>
      <c r="S557" t="str">
        <f t="shared" si="69"/>
        <v>Morning</v>
      </c>
      <c r="T557" t="str">
        <f t="shared" si="70"/>
        <v>Cold</v>
      </c>
    </row>
    <row r="558" spans="1:20">
      <c r="A558" s="1">
        <v>557</v>
      </c>
      <c r="B558" s="2">
        <v>40568</v>
      </c>
      <c r="C558" s="1">
        <v>1</v>
      </c>
      <c r="D558" s="1">
        <v>0</v>
      </c>
      <c r="E558" s="1">
        <v>1</v>
      </c>
      <c r="F558" s="1">
        <v>9</v>
      </c>
      <c r="G558" s="1" t="b">
        <v>0</v>
      </c>
      <c r="H558" s="1">
        <v>2</v>
      </c>
      <c r="I558" s="1">
        <v>2</v>
      </c>
      <c r="J558" s="1">
        <v>0.2</v>
      </c>
      <c r="M558" t="str">
        <f t="shared" si="65"/>
        <v>Unique</v>
      </c>
      <c r="N558" t="str">
        <f t="shared" si="66"/>
        <v>Spring</v>
      </c>
      <c r="O558" t="str">
        <f t="shared" si="64"/>
        <v>2011</v>
      </c>
      <c r="P558" t="str">
        <f t="shared" si="71"/>
        <v>Working Day</v>
      </c>
      <c r="Q558" t="str">
        <f t="shared" si="67"/>
        <v>Tuesday</v>
      </c>
      <c r="R558" t="str">
        <f t="shared" si="68"/>
        <v>Cloudy</v>
      </c>
      <c r="S558" t="str">
        <f t="shared" si="69"/>
        <v>Morning</v>
      </c>
      <c r="T558" t="str">
        <f t="shared" si="70"/>
        <v>Cold</v>
      </c>
    </row>
    <row r="559" spans="1:20">
      <c r="A559" s="1">
        <v>558</v>
      </c>
      <c r="B559" s="2">
        <v>40568</v>
      </c>
      <c r="C559" s="1">
        <v>1</v>
      </c>
      <c r="D559" s="1">
        <v>0</v>
      </c>
      <c r="E559" s="1">
        <v>1</v>
      </c>
      <c r="F559" s="1">
        <v>10</v>
      </c>
      <c r="G559" s="1" t="b">
        <v>0</v>
      </c>
      <c r="H559" s="1">
        <v>2</v>
      </c>
      <c r="I559" s="1">
        <v>2</v>
      </c>
      <c r="J559" s="1">
        <v>0.22</v>
      </c>
      <c r="M559" t="str">
        <f t="shared" si="65"/>
        <v>Unique</v>
      </c>
      <c r="N559" t="str">
        <f t="shared" si="66"/>
        <v>Spring</v>
      </c>
      <c r="O559" t="str">
        <f t="shared" si="64"/>
        <v>2011</v>
      </c>
      <c r="P559" t="str">
        <f t="shared" si="71"/>
        <v>Working Day</v>
      </c>
      <c r="Q559" t="str">
        <f t="shared" si="67"/>
        <v>Tuesday</v>
      </c>
      <c r="R559" t="str">
        <f t="shared" si="68"/>
        <v>Cloudy</v>
      </c>
      <c r="S559" t="str">
        <f t="shared" si="69"/>
        <v>Morning</v>
      </c>
      <c r="T559" t="str">
        <f t="shared" si="70"/>
        <v>Cold</v>
      </c>
    </row>
    <row r="560" spans="1:20">
      <c r="A560" s="1">
        <v>559</v>
      </c>
      <c r="B560" s="2">
        <v>40568</v>
      </c>
      <c r="C560" s="1">
        <v>1</v>
      </c>
      <c r="D560" s="1">
        <v>0</v>
      </c>
      <c r="E560" s="1">
        <v>1</v>
      </c>
      <c r="F560" s="1">
        <v>11</v>
      </c>
      <c r="G560" s="1" t="b">
        <v>0</v>
      </c>
      <c r="H560" s="1">
        <v>2</v>
      </c>
      <c r="I560" s="1">
        <v>2</v>
      </c>
      <c r="J560" s="1">
        <v>0.24</v>
      </c>
      <c r="M560" t="str">
        <f t="shared" si="65"/>
        <v>Unique</v>
      </c>
      <c r="N560" t="str">
        <f t="shared" si="66"/>
        <v>Spring</v>
      </c>
      <c r="O560" t="str">
        <f t="shared" si="64"/>
        <v>2011</v>
      </c>
      <c r="P560" t="str">
        <f t="shared" si="71"/>
        <v>Working Day</v>
      </c>
      <c r="Q560" t="str">
        <f t="shared" si="67"/>
        <v>Tuesday</v>
      </c>
      <c r="R560" t="str">
        <f t="shared" si="68"/>
        <v>Cloudy</v>
      </c>
      <c r="S560" t="str">
        <f t="shared" si="69"/>
        <v>Morning</v>
      </c>
      <c r="T560" t="str">
        <f t="shared" si="70"/>
        <v>Cold</v>
      </c>
    </row>
    <row r="561" spans="1:20">
      <c r="A561" s="1">
        <v>560</v>
      </c>
      <c r="B561" s="2">
        <v>40568</v>
      </c>
      <c r="C561" s="1">
        <v>1</v>
      </c>
      <c r="D561" s="1">
        <v>0</v>
      </c>
      <c r="E561" s="1">
        <v>1</v>
      </c>
      <c r="F561" s="1">
        <v>12</v>
      </c>
      <c r="G561" s="1" t="b">
        <v>0</v>
      </c>
      <c r="H561" s="1">
        <v>2</v>
      </c>
      <c r="I561" s="1">
        <v>2</v>
      </c>
      <c r="J561" s="1">
        <v>0.26</v>
      </c>
      <c r="M561" t="str">
        <f t="shared" si="65"/>
        <v>Unique</v>
      </c>
      <c r="N561" t="str">
        <f t="shared" si="66"/>
        <v>Spring</v>
      </c>
      <c r="O561" t="str">
        <f t="shared" si="64"/>
        <v>2011</v>
      </c>
      <c r="P561" t="str">
        <f t="shared" si="71"/>
        <v>Working Day</v>
      </c>
      <c r="Q561" t="str">
        <f t="shared" si="67"/>
        <v>Tuesday</v>
      </c>
      <c r="R561" t="str">
        <f t="shared" si="68"/>
        <v>Cloudy</v>
      </c>
      <c r="S561" t="str">
        <f t="shared" si="69"/>
        <v>Afternoon</v>
      </c>
      <c r="T561" t="str">
        <f t="shared" si="70"/>
        <v>Cold</v>
      </c>
    </row>
    <row r="562" spans="1:20">
      <c r="A562" s="1">
        <v>561</v>
      </c>
      <c r="B562" s="2">
        <v>40568</v>
      </c>
      <c r="C562" s="1">
        <v>1</v>
      </c>
      <c r="D562" s="1">
        <v>0</v>
      </c>
      <c r="E562" s="1">
        <v>1</v>
      </c>
      <c r="F562" s="1">
        <v>13</v>
      </c>
      <c r="G562" s="1" t="b">
        <v>0</v>
      </c>
      <c r="H562" s="1">
        <v>2</v>
      </c>
      <c r="I562" s="1">
        <v>2</v>
      </c>
      <c r="J562" s="1">
        <v>0.26</v>
      </c>
      <c r="M562" t="str">
        <f t="shared" si="65"/>
        <v>Unique</v>
      </c>
      <c r="N562" t="str">
        <f t="shared" si="66"/>
        <v>Spring</v>
      </c>
      <c r="O562" t="str">
        <f t="shared" si="64"/>
        <v>2011</v>
      </c>
      <c r="P562" t="str">
        <f t="shared" si="71"/>
        <v>Working Day</v>
      </c>
      <c r="Q562" t="str">
        <f t="shared" si="67"/>
        <v>Tuesday</v>
      </c>
      <c r="R562" t="str">
        <f t="shared" si="68"/>
        <v>Cloudy</v>
      </c>
      <c r="S562" t="str">
        <f t="shared" si="69"/>
        <v>Afternoon</v>
      </c>
      <c r="T562" t="str">
        <f t="shared" si="70"/>
        <v>Cold</v>
      </c>
    </row>
    <row r="563" spans="1:20">
      <c r="A563" s="1">
        <v>562</v>
      </c>
      <c r="B563" s="2">
        <v>40568</v>
      </c>
      <c r="C563" s="1">
        <v>1</v>
      </c>
      <c r="D563" s="1">
        <v>0</v>
      </c>
      <c r="E563" s="1">
        <v>1</v>
      </c>
      <c r="F563" s="1">
        <v>14</v>
      </c>
      <c r="G563" s="1" t="b">
        <v>0</v>
      </c>
      <c r="H563" s="1">
        <v>2</v>
      </c>
      <c r="I563" s="1">
        <v>2</v>
      </c>
      <c r="J563" s="1">
        <v>0.3</v>
      </c>
      <c r="M563" t="str">
        <f t="shared" si="65"/>
        <v>Unique</v>
      </c>
      <c r="N563" t="str">
        <f t="shared" si="66"/>
        <v>Spring</v>
      </c>
      <c r="O563" t="str">
        <f t="shared" si="64"/>
        <v>2011</v>
      </c>
      <c r="P563" t="str">
        <f t="shared" si="71"/>
        <v>Working Day</v>
      </c>
      <c r="Q563" t="str">
        <f t="shared" si="67"/>
        <v>Tuesday</v>
      </c>
      <c r="R563" t="str">
        <f t="shared" si="68"/>
        <v>Cloudy</v>
      </c>
      <c r="S563" t="str">
        <f t="shared" si="69"/>
        <v>Afternoon</v>
      </c>
      <c r="T563" t="str">
        <f t="shared" si="70"/>
        <v>Normal</v>
      </c>
    </row>
    <row r="564" spans="1:20">
      <c r="A564" s="1">
        <v>563</v>
      </c>
      <c r="B564" s="2">
        <v>40568</v>
      </c>
      <c r="C564" s="1">
        <v>1</v>
      </c>
      <c r="D564" s="1">
        <v>0</v>
      </c>
      <c r="E564" s="1">
        <v>1</v>
      </c>
      <c r="F564" s="1">
        <v>15</v>
      </c>
      <c r="G564" s="1" t="b">
        <v>0</v>
      </c>
      <c r="H564" s="1">
        <v>2</v>
      </c>
      <c r="I564" s="1">
        <v>2</v>
      </c>
      <c r="J564" s="1">
        <v>0.32</v>
      </c>
      <c r="M564" t="str">
        <f t="shared" si="65"/>
        <v>Unique</v>
      </c>
      <c r="N564" t="str">
        <f t="shared" si="66"/>
        <v>Spring</v>
      </c>
      <c r="O564" t="str">
        <f t="shared" si="64"/>
        <v>2011</v>
      </c>
      <c r="P564" t="str">
        <f t="shared" si="71"/>
        <v>Working Day</v>
      </c>
      <c r="Q564" t="str">
        <f t="shared" si="67"/>
        <v>Tuesday</v>
      </c>
      <c r="R564" t="str">
        <f t="shared" si="68"/>
        <v>Cloudy</v>
      </c>
      <c r="S564" t="str">
        <f t="shared" si="69"/>
        <v>Afternoon</v>
      </c>
      <c r="T564" t="str">
        <f t="shared" si="70"/>
        <v>Normal</v>
      </c>
    </row>
    <row r="565" spans="1:20">
      <c r="A565" s="1">
        <v>564</v>
      </c>
      <c r="B565" s="2">
        <v>40568</v>
      </c>
      <c r="C565" s="1">
        <v>1</v>
      </c>
      <c r="D565" s="1">
        <v>0</v>
      </c>
      <c r="E565" s="1">
        <v>1</v>
      </c>
      <c r="F565" s="1">
        <v>16</v>
      </c>
      <c r="G565" s="1" t="b">
        <v>0</v>
      </c>
      <c r="H565" s="1">
        <v>2</v>
      </c>
      <c r="I565" s="1">
        <v>2</v>
      </c>
      <c r="J565" s="1">
        <v>0.32</v>
      </c>
      <c r="M565" t="str">
        <f t="shared" si="65"/>
        <v>Unique</v>
      </c>
      <c r="N565" t="str">
        <f t="shared" si="66"/>
        <v>Spring</v>
      </c>
      <c r="O565" t="str">
        <f t="shared" si="64"/>
        <v>2011</v>
      </c>
      <c r="P565" t="str">
        <f t="shared" si="71"/>
        <v>Working Day</v>
      </c>
      <c r="Q565" t="str">
        <f t="shared" si="67"/>
        <v>Tuesday</v>
      </c>
      <c r="R565" t="str">
        <f t="shared" si="68"/>
        <v>Cloudy</v>
      </c>
      <c r="S565" t="str">
        <f t="shared" si="69"/>
        <v>Afternoon</v>
      </c>
      <c r="T565" t="str">
        <f t="shared" si="70"/>
        <v>Normal</v>
      </c>
    </row>
    <row r="566" spans="1:20">
      <c r="A566" s="1">
        <v>565</v>
      </c>
      <c r="B566" s="2">
        <v>40568</v>
      </c>
      <c r="C566" s="1">
        <v>1</v>
      </c>
      <c r="D566" s="1">
        <v>0</v>
      </c>
      <c r="E566" s="1">
        <v>1</v>
      </c>
      <c r="F566" s="1">
        <v>17</v>
      </c>
      <c r="G566" s="1" t="b">
        <v>0</v>
      </c>
      <c r="H566" s="1">
        <v>2</v>
      </c>
      <c r="I566" s="1">
        <v>1</v>
      </c>
      <c r="J566" s="1">
        <v>0.3</v>
      </c>
      <c r="M566" t="str">
        <f t="shared" si="65"/>
        <v>Unique</v>
      </c>
      <c r="N566" t="str">
        <f t="shared" si="66"/>
        <v>Spring</v>
      </c>
      <c r="O566" t="str">
        <f t="shared" si="64"/>
        <v>2011</v>
      </c>
      <c r="P566" t="str">
        <f t="shared" si="71"/>
        <v>Working Day</v>
      </c>
      <c r="Q566" t="str">
        <f t="shared" si="67"/>
        <v>Tuesday</v>
      </c>
      <c r="R566" t="str">
        <f t="shared" si="68"/>
        <v>Clear</v>
      </c>
      <c r="S566" t="str">
        <f t="shared" si="69"/>
        <v>Afternoon</v>
      </c>
      <c r="T566" t="str">
        <f t="shared" si="70"/>
        <v>Normal</v>
      </c>
    </row>
    <row r="567" spans="1:20">
      <c r="A567" s="1">
        <v>566</v>
      </c>
      <c r="B567" s="2">
        <v>40568</v>
      </c>
      <c r="C567" s="1">
        <v>1</v>
      </c>
      <c r="D567" s="1">
        <v>0</v>
      </c>
      <c r="E567" s="1">
        <v>1</v>
      </c>
      <c r="F567" s="1">
        <v>18</v>
      </c>
      <c r="G567" s="1" t="b">
        <v>0</v>
      </c>
      <c r="H567" s="1">
        <v>2</v>
      </c>
      <c r="I567" s="1">
        <v>2</v>
      </c>
      <c r="J567" s="1">
        <v>0.3</v>
      </c>
      <c r="M567" t="str">
        <f t="shared" si="65"/>
        <v>Unique</v>
      </c>
      <c r="N567" t="str">
        <f t="shared" si="66"/>
        <v>Spring</v>
      </c>
      <c r="O567" t="str">
        <f t="shared" si="64"/>
        <v>2011</v>
      </c>
      <c r="P567" t="str">
        <f t="shared" si="71"/>
        <v>Working Day</v>
      </c>
      <c r="Q567" t="str">
        <f t="shared" si="67"/>
        <v>Tuesday</v>
      </c>
      <c r="R567" t="str">
        <f t="shared" si="68"/>
        <v>Cloudy</v>
      </c>
      <c r="S567" t="str">
        <f t="shared" si="69"/>
        <v>Night</v>
      </c>
      <c r="T567" t="str">
        <f t="shared" si="70"/>
        <v>Normal</v>
      </c>
    </row>
    <row r="568" spans="1:20">
      <c r="A568" s="1">
        <v>567</v>
      </c>
      <c r="B568" s="2">
        <v>40568</v>
      </c>
      <c r="C568" s="1">
        <v>1</v>
      </c>
      <c r="D568" s="1">
        <v>0</v>
      </c>
      <c r="E568" s="1">
        <v>1</v>
      </c>
      <c r="F568" s="1">
        <v>19</v>
      </c>
      <c r="G568" s="1" t="b">
        <v>0</v>
      </c>
      <c r="H568" s="1">
        <v>2</v>
      </c>
      <c r="I568" s="1">
        <v>2</v>
      </c>
      <c r="J568" s="1">
        <v>0.26</v>
      </c>
      <c r="M568" t="str">
        <f t="shared" si="65"/>
        <v>Unique</v>
      </c>
      <c r="N568" t="str">
        <f t="shared" si="66"/>
        <v>Spring</v>
      </c>
      <c r="O568" t="str">
        <f t="shared" si="64"/>
        <v>2011</v>
      </c>
      <c r="P568" t="str">
        <f t="shared" si="71"/>
        <v>Working Day</v>
      </c>
      <c r="Q568" t="str">
        <f t="shared" si="67"/>
        <v>Tuesday</v>
      </c>
      <c r="R568" t="str">
        <f t="shared" si="68"/>
        <v>Cloudy</v>
      </c>
      <c r="S568" t="str">
        <f t="shared" si="69"/>
        <v>Night</v>
      </c>
      <c r="T568" t="str">
        <f t="shared" si="70"/>
        <v>Cold</v>
      </c>
    </row>
    <row r="569" spans="1:20">
      <c r="A569" s="1">
        <v>568</v>
      </c>
      <c r="B569" s="2">
        <v>40568</v>
      </c>
      <c r="C569" s="1">
        <v>1</v>
      </c>
      <c r="D569" s="1">
        <v>0</v>
      </c>
      <c r="E569" s="1">
        <v>1</v>
      </c>
      <c r="F569" s="1">
        <v>20</v>
      </c>
      <c r="G569" s="1" t="b">
        <v>0</v>
      </c>
      <c r="H569" s="1">
        <v>2</v>
      </c>
      <c r="I569" s="1">
        <v>1</v>
      </c>
      <c r="J569" s="1">
        <v>0.24</v>
      </c>
      <c r="M569" t="str">
        <f t="shared" si="65"/>
        <v>Unique</v>
      </c>
      <c r="N569" t="str">
        <f t="shared" si="66"/>
        <v>Spring</v>
      </c>
      <c r="O569" t="str">
        <f t="shared" si="64"/>
        <v>2011</v>
      </c>
      <c r="P569" t="str">
        <f t="shared" si="71"/>
        <v>Working Day</v>
      </c>
      <c r="Q569" t="str">
        <f t="shared" si="67"/>
        <v>Tuesday</v>
      </c>
      <c r="R569" t="str">
        <f t="shared" si="68"/>
        <v>Clear</v>
      </c>
      <c r="S569" t="str">
        <f t="shared" si="69"/>
        <v>Night</v>
      </c>
      <c r="T569" t="str">
        <f t="shared" si="70"/>
        <v>Cold</v>
      </c>
    </row>
    <row r="570" spans="1:20">
      <c r="A570" s="1">
        <v>569</v>
      </c>
      <c r="B570" s="2">
        <v>40568</v>
      </c>
      <c r="C570" s="1">
        <v>1</v>
      </c>
      <c r="D570" s="1">
        <v>0</v>
      </c>
      <c r="E570" s="1">
        <v>1</v>
      </c>
      <c r="F570" s="1">
        <v>21</v>
      </c>
      <c r="G570" s="1" t="b">
        <v>0</v>
      </c>
      <c r="H570" s="1">
        <v>2</v>
      </c>
      <c r="I570" s="1">
        <v>1</v>
      </c>
      <c r="J570" s="1">
        <v>0.24</v>
      </c>
      <c r="M570" t="str">
        <f t="shared" si="65"/>
        <v>Unique</v>
      </c>
      <c r="N570" t="str">
        <f t="shared" si="66"/>
        <v>Spring</v>
      </c>
      <c r="O570" t="str">
        <f t="shared" si="64"/>
        <v>2011</v>
      </c>
      <c r="P570" t="str">
        <f t="shared" si="71"/>
        <v>Working Day</v>
      </c>
      <c r="Q570" t="str">
        <f t="shared" si="67"/>
        <v>Tuesday</v>
      </c>
      <c r="R570" t="str">
        <f t="shared" si="68"/>
        <v>Clear</v>
      </c>
      <c r="S570" t="str">
        <f t="shared" si="69"/>
        <v>Night</v>
      </c>
      <c r="T570" t="str">
        <f t="shared" si="70"/>
        <v>Cold</v>
      </c>
    </row>
    <row r="571" spans="1:20">
      <c r="A571" s="1">
        <v>570</v>
      </c>
      <c r="B571" s="2">
        <v>40568</v>
      </c>
      <c r="C571" s="1">
        <v>1</v>
      </c>
      <c r="D571" s="1">
        <v>0</v>
      </c>
      <c r="E571" s="1">
        <v>1</v>
      </c>
      <c r="F571" s="1">
        <v>22</v>
      </c>
      <c r="G571" s="1" t="b">
        <v>0</v>
      </c>
      <c r="H571" s="1">
        <v>2</v>
      </c>
      <c r="I571" s="1">
        <v>1</v>
      </c>
      <c r="J571" s="1">
        <v>0.22</v>
      </c>
      <c r="M571" t="str">
        <f t="shared" si="65"/>
        <v>Unique</v>
      </c>
      <c r="N571" t="str">
        <f t="shared" si="66"/>
        <v>Spring</v>
      </c>
      <c r="O571" t="str">
        <f t="shared" si="64"/>
        <v>2011</v>
      </c>
      <c r="P571" t="str">
        <f t="shared" si="71"/>
        <v>Working Day</v>
      </c>
      <c r="Q571" t="str">
        <f t="shared" si="67"/>
        <v>Tuesday</v>
      </c>
      <c r="R571" t="str">
        <f t="shared" si="68"/>
        <v>Clear</v>
      </c>
      <c r="S571" t="str">
        <f t="shared" si="69"/>
        <v>Night</v>
      </c>
      <c r="T571" t="str">
        <f t="shared" si="70"/>
        <v>Cold</v>
      </c>
    </row>
    <row r="572" spans="1:20">
      <c r="A572" s="1">
        <v>571</v>
      </c>
      <c r="B572" s="2">
        <v>40568</v>
      </c>
      <c r="C572" s="1">
        <v>1</v>
      </c>
      <c r="D572" s="1">
        <v>0</v>
      </c>
      <c r="E572" s="1">
        <v>1</v>
      </c>
      <c r="F572" s="1">
        <v>23</v>
      </c>
      <c r="G572" s="1" t="b">
        <v>0</v>
      </c>
      <c r="H572" s="1">
        <v>2</v>
      </c>
      <c r="I572" s="1">
        <v>2</v>
      </c>
      <c r="J572" s="1">
        <v>0.22</v>
      </c>
      <c r="M572" t="str">
        <f t="shared" si="65"/>
        <v>Unique</v>
      </c>
      <c r="N572" t="str">
        <f t="shared" si="66"/>
        <v>Spring</v>
      </c>
      <c r="O572" t="str">
        <f t="shared" si="64"/>
        <v>2011</v>
      </c>
      <c r="P572" t="str">
        <f t="shared" si="71"/>
        <v>Working Day</v>
      </c>
      <c r="Q572" t="str">
        <f t="shared" si="67"/>
        <v>Tuesday</v>
      </c>
      <c r="R572" t="str">
        <f t="shared" si="68"/>
        <v>Cloudy</v>
      </c>
      <c r="S572" t="str">
        <f t="shared" si="69"/>
        <v>Night</v>
      </c>
      <c r="T572" t="str">
        <f t="shared" si="70"/>
        <v>Cold</v>
      </c>
    </row>
    <row r="573" spans="1:20">
      <c r="A573" s="1">
        <v>572</v>
      </c>
      <c r="B573" s="2">
        <v>40569</v>
      </c>
      <c r="C573" s="1">
        <v>1</v>
      </c>
      <c r="D573" s="1">
        <v>0</v>
      </c>
      <c r="E573" s="1">
        <v>1</v>
      </c>
      <c r="F573" s="1">
        <v>0</v>
      </c>
      <c r="G573" s="1" t="b">
        <v>0</v>
      </c>
      <c r="H573" s="1">
        <v>3</v>
      </c>
      <c r="I573" s="1">
        <v>2</v>
      </c>
      <c r="J573" s="1">
        <v>0.22</v>
      </c>
      <c r="M573" t="str">
        <f t="shared" si="65"/>
        <v>Unique</v>
      </c>
      <c r="N573" t="str">
        <f t="shared" si="66"/>
        <v>Spring</v>
      </c>
      <c r="O573" t="str">
        <f t="shared" si="64"/>
        <v>2011</v>
      </c>
      <c r="P573" t="str">
        <f t="shared" si="71"/>
        <v>Working Day</v>
      </c>
      <c r="Q573" t="str">
        <f t="shared" si="67"/>
        <v>Wednesday</v>
      </c>
      <c r="R573" t="str">
        <f t="shared" si="68"/>
        <v>Cloudy</v>
      </c>
      <c r="S573" t="str">
        <f t="shared" si="69"/>
        <v>Morning</v>
      </c>
      <c r="T573" t="str">
        <f t="shared" si="70"/>
        <v>Cold</v>
      </c>
    </row>
    <row r="574" spans="1:20">
      <c r="A574" s="1">
        <v>573</v>
      </c>
      <c r="B574" s="2">
        <v>40569</v>
      </c>
      <c r="C574" s="1">
        <v>1</v>
      </c>
      <c r="D574" s="1">
        <v>0</v>
      </c>
      <c r="E574" s="1">
        <v>1</v>
      </c>
      <c r="F574" s="1">
        <v>1</v>
      </c>
      <c r="G574" s="1" t="b">
        <v>0</v>
      </c>
      <c r="H574" s="1">
        <v>3</v>
      </c>
      <c r="I574" s="1">
        <v>2</v>
      </c>
      <c r="J574" s="1">
        <v>0.24</v>
      </c>
      <c r="M574" t="str">
        <f t="shared" si="65"/>
        <v>Unique</v>
      </c>
      <c r="N574" t="str">
        <f t="shared" si="66"/>
        <v>Spring</v>
      </c>
      <c r="O574" t="str">
        <f t="shared" si="64"/>
        <v>2011</v>
      </c>
      <c r="P574" t="str">
        <f t="shared" si="71"/>
        <v>Working Day</v>
      </c>
      <c r="Q574" t="str">
        <f t="shared" si="67"/>
        <v>Wednesday</v>
      </c>
      <c r="R574" t="str">
        <f t="shared" si="68"/>
        <v>Cloudy</v>
      </c>
      <c r="S574" t="str">
        <f t="shared" si="69"/>
        <v>Morning</v>
      </c>
      <c r="T574" t="str">
        <f t="shared" si="70"/>
        <v>Cold</v>
      </c>
    </row>
    <row r="575" spans="1:20">
      <c r="A575" s="1">
        <v>574</v>
      </c>
      <c r="B575" s="2">
        <v>40569</v>
      </c>
      <c r="C575" s="1">
        <v>1</v>
      </c>
      <c r="D575" s="1">
        <v>0</v>
      </c>
      <c r="E575" s="1">
        <v>1</v>
      </c>
      <c r="F575" s="1">
        <v>2</v>
      </c>
      <c r="G575" s="1" t="b">
        <v>0</v>
      </c>
      <c r="H575" s="1">
        <v>3</v>
      </c>
      <c r="I575" s="1">
        <v>3</v>
      </c>
      <c r="J575" s="1">
        <v>0.22</v>
      </c>
      <c r="M575" t="str">
        <f t="shared" si="65"/>
        <v>Unique</v>
      </c>
      <c r="N575" t="str">
        <f t="shared" si="66"/>
        <v>Spring</v>
      </c>
      <c r="O575" t="str">
        <f t="shared" si="64"/>
        <v>2011</v>
      </c>
      <c r="P575" t="str">
        <f t="shared" si="71"/>
        <v>Working Day</v>
      </c>
      <c r="Q575" t="str">
        <f t="shared" si="67"/>
        <v>Wednesday</v>
      </c>
      <c r="R575" t="str">
        <f t="shared" si="68"/>
        <v>Rainy</v>
      </c>
      <c r="S575" t="str">
        <f t="shared" si="69"/>
        <v>Morning</v>
      </c>
      <c r="T575" t="str">
        <f t="shared" si="70"/>
        <v>Cold</v>
      </c>
    </row>
    <row r="576" spans="1:20">
      <c r="A576" s="1">
        <v>575</v>
      </c>
      <c r="B576" s="2">
        <v>40569</v>
      </c>
      <c r="C576" s="1">
        <v>1</v>
      </c>
      <c r="D576" s="1">
        <v>0</v>
      </c>
      <c r="E576" s="1">
        <v>1</v>
      </c>
      <c r="F576" s="1">
        <v>5</v>
      </c>
      <c r="G576" s="1" t="b">
        <v>0</v>
      </c>
      <c r="H576" s="1">
        <v>3</v>
      </c>
      <c r="I576" s="1">
        <v>3</v>
      </c>
      <c r="J576" s="1">
        <v>0.2</v>
      </c>
      <c r="M576" t="str">
        <f t="shared" si="65"/>
        <v>Unique</v>
      </c>
      <c r="N576" t="str">
        <f t="shared" si="66"/>
        <v>Spring</v>
      </c>
      <c r="O576" t="str">
        <f t="shared" si="64"/>
        <v>2011</v>
      </c>
      <c r="P576" t="str">
        <f t="shared" si="71"/>
        <v>Working Day</v>
      </c>
      <c r="Q576" t="str">
        <f t="shared" si="67"/>
        <v>Wednesday</v>
      </c>
      <c r="R576" t="str">
        <f t="shared" si="68"/>
        <v>Rainy</v>
      </c>
      <c r="S576" t="str">
        <f t="shared" si="69"/>
        <v>Morning</v>
      </c>
      <c r="T576" t="str">
        <f t="shared" si="70"/>
        <v>Cold</v>
      </c>
    </row>
    <row r="577" spans="1:20">
      <c r="A577" s="1">
        <v>576</v>
      </c>
      <c r="B577" s="2">
        <v>40569</v>
      </c>
      <c r="C577" s="1">
        <v>1</v>
      </c>
      <c r="D577" s="1">
        <v>0</v>
      </c>
      <c r="E577" s="1">
        <v>1</v>
      </c>
      <c r="F577" s="1">
        <v>6</v>
      </c>
      <c r="G577" s="1" t="b">
        <v>0</v>
      </c>
      <c r="H577" s="1">
        <v>3</v>
      </c>
      <c r="I577" s="1">
        <v>3</v>
      </c>
      <c r="J577" s="1">
        <v>0.2</v>
      </c>
      <c r="M577" t="str">
        <f t="shared" si="65"/>
        <v>Unique</v>
      </c>
      <c r="N577" t="str">
        <f t="shared" si="66"/>
        <v>Spring</v>
      </c>
      <c r="O577" t="str">
        <f t="shared" si="64"/>
        <v>2011</v>
      </c>
      <c r="P577" t="str">
        <f t="shared" si="71"/>
        <v>Working Day</v>
      </c>
      <c r="Q577" t="str">
        <f t="shared" si="67"/>
        <v>Wednesday</v>
      </c>
      <c r="R577" t="str">
        <f t="shared" si="68"/>
        <v>Rainy</v>
      </c>
      <c r="S577" t="str">
        <f t="shared" si="69"/>
        <v>Morning</v>
      </c>
      <c r="T577" t="str">
        <f t="shared" si="70"/>
        <v>Cold</v>
      </c>
    </row>
    <row r="578" spans="1:20">
      <c r="A578" s="1">
        <v>577</v>
      </c>
      <c r="B578" s="2">
        <v>40569</v>
      </c>
      <c r="C578" s="1">
        <v>1</v>
      </c>
      <c r="D578" s="1">
        <v>0</v>
      </c>
      <c r="E578" s="1">
        <v>1</v>
      </c>
      <c r="F578" s="1">
        <v>7</v>
      </c>
      <c r="G578" s="1" t="b">
        <v>0</v>
      </c>
      <c r="H578" s="1">
        <v>3</v>
      </c>
      <c r="I578" s="1">
        <v>3</v>
      </c>
      <c r="J578" s="1">
        <v>0.22</v>
      </c>
      <c r="M578" t="str">
        <f t="shared" si="65"/>
        <v>Unique</v>
      </c>
      <c r="N578" t="str">
        <f t="shared" si="66"/>
        <v>Spring</v>
      </c>
      <c r="O578" t="str">
        <f t="shared" ref="O578:O611" si="72">IF(D578=0,"2011","2012")</f>
        <v>2011</v>
      </c>
      <c r="P578" t="str">
        <f t="shared" si="71"/>
        <v>Working Day</v>
      </c>
      <c r="Q578" t="str">
        <f t="shared" si="67"/>
        <v>Wednesday</v>
      </c>
      <c r="R578" t="str">
        <f t="shared" si="68"/>
        <v>Rainy</v>
      </c>
      <c r="S578" t="str">
        <f t="shared" si="69"/>
        <v>Morning</v>
      </c>
      <c r="T578" t="str">
        <f t="shared" si="70"/>
        <v>Cold</v>
      </c>
    </row>
    <row r="579" spans="1:20">
      <c r="A579" s="1">
        <v>578</v>
      </c>
      <c r="B579" s="2">
        <v>40569</v>
      </c>
      <c r="C579" s="1">
        <v>1</v>
      </c>
      <c r="D579" s="1">
        <v>0</v>
      </c>
      <c r="E579" s="1">
        <v>1</v>
      </c>
      <c r="F579" s="1">
        <v>8</v>
      </c>
      <c r="G579" s="1" t="b">
        <v>0</v>
      </c>
      <c r="H579" s="1">
        <v>3</v>
      </c>
      <c r="I579" s="1">
        <v>3</v>
      </c>
      <c r="J579" s="1">
        <v>0.22</v>
      </c>
      <c r="M579" t="str">
        <f t="shared" ref="M579:M611" si="73">IF(COUNTIF(A:A,A579)&gt;1,"Duplicate","Unique")</f>
        <v>Unique</v>
      </c>
      <c r="N579" t="str">
        <f t="shared" ref="N579:N611" si="74">IF(C579=1,"Spring",IF(C579=2,"Summer",IF(C579=3,"Fall","Winter")))</f>
        <v>Spring</v>
      </c>
      <c r="O579" t="str">
        <f t="shared" si="72"/>
        <v>2011</v>
      </c>
      <c r="P579" t="str">
        <f t="shared" si="71"/>
        <v>Working Day</v>
      </c>
      <c r="Q579" t="str">
        <f t="shared" ref="Q579:Q611" si="75">CHOOSE(H579+1,"Sunday","Monday","Tuesday","Wednesday","Thursday","Friday","Saturday")</f>
        <v>Wednesday</v>
      </c>
      <c r="R579" t="str">
        <f t="shared" ref="R579:R611" si="76">IF(I579=1,"Clear",IF(I579=2,"Cloudy",IF(I579=3,"Rainy","Storm")))</f>
        <v>Rainy</v>
      </c>
      <c r="S579" t="str">
        <f t="shared" ref="S579:S611" si="77">IF(F579&lt;12,"Morning",IF(F579&lt;18,"Afternoon","Night"))</f>
        <v>Morning</v>
      </c>
      <c r="T579" t="str">
        <f t="shared" ref="T579:T611" si="78">IF(J579&lt;0.3,"Cold",IF(J579&lt;0.6,"Normal","Hot"))</f>
        <v>Cold</v>
      </c>
    </row>
    <row r="580" spans="1:20">
      <c r="A580" s="1">
        <v>579</v>
      </c>
      <c r="B580" s="2">
        <v>40569</v>
      </c>
      <c r="C580" s="1">
        <v>1</v>
      </c>
      <c r="D580" s="1">
        <v>0</v>
      </c>
      <c r="E580" s="1">
        <v>1</v>
      </c>
      <c r="F580" s="1">
        <v>9</v>
      </c>
      <c r="G580" s="1" t="b">
        <v>0</v>
      </c>
      <c r="H580" s="1">
        <v>3</v>
      </c>
      <c r="I580" s="1">
        <v>3</v>
      </c>
      <c r="J580" s="1">
        <v>0.22</v>
      </c>
      <c r="M580" t="str">
        <f t="shared" si="73"/>
        <v>Unique</v>
      </c>
      <c r="N580" t="str">
        <f t="shared" si="74"/>
        <v>Spring</v>
      </c>
      <c r="O580" t="str">
        <f t="shared" si="72"/>
        <v>2011</v>
      </c>
      <c r="P580" t="str">
        <f t="shared" ref="P580:P611" si="79">IF(G579=FALSE,"Working Day","Holiday")</f>
        <v>Working Day</v>
      </c>
      <c r="Q580" t="str">
        <f t="shared" si="75"/>
        <v>Wednesday</v>
      </c>
      <c r="R580" t="str">
        <f t="shared" si="76"/>
        <v>Rainy</v>
      </c>
      <c r="S580" t="str">
        <f t="shared" si="77"/>
        <v>Morning</v>
      </c>
      <c r="T580" t="str">
        <f t="shared" si="78"/>
        <v>Cold</v>
      </c>
    </row>
    <row r="581" spans="1:20">
      <c r="A581" s="1">
        <v>580</v>
      </c>
      <c r="B581" s="2">
        <v>40569</v>
      </c>
      <c r="C581" s="1">
        <v>1</v>
      </c>
      <c r="D581" s="1">
        <v>0</v>
      </c>
      <c r="E581" s="1">
        <v>1</v>
      </c>
      <c r="F581" s="1">
        <v>10</v>
      </c>
      <c r="G581" s="1" t="b">
        <v>0</v>
      </c>
      <c r="H581" s="1">
        <v>3</v>
      </c>
      <c r="I581" s="1">
        <v>3</v>
      </c>
      <c r="J581" s="1">
        <v>0.22</v>
      </c>
      <c r="M581" t="str">
        <f t="shared" si="73"/>
        <v>Unique</v>
      </c>
      <c r="N581" t="str">
        <f t="shared" si="74"/>
        <v>Spring</v>
      </c>
      <c r="O581" t="str">
        <f t="shared" si="72"/>
        <v>2011</v>
      </c>
      <c r="P581" t="str">
        <f t="shared" si="79"/>
        <v>Working Day</v>
      </c>
      <c r="Q581" t="str">
        <f t="shared" si="75"/>
        <v>Wednesday</v>
      </c>
      <c r="R581" t="str">
        <f t="shared" si="76"/>
        <v>Rainy</v>
      </c>
      <c r="S581" t="str">
        <f t="shared" si="77"/>
        <v>Morning</v>
      </c>
      <c r="T581" t="str">
        <f t="shared" si="78"/>
        <v>Cold</v>
      </c>
    </row>
    <row r="582" spans="1:20">
      <c r="A582" s="1">
        <v>581</v>
      </c>
      <c r="B582" s="2">
        <v>40569</v>
      </c>
      <c r="C582" s="1">
        <v>1</v>
      </c>
      <c r="D582" s="1">
        <v>0</v>
      </c>
      <c r="E582" s="1">
        <v>1</v>
      </c>
      <c r="F582" s="1">
        <v>11</v>
      </c>
      <c r="G582" s="1" t="b">
        <v>0</v>
      </c>
      <c r="H582" s="1">
        <v>3</v>
      </c>
      <c r="I582" s="1">
        <v>3</v>
      </c>
      <c r="J582" s="1">
        <v>0.22</v>
      </c>
      <c r="M582" t="str">
        <f t="shared" si="73"/>
        <v>Unique</v>
      </c>
      <c r="N582" t="str">
        <f t="shared" si="74"/>
        <v>Spring</v>
      </c>
      <c r="O582" t="str">
        <f t="shared" si="72"/>
        <v>2011</v>
      </c>
      <c r="P582" t="str">
        <f t="shared" si="79"/>
        <v>Working Day</v>
      </c>
      <c r="Q582" t="str">
        <f t="shared" si="75"/>
        <v>Wednesday</v>
      </c>
      <c r="R582" t="str">
        <f t="shared" si="76"/>
        <v>Rainy</v>
      </c>
      <c r="S582" t="str">
        <f t="shared" si="77"/>
        <v>Morning</v>
      </c>
      <c r="T582" t="str">
        <f t="shared" si="78"/>
        <v>Cold</v>
      </c>
    </row>
    <row r="583" spans="1:20">
      <c r="A583" s="1">
        <v>582</v>
      </c>
      <c r="B583" s="2">
        <v>40569</v>
      </c>
      <c r="C583" s="1">
        <v>1</v>
      </c>
      <c r="D583" s="1">
        <v>0</v>
      </c>
      <c r="E583" s="1">
        <v>1</v>
      </c>
      <c r="F583" s="1">
        <v>12</v>
      </c>
      <c r="G583" s="1" t="b">
        <v>0</v>
      </c>
      <c r="H583" s="1">
        <v>3</v>
      </c>
      <c r="I583" s="1">
        <v>3</v>
      </c>
      <c r="J583" s="1">
        <v>0.22</v>
      </c>
      <c r="M583" t="str">
        <f t="shared" si="73"/>
        <v>Unique</v>
      </c>
      <c r="N583" t="str">
        <f t="shared" si="74"/>
        <v>Spring</v>
      </c>
      <c r="O583" t="str">
        <f t="shared" si="72"/>
        <v>2011</v>
      </c>
      <c r="P583" t="str">
        <f t="shared" si="79"/>
        <v>Working Day</v>
      </c>
      <c r="Q583" t="str">
        <f t="shared" si="75"/>
        <v>Wednesday</v>
      </c>
      <c r="R583" t="str">
        <f t="shared" si="76"/>
        <v>Rainy</v>
      </c>
      <c r="S583" t="str">
        <f t="shared" si="77"/>
        <v>Afternoon</v>
      </c>
      <c r="T583" t="str">
        <f t="shared" si="78"/>
        <v>Cold</v>
      </c>
    </row>
    <row r="584" spans="1:20">
      <c r="A584" s="1">
        <v>583</v>
      </c>
      <c r="B584" s="2">
        <v>40569</v>
      </c>
      <c r="C584" s="1">
        <v>1</v>
      </c>
      <c r="D584" s="1">
        <v>0</v>
      </c>
      <c r="E584" s="1">
        <v>1</v>
      </c>
      <c r="F584" s="1">
        <v>13</v>
      </c>
      <c r="G584" s="1" t="b">
        <v>0</v>
      </c>
      <c r="H584" s="1">
        <v>3</v>
      </c>
      <c r="I584" s="1">
        <v>3</v>
      </c>
      <c r="J584" s="1">
        <v>0.22</v>
      </c>
      <c r="M584" t="str">
        <f t="shared" si="73"/>
        <v>Unique</v>
      </c>
      <c r="N584" t="str">
        <f t="shared" si="74"/>
        <v>Spring</v>
      </c>
      <c r="O584" t="str">
        <f t="shared" si="72"/>
        <v>2011</v>
      </c>
      <c r="P584" t="str">
        <f t="shared" si="79"/>
        <v>Working Day</v>
      </c>
      <c r="Q584" t="str">
        <f t="shared" si="75"/>
        <v>Wednesday</v>
      </c>
      <c r="R584" t="str">
        <f t="shared" si="76"/>
        <v>Rainy</v>
      </c>
      <c r="S584" t="str">
        <f t="shared" si="77"/>
        <v>Afternoon</v>
      </c>
      <c r="T584" t="str">
        <f t="shared" si="78"/>
        <v>Cold</v>
      </c>
    </row>
    <row r="585" spans="1:20">
      <c r="A585" s="1">
        <v>584</v>
      </c>
      <c r="B585" s="2">
        <v>40569</v>
      </c>
      <c r="C585" s="1">
        <v>1</v>
      </c>
      <c r="D585" s="1">
        <v>0</v>
      </c>
      <c r="E585" s="1">
        <v>1</v>
      </c>
      <c r="F585" s="1">
        <v>14</v>
      </c>
      <c r="G585" s="1" t="b">
        <v>0</v>
      </c>
      <c r="H585" s="1">
        <v>3</v>
      </c>
      <c r="I585" s="1">
        <v>3</v>
      </c>
      <c r="J585" s="1">
        <v>0.22</v>
      </c>
      <c r="M585" t="str">
        <f t="shared" si="73"/>
        <v>Unique</v>
      </c>
      <c r="N585" t="str">
        <f t="shared" si="74"/>
        <v>Spring</v>
      </c>
      <c r="O585" t="str">
        <f t="shared" si="72"/>
        <v>2011</v>
      </c>
      <c r="P585" t="str">
        <f t="shared" si="79"/>
        <v>Working Day</v>
      </c>
      <c r="Q585" t="str">
        <f t="shared" si="75"/>
        <v>Wednesday</v>
      </c>
      <c r="R585" t="str">
        <f t="shared" si="76"/>
        <v>Rainy</v>
      </c>
      <c r="S585" t="str">
        <f t="shared" si="77"/>
        <v>Afternoon</v>
      </c>
      <c r="T585" t="str">
        <f t="shared" si="78"/>
        <v>Cold</v>
      </c>
    </row>
    <row r="586" spans="1:20">
      <c r="A586" s="1">
        <v>585</v>
      </c>
      <c r="B586" s="2">
        <v>40569</v>
      </c>
      <c r="C586" s="1">
        <v>1</v>
      </c>
      <c r="D586" s="1">
        <v>0</v>
      </c>
      <c r="E586" s="1">
        <v>1</v>
      </c>
      <c r="F586" s="1">
        <v>15</v>
      </c>
      <c r="G586" s="1" t="b">
        <v>0</v>
      </c>
      <c r="H586" s="1">
        <v>3</v>
      </c>
      <c r="I586" s="1">
        <v>3</v>
      </c>
      <c r="J586" s="1">
        <v>0.22</v>
      </c>
      <c r="M586" t="str">
        <f t="shared" si="73"/>
        <v>Unique</v>
      </c>
      <c r="N586" t="str">
        <f t="shared" si="74"/>
        <v>Spring</v>
      </c>
      <c r="O586" t="str">
        <f t="shared" si="72"/>
        <v>2011</v>
      </c>
      <c r="P586" t="str">
        <f t="shared" si="79"/>
        <v>Working Day</v>
      </c>
      <c r="Q586" t="str">
        <f t="shared" si="75"/>
        <v>Wednesday</v>
      </c>
      <c r="R586" t="str">
        <f t="shared" si="76"/>
        <v>Rainy</v>
      </c>
      <c r="S586" t="str">
        <f t="shared" si="77"/>
        <v>Afternoon</v>
      </c>
      <c r="T586" t="str">
        <f t="shared" si="78"/>
        <v>Cold</v>
      </c>
    </row>
    <row r="587" spans="1:20">
      <c r="A587" s="1">
        <v>586</v>
      </c>
      <c r="B587" s="2">
        <v>40569</v>
      </c>
      <c r="C587" s="1">
        <v>1</v>
      </c>
      <c r="D587" s="1">
        <v>0</v>
      </c>
      <c r="E587" s="1">
        <v>1</v>
      </c>
      <c r="F587" s="1">
        <v>16</v>
      </c>
      <c r="G587" s="1" t="b">
        <v>0</v>
      </c>
      <c r="H587" s="1">
        <v>3</v>
      </c>
      <c r="I587" s="1">
        <v>4</v>
      </c>
      <c r="J587" s="1">
        <v>0.22</v>
      </c>
      <c r="M587" t="str">
        <f t="shared" si="73"/>
        <v>Unique</v>
      </c>
      <c r="N587" t="str">
        <f t="shared" si="74"/>
        <v>Spring</v>
      </c>
      <c r="O587" t="str">
        <f t="shared" si="72"/>
        <v>2011</v>
      </c>
      <c r="P587" t="str">
        <f t="shared" si="79"/>
        <v>Working Day</v>
      </c>
      <c r="Q587" t="str">
        <f t="shared" si="75"/>
        <v>Wednesday</v>
      </c>
      <c r="R587" t="str">
        <f t="shared" si="76"/>
        <v>Storm</v>
      </c>
      <c r="S587" t="str">
        <f t="shared" si="77"/>
        <v>Afternoon</v>
      </c>
      <c r="T587" t="str">
        <f t="shared" si="78"/>
        <v>Cold</v>
      </c>
    </row>
    <row r="588" spans="1:20">
      <c r="A588" s="1">
        <v>587</v>
      </c>
      <c r="B588" s="2">
        <v>40569</v>
      </c>
      <c r="C588" s="1">
        <v>1</v>
      </c>
      <c r="D588" s="1">
        <v>0</v>
      </c>
      <c r="E588" s="1">
        <v>1</v>
      </c>
      <c r="F588" s="1">
        <v>17</v>
      </c>
      <c r="G588" s="1" t="b">
        <v>0</v>
      </c>
      <c r="H588" s="1">
        <v>3</v>
      </c>
      <c r="I588" s="1">
        <v>3</v>
      </c>
      <c r="J588" s="1">
        <v>0.2</v>
      </c>
      <c r="M588" t="str">
        <f t="shared" si="73"/>
        <v>Unique</v>
      </c>
      <c r="N588" t="str">
        <f t="shared" si="74"/>
        <v>Spring</v>
      </c>
      <c r="O588" t="str">
        <f t="shared" si="72"/>
        <v>2011</v>
      </c>
      <c r="P588" t="str">
        <f t="shared" si="79"/>
        <v>Working Day</v>
      </c>
      <c r="Q588" t="str">
        <f t="shared" si="75"/>
        <v>Wednesday</v>
      </c>
      <c r="R588" t="str">
        <f t="shared" si="76"/>
        <v>Rainy</v>
      </c>
      <c r="S588" t="str">
        <f t="shared" si="77"/>
        <v>Afternoon</v>
      </c>
      <c r="T588" t="str">
        <f t="shared" si="78"/>
        <v>Cold</v>
      </c>
    </row>
    <row r="589" spans="1:20">
      <c r="A589" s="1">
        <v>588</v>
      </c>
      <c r="B589" s="2">
        <v>40570</v>
      </c>
      <c r="C589" s="1">
        <v>1</v>
      </c>
      <c r="D589" s="1">
        <v>0</v>
      </c>
      <c r="E589" s="1">
        <v>1</v>
      </c>
      <c r="F589" s="1">
        <v>16</v>
      </c>
      <c r="G589" s="1" t="b">
        <v>0</v>
      </c>
      <c r="H589" s="1">
        <v>4</v>
      </c>
      <c r="I589" s="1">
        <v>1</v>
      </c>
      <c r="J589" s="1">
        <v>0.22</v>
      </c>
      <c r="M589" t="str">
        <f t="shared" si="73"/>
        <v>Unique</v>
      </c>
      <c r="N589" t="str">
        <f t="shared" si="74"/>
        <v>Spring</v>
      </c>
      <c r="O589" t="str">
        <f t="shared" si="72"/>
        <v>2011</v>
      </c>
      <c r="P589" t="str">
        <f t="shared" si="79"/>
        <v>Working Day</v>
      </c>
      <c r="Q589" t="str">
        <f t="shared" si="75"/>
        <v>Thursday</v>
      </c>
      <c r="R589" t="str">
        <f t="shared" si="76"/>
        <v>Clear</v>
      </c>
      <c r="S589" t="str">
        <f t="shared" si="77"/>
        <v>Afternoon</v>
      </c>
      <c r="T589" t="str">
        <f t="shared" si="78"/>
        <v>Cold</v>
      </c>
    </row>
    <row r="590" spans="1:20">
      <c r="A590" s="1">
        <v>589</v>
      </c>
      <c r="B590" s="2">
        <v>40570</v>
      </c>
      <c r="C590" s="1">
        <v>1</v>
      </c>
      <c r="D590" s="1">
        <v>0</v>
      </c>
      <c r="E590" s="1">
        <v>1</v>
      </c>
      <c r="F590" s="1">
        <v>17</v>
      </c>
      <c r="G590" s="1" t="b">
        <v>0</v>
      </c>
      <c r="H590" s="1">
        <v>4</v>
      </c>
      <c r="I590" s="1">
        <v>1</v>
      </c>
      <c r="J590" s="1">
        <v>0.22</v>
      </c>
      <c r="M590" t="str">
        <f t="shared" si="73"/>
        <v>Unique</v>
      </c>
      <c r="N590" t="str">
        <f t="shared" si="74"/>
        <v>Spring</v>
      </c>
      <c r="O590" t="str">
        <f t="shared" si="72"/>
        <v>2011</v>
      </c>
      <c r="P590" t="str">
        <f t="shared" si="79"/>
        <v>Working Day</v>
      </c>
      <c r="Q590" t="str">
        <f t="shared" si="75"/>
        <v>Thursday</v>
      </c>
      <c r="R590" t="str">
        <f t="shared" si="76"/>
        <v>Clear</v>
      </c>
      <c r="S590" t="str">
        <f t="shared" si="77"/>
        <v>Afternoon</v>
      </c>
      <c r="T590" t="str">
        <f t="shared" si="78"/>
        <v>Cold</v>
      </c>
    </row>
    <row r="591" spans="1:20">
      <c r="A591" s="1">
        <v>590</v>
      </c>
      <c r="B591" s="2">
        <v>40570</v>
      </c>
      <c r="C591" s="1">
        <v>1</v>
      </c>
      <c r="D591" s="1">
        <v>0</v>
      </c>
      <c r="E591" s="1">
        <v>1</v>
      </c>
      <c r="F591" s="1">
        <v>18</v>
      </c>
      <c r="G591" s="1" t="b">
        <v>0</v>
      </c>
      <c r="H591" s="1">
        <v>4</v>
      </c>
      <c r="I591" s="1">
        <v>1</v>
      </c>
      <c r="J591" s="1">
        <v>0.2</v>
      </c>
      <c r="M591" t="str">
        <f t="shared" si="73"/>
        <v>Unique</v>
      </c>
      <c r="N591" t="str">
        <f t="shared" si="74"/>
        <v>Spring</v>
      </c>
      <c r="O591" t="str">
        <f t="shared" si="72"/>
        <v>2011</v>
      </c>
      <c r="P591" t="str">
        <f t="shared" si="79"/>
        <v>Working Day</v>
      </c>
      <c r="Q591" t="str">
        <f t="shared" si="75"/>
        <v>Thursday</v>
      </c>
      <c r="R591" t="str">
        <f t="shared" si="76"/>
        <v>Clear</v>
      </c>
      <c r="S591" t="str">
        <f t="shared" si="77"/>
        <v>Night</v>
      </c>
      <c r="T591" t="str">
        <f t="shared" si="78"/>
        <v>Cold</v>
      </c>
    </row>
    <row r="592" spans="1:20">
      <c r="A592" s="1">
        <v>591</v>
      </c>
      <c r="B592" s="2">
        <v>40570</v>
      </c>
      <c r="C592" s="1">
        <v>1</v>
      </c>
      <c r="D592" s="1">
        <v>0</v>
      </c>
      <c r="E592" s="1">
        <v>1</v>
      </c>
      <c r="F592" s="1">
        <v>19</v>
      </c>
      <c r="G592" s="1" t="b">
        <v>0</v>
      </c>
      <c r="H592" s="1">
        <v>4</v>
      </c>
      <c r="I592" s="1">
        <v>1</v>
      </c>
      <c r="J592" s="1">
        <v>0.2</v>
      </c>
      <c r="M592" t="str">
        <f t="shared" si="73"/>
        <v>Unique</v>
      </c>
      <c r="N592" t="str">
        <f t="shared" si="74"/>
        <v>Spring</v>
      </c>
      <c r="O592" t="str">
        <f t="shared" si="72"/>
        <v>2011</v>
      </c>
      <c r="P592" t="str">
        <f t="shared" si="79"/>
        <v>Working Day</v>
      </c>
      <c r="Q592" t="str">
        <f t="shared" si="75"/>
        <v>Thursday</v>
      </c>
      <c r="R592" t="str">
        <f t="shared" si="76"/>
        <v>Clear</v>
      </c>
      <c r="S592" t="str">
        <f t="shared" si="77"/>
        <v>Night</v>
      </c>
      <c r="T592" t="str">
        <f t="shared" si="78"/>
        <v>Cold</v>
      </c>
    </row>
    <row r="593" spans="1:20">
      <c r="A593" s="1">
        <v>592</v>
      </c>
      <c r="B593" s="2">
        <v>40570</v>
      </c>
      <c r="C593" s="1">
        <v>1</v>
      </c>
      <c r="D593" s="1">
        <v>0</v>
      </c>
      <c r="E593" s="1">
        <v>1</v>
      </c>
      <c r="F593" s="1">
        <v>20</v>
      </c>
      <c r="G593" s="1" t="b">
        <v>0</v>
      </c>
      <c r="H593" s="1">
        <v>4</v>
      </c>
      <c r="I593" s="1">
        <v>1</v>
      </c>
      <c r="J593" s="1">
        <v>0.18</v>
      </c>
      <c r="M593" t="str">
        <f t="shared" si="73"/>
        <v>Unique</v>
      </c>
      <c r="N593" t="str">
        <f t="shared" si="74"/>
        <v>Spring</v>
      </c>
      <c r="O593" t="str">
        <f t="shared" si="72"/>
        <v>2011</v>
      </c>
      <c r="P593" t="str">
        <f t="shared" si="79"/>
        <v>Working Day</v>
      </c>
      <c r="Q593" t="str">
        <f t="shared" si="75"/>
        <v>Thursday</v>
      </c>
      <c r="R593" t="str">
        <f t="shared" si="76"/>
        <v>Clear</v>
      </c>
      <c r="S593" t="str">
        <f t="shared" si="77"/>
        <v>Night</v>
      </c>
      <c r="T593" t="str">
        <f t="shared" si="78"/>
        <v>Cold</v>
      </c>
    </row>
    <row r="594" spans="1:20">
      <c r="A594" s="1">
        <v>593</v>
      </c>
      <c r="B594" s="2">
        <v>40570</v>
      </c>
      <c r="C594" s="1">
        <v>1</v>
      </c>
      <c r="D594" s="1">
        <v>0</v>
      </c>
      <c r="E594" s="1">
        <v>1</v>
      </c>
      <c r="F594" s="1">
        <v>21</v>
      </c>
      <c r="G594" s="1" t="b">
        <v>0</v>
      </c>
      <c r="H594" s="1">
        <v>4</v>
      </c>
      <c r="I594" s="1">
        <v>1</v>
      </c>
      <c r="J594" s="1">
        <v>0.18</v>
      </c>
      <c r="M594" t="str">
        <f t="shared" si="73"/>
        <v>Unique</v>
      </c>
      <c r="N594" t="str">
        <f t="shared" si="74"/>
        <v>Spring</v>
      </c>
      <c r="O594" t="str">
        <f t="shared" si="72"/>
        <v>2011</v>
      </c>
      <c r="P594" t="str">
        <f t="shared" si="79"/>
        <v>Working Day</v>
      </c>
      <c r="Q594" t="str">
        <f t="shared" si="75"/>
        <v>Thursday</v>
      </c>
      <c r="R594" t="str">
        <f t="shared" si="76"/>
        <v>Clear</v>
      </c>
      <c r="S594" t="str">
        <f t="shared" si="77"/>
        <v>Night</v>
      </c>
      <c r="T594" t="str">
        <f t="shared" si="78"/>
        <v>Cold</v>
      </c>
    </row>
    <row r="595" spans="1:20">
      <c r="A595" s="1">
        <v>594</v>
      </c>
      <c r="B595" s="2">
        <v>40570</v>
      </c>
      <c r="C595" s="1">
        <v>1</v>
      </c>
      <c r="D595" s="1">
        <v>0</v>
      </c>
      <c r="E595" s="1">
        <v>1</v>
      </c>
      <c r="F595" s="1">
        <v>22</v>
      </c>
      <c r="G595" s="1" t="b">
        <v>0</v>
      </c>
      <c r="H595" s="1">
        <v>4</v>
      </c>
      <c r="I595" s="1">
        <v>1</v>
      </c>
      <c r="J595" s="1">
        <v>0.18</v>
      </c>
      <c r="M595" t="str">
        <f t="shared" si="73"/>
        <v>Unique</v>
      </c>
      <c r="N595" t="str">
        <f t="shared" si="74"/>
        <v>Spring</v>
      </c>
      <c r="O595" t="str">
        <f t="shared" si="72"/>
        <v>2011</v>
      </c>
      <c r="P595" t="str">
        <f t="shared" si="79"/>
        <v>Working Day</v>
      </c>
      <c r="Q595" t="str">
        <f t="shared" si="75"/>
        <v>Thursday</v>
      </c>
      <c r="R595" t="str">
        <f t="shared" si="76"/>
        <v>Clear</v>
      </c>
      <c r="S595" t="str">
        <f t="shared" si="77"/>
        <v>Night</v>
      </c>
      <c r="T595" t="str">
        <f t="shared" si="78"/>
        <v>Cold</v>
      </c>
    </row>
    <row r="596" spans="1:20">
      <c r="A596" s="1">
        <v>595</v>
      </c>
      <c r="B596" s="2">
        <v>40570</v>
      </c>
      <c r="C596" s="1">
        <v>1</v>
      </c>
      <c r="D596" s="1">
        <v>0</v>
      </c>
      <c r="E596" s="1">
        <v>1</v>
      </c>
      <c r="F596" s="1">
        <v>23</v>
      </c>
      <c r="G596" s="1" t="b">
        <v>0</v>
      </c>
      <c r="H596" s="1">
        <v>4</v>
      </c>
      <c r="I596" s="1">
        <v>1</v>
      </c>
      <c r="J596" s="1">
        <v>0.18</v>
      </c>
      <c r="M596" t="str">
        <f t="shared" si="73"/>
        <v>Unique</v>
      </c>
      <c r="N596" t="str">
        <f t="shared" si="74"/>
        <v>Spring</v>
      </c>
      <c r="O596" t="str">
        <f t="shared" si="72"/>
        <v>2011</v>
      </c>
      <c r="P596" t="str">
        <f t="shared" si="79"/>
        <v>Working Day</v>
      </c>
      <c r="Q596" t="str">
        <f t="shared" si="75"/>
        <v>Thursday</v>
      </c>
      <c r="R596" t="str">
        <f t="shared" si="76"/>
        <v>Clear</v>
      </c>
      <c r="S596" t="str">
        <f t="shared" si="77"/>
        <v>Night</v>
      </c>
      <c r="T596" t="str">
        <f t="shared" si="78"/>
        <v>Cold</v>
      </c>
    </row>
    <row r="597" spans="1:20">
      <c r="A597" s="1">
        <v>596</v>
      </c>
      <c r="B597" s="2">
        <v>40571</v>
      </c>
      <c r="C597" s="1">
        <v>1</v>
      </c>
      <c r="D597" s="1">
        <v>0</v>
      </c>
      <c r="E597" s="1">
        <v>1</v>
      </c>
      <c r="F597" s="1">
        <v>0</v>
      </c>
      <c r="G597" s="1" t="b">
        <v>0</v>
      </c>
      <c r="H597" s="1">
        <v>5</v>
      </c>
      <c r="I597" s="1">
        <v>2</v>
      </c>
      <c r="J597" s="1">
        <v>0.2</v>
      </c>
      <c r="M597" t="str">
        <f t="shared" si="73"/>
        <v>Unique</v>
      </c>
      <c r="N597" t="str">
        <f t="shared" si="74"/>
        <v>Spring</v>
      </c>
      <c r="O597" t="str">
        <f t="shared" si="72"/>
        <v>2011</v>
      </c>
      <c r="P597" t="str">
        <f t="shared" si="79"/>
        <v>Working Day</v>
      </c>
      <c r="Q597" t="str">
        <f t="shared" si="75"/>
        <v>Friday</v>
      </c>
      <c r="R597" t="str">
        <f t="shared" si="76"/>
        <v>Cloudy</v>
      </c>
      <c r="S597" t="str">
        <f t="shared" si="77"/>
        <v>Morning</v>
      </c>
      <c r="T597" t="str">
        <f t="shared" si="78"/>
        <v>Cold</v>
      </c>
    </row>
    <row r="598" spans="1:20">
      <c r="A598" s="1">
        <v>597</v>
      </c>
      <c r="B598" s="2">
        <v>40571</v>
      </c>
      <c r="C598" s="1">
        <v>1</v>
      </c>
      <c r="D598" s="1">
        <v>0</v>
      </c>
      <c r="E598" s="1">
        <v>1</v>
      </c>
      <c r="F598" s="1">
        <v>1</v>
      </c>
      <c r="G598" s="1" t="b">
        <v>0</v>
      </c>
      <c r="H598" s="1">
        <v>5</v>
      </c>
      <c r="I598" s="1">
        <v>2</v>
      </c>
      <c r="J598" s="1">
        <v>0.2</v>
      </c>
      <c r="M598" t="str">
        <f t="shared" si="73"/>
        <v>Unique</v>
      </c>
      <c r="N598" t="str">
        <f t="shared" si="74"/>
        <v>Spring</v>
      </c>
      <c r="O598" t="str">
        <f t="shared" si="72"/>
        <v>2011</v>
      </c>
      <c r="P598" t="str">
        <f t="shared" si="79"/>
        <v>Working Day</v>
      </c>
      <c r="Q598" t="str">
        <f t="shared" si="75"/>
        <v>Friday</v>
      </c>
      <c r="R598" t="str">
        <f t="shared" si="76"/>
        <v>Cloudy</v>
      </c>
      <c r="S598" t="str">
        <f t="shared" si="77"/>
        <v>Morning</v>
      </c>
      <c r="T598" t="str">
        <f t="shared" si="78"/>
        <v>Cold</v>
      </c>
    </row>
    <row r="599" spans="1:20">
      <c r="A599" s="1">
        <v>598</v>
      </c>
      <c r="B599" s="2">
        <v>40571</v>
      </c>
      <c r="C599" s="1">
        <v>1</v>
      </c>
      <c r="D599" s="1">
        <v>0</v>
      </c>
      <c r="E599" s="1">
        <v>1</v>
      </c>
      <c r="F599" s="1">
        <v>2</v>
      </c>
      <c r="G599" s="1" t="b">
        <v>0</v>
      </c>
      <c r="H599" s="1">
        <v>5</v>
      </c>
      <c r="I599" s="1">
        <v>2</v>
      </c>
      <c r="J599" s="1">
        <v>0.2</v>
      </c>
      <c r="M599" t="str">
        <f t="shared" si="73"/>
        <v>Unique</v>
      </c>
      <c r="N599" t="str">
        <f t="shared" si="74"/>
        <v>Spring</v>
      </c>
      <c r="O599" t="str">
        <f t="shared" si="72"/>
        <v>2011</v>
      </c>
      <c r="P599" t="str">
        <f t="shared" si="79"/>
        <v>Working Day</v>
      </c>
      <c r="Q599" t="str">
        <f t="shared" si="75"/>
        <v>Friday</v>
      </c>
      <c r="R599" t="str">
        <f t="shared" si="76"/>
        <v>Cloudy</v>
      </c>
      <c r="S599" t="str">
        <f t="shared" si="77"/>
        <v>Morning</v>
      </c>
      <c r="T599" t="str">
        <f t="shared" si="78"/>
        <v>Cold</v>
      </c>
    </row>
    <row r="600" spans="1:20">
      <c r="A600" s="1">
        <v>599</v>
      </c>
      <c r="B600" s="2">
        <v>40571</v>
      </c>
      <c r="C600" s="1">
        <v>1</v>
      </c>
      <c r="D600" s="1">
        <v>0</v>
      </c>
      <c r="E600" s="1">
        <v>1</v>
      </c>
      <c r="F600" s="1">
        <v>3</v>
      </c>
      <c r="G600" s="1" t="b">
        <v>0</v>
      </c>
      <c r="H600" s="1">
        <v>5</v>
      </c>
      <c r="I600" s="1">
        <v>2</v>
      </c>
      <c r="J600" s="1">
        <v>0.2</v>
      </c>
      <c r="M600" t="str">
        <f t="shared" si="73"/>
        <v>Unique</v>
      </c>
      <c r="N600" t="str">
        <f t="shared" si="74"/>
        <v>Spring</v>
      </c>
      <c r="O600" t="str">
        <f t="shared" si="72"/>
        <v>2011</v>
      </c>
      <c r="P600" t="str">
        <f t="shared" si="79"/>
        <v>Working Day</v>
      </c>
      <c r="Q600" t="str">
        <f t="shared" si="75"/>
        <v>Friday</v>
      </c>
      <c r="R600" t="str">
        <f t="shared" si="76"/>
        <v>Cloudy</v>
      </c>
      <c r="S600" t="str">
        <f t="shared" si="77"/>
        <v>Morning</v>
      </c>
      <c r="T600" t="str">
        <f t="shared" si="78"/>
        <v>Cold</v>
      </c>
    </row>
    <row r="601" spans="1:20">
      <c r="A601" s="1">
        <v>600</v>
      </c>
      <c r="B601" s="2">
        <v>40571</v>
      </c>
      <c r="C601" s="1">
        <v>1</v>
      </c>
      <c r="D601" s="1">
        <v>0</v>
      </c>
      <c r="E601" s="1">
        <v>1</v>
      </c>
      <c r="F601" s="1">
        <v>5</v>
      </c>
      <c r="G601" s="1" t="b">
        <v>0</v>
      </c>
      <c r="H601" s="1">
        <v>5</v>
      </c>
      <c r="I601" s="1">
        <v>2</v>
      </c>
      <c r="J601" s="1">
        <v>0.18</v>
      </c>
      <c r="M601" t="str">
        <f t="shared" si="73"/>
        <v>Unique</v>
      </c>
      <c r="N601" t="str">
        <f t="shared" si="74"/>
        <v>Spring</v>
      </c>
      <c r="O601" t="str">
        <f t="shared" si="72"/>
        <v>2011</v>
      </c>
      <c r="P601" t="str">
        <f t="shared" si="79"/>
        <v>Working Day</v>
      </c>
      <c r="Q601" t="str">
        <f t="shared" si="75"/>
        <v>Friday</v>
      </c>
      <c r="R601" t="str">
        <f t="shared" si="76"/>
        <v>Cloudy</v>
      </c>
      <c r="S601" t="str">
        <f t="shared" si="77"/>
        <v>Morning</v>
      </c>
      <c r="T601" t="str">
        <f t="shared" si="78"/>
        <v>Cold</v>
      </c>
    </row>
    <row r="602" spans="1:20">
      <c r="A602" s="1">
        <v>601</v>
      </c>
      <c r="B602" s="2">
        <v>40571</v>
      </c>
      <c r="C602" s="1">
        <v>1</v>
      </c>
      <c r="D602" s="1">
        <v>0</v>
      </c>
      <c r="E602" s="1">
        <v>1</v>
      </c>
      <c r="F602" s="1">
        <v>6</v>
      </c>
      <c r="G602" s="1" t="b">
        <v>0</v>
      </c>
      <c r="H602" s="1">
        <v>5</v>
      </c>
      <c r="I602" s="1">
        <v>2</v>
      </c>
      <c r="J602" s="1">
        <v>0.18</v>
      </c>
      <c r="M602" t="str">
        <f t="shared" si="73"/>
        <v>Unique</v>
      </c>
      <c r="N602" t="str">
        <f t="shared" si="74"/>
        <v>Spring</v>
      </c>
      <c r="O602" t="str">
        <f t="shared" si="72"/>
        <v>2011</v>
      </c>
      <c r="P602" t="str">
        <f t="shared" si="79"/>
        <v>Working Day</v>
      </c>
      <c r="Q602" t="str">
        <f t="shared" si="75"/>
        <v>Friday</v>
      </c>
      <c r="R602" t="str">
        <f t="shared" si="76"/>
        <v>Cloudy</v>
      </c>
      <c r="S602" t="str">
        <f t="shared" si="77"/>
        <v>Morning</v>
      </c>
      <c r="T602" t="str">
        <f t="shared" si="78"/>
        <v>Cold</v>
      </c>
    </row>
    <row r="603" spans="1:20">
      <c r="A603" s="1">
        <v>602</v>
      </c>
      <c r="B603" s="2">
        <v>40571</v>
      </c>
      <c r="C603" s="1">
        <v>1</v>
      </c>
      <c r="D603" s="1">
        <v>0</v>
      </c>
      <c r="E603" s="1">
        <v>1</v>
      </c>
      <c r="F603" s="1">
        <v>7</v>
      </c>
      <c r="G603" s="1" t="b">
        <v>0</v>
      </c>
      <c r="H603" s="1">
        <v>5</v>
      </c>
      <c r="I603" s="1">
        <v>2</v>
      </c>
      <c r="J603" s="1">
        <v>0.16</v>
      </c>
      <c r="M603" t="str">
        <f t="shared" si="73"/>
        <v>Unique</v>
      </c>
      <c r="N603" t="str">
        <f t="shared" si="74"/>
        <v>Spring</v>
      </c>
      <c r="O603" t="str">
        <f t="shared" si="72"/>
        <v>2011</v>
      </c>
      <c r="P603" t="str">
        <f t="shared" si="79"/>
        <v>Working Day</v>
      </c>
      <c r="Q603" t="str">
        <f t="shared" si="75"/>
        <v>Friday</v>
      </c>
      <c r="R603" t="str">
        <f t="shared" si="76"/>
        <v>Cloudy</v>
      </c>
      <c r="S603" t="str">
        <f t="shared" si="77"/>
        <v>Morning</v>
      </c>
      <c r="T603" t="str">
        <f t="shared" si="78"/>
        <v>Cold</v>
      </c>
    </row>
    <row r="604" spans="1:20">
      <c r="A604" s="1">
        <v>603</v>
      </c>
      <c r="B604" s="2">
        <v>40571</v>
      </c>
      <c r="C604" s="1">
        <v>1</v>
      </c>
      <c r="D604" s="1">
        <v>0</v>
      </c>
      <c r="E604" s="1">
        <v>1</v>
      </c>
      <c r="F604" s="1">
        <v>8</v>
      </c>
      <c r="G604" s="1" t="b">
        <v>0</v>
      </c>
      <c r="H604" s="1">
        <v>5</v>
      </c>
      <c r="I604" s="1">
        <v>2</v>
      </c>
      <c r="J604" s="1">
        <v>0.16</v>
      </c>
      <c r="M604" t="str">
        <f t="shared" si="73"/>
        <v>Unique</v>
      </c>
      <c r="N604" t="str">
        <f t="shared" si="74"/>
        <v>Spring</v>
      </c>
      <c r="O604" t="str">
        <f t="shared" si="72"/>
        <v>2011</v>
      </c>
      <c r="P604" t="str">
        <f t="shared" si="79"/>
        <v>Working Day</v>
      </c>
      <c r="Q604" t="str">
        <f t="shared" si="75"/>
        <v>Friday</v>
      </c>
      <c r="R604" t="str">
        <f t="shared" si="76"/>
        <v>Cloudy</v>
      </c>
      <c r="S604" t="str">
        <f t="shared" si="77"/>
        <v>Morning</v>
      </c>
      <c r="T604" t="str">
        <f t="shared" si="78"/>
        <v>Cold</v>
      </c>
    </row>
    <row r="605" spans="1:20">
      <c r="A605" s="1">
        <v>604</v>
      </c>
      <c r="B605" s="2">
        <v>40571</v>
      </c>
      <c r="C605" s="1">
        <v>1</v>
      </c>
      <c r="D605" s="1">
        <v>0</v>
      </c>
      <c r="E605" s="1">
        <v>1</v>
      </c>
      <c r="F605" s="1">
        <v>9</v>
      </c>
      <c r="G605" s="1" t="b">
        <v>0</v>
      </c>
      <c r="H605" s="1">
        <v>5</v>
      </c>
      <c r="I605" s="1">
        <v>3</v>
      </c>
      <c r="J605" s="1">
        <v>0.18</v>
      </c>
      <c r="M605" t="str">
        <f t="shared" si="73"/>
        <v>Unique</v>
      </c>
      <c r="N605" t="str">
        <f t="shared" si="74"/>
        <v>Spring</v>
      </c>
      <c r="O605" t="str">
        <f t="shared" si="72"/>
        <v>2011</v>
      </c>
      <c r="P605" t="str">
        <f t="shared" si="79"/>
        <v>Working Day</v>
      </c>
      <c r="Q605" t="str">
        <f t="shared" si="75"/>
        <v>Friday</v>
      </c>
      <c r="R605" t="str">
        <f t="shared" si="76"/>
        <v>Rainy</v>
      </c>
      <c r="S605" t="str">
        <f t="shared" si="77"/>
        <v>Morning</v>
      </c>
      <c r="T605" t="str">
        <f t="shared" si="78"/>
        <v>Cold</v>
      </c>
    </row>
    <row r="606" spans="1:20">
      <c r="A606" s="1">
        <v>605</v>
      </c>
      <c r="B606" s="2">
        <v>40571</v>
      </c>
      <c r="C606" s="1">
        <v>1</v>
      </c>
      <c r="D606" s="1">
        <v>0</v>
      </c>
      <c r="E606" s="1">
        <v>1</v>
      </c>
      <c r="F606" s="1">
        <v>10</v>
      </c>
      <c r="G606" s="1" t="b">
        <v>0</v>
      </c>
      <c r="H606" s="1">
        <v>5</v>
      </c>
      <c r="I606" s="1">
        <v>3</v>
      </c>
      <c r="J606" s="1">
        <v>0.18</v>
      </c>
      <c r="M606" t="str">
        <f t="shared" si="73"/>
        <v>Unique</v>
      </c>
      <c r="N606" t="str">
        <f t="shared" si="74"/>
        <v>Spring</v>
      </c>
      <c r="O606" t="str">
        <f t="shared" si="72"/>
        <v>2011</v>
      </c>
      <c r="P606" t="str">
        <f t="shared" si="79"/>
        <v>Working Day</v>
      </c>
      <c r="Q606" t="str">
        <f t="shared" si="75"/>
        <v>Friday</v>
      </c>
      <c r="R606" t="str">
        <f t="shared" si="76"/>
        <v>Rainy</v>
      </c>
      <c r="S606" t="str">
        <f t="shared" si="77"/>
        <v>Morning</v>
      </c>
      <c r="T606" t="str">
        <f t="shared" si="78"/>
        <v>Cold</v>
      </c>
    </row>
    <row r="607" spans="1:20">
      <c r="A607" s="1">
        <v>606</v>
      </c>
      <c r="B607" s="2">
        <v>40571</v>
      </c>
      <c r="C607" s="1">
        <v>1</v>
      </c>
      <c r="D607" s="1">
        <v>0</v>
      </c>
      <c r="E607" s="1">
        <v>1</v>
      </c>
      <c r="F607" s="1">
        <v>11</v>
      </c>
      <c r="G607" s="1" t="b">
        <v>0</v>
      </c>
      <c r="H607" s="1">
        <v>5</v>
      </c>
      <c r="I607" s="1">
        <v>3</v>
      </c>
      <c r="J607" s="1">
        <v>0.18</v>
      </c>
      <c r="M607" t="str">
        <f t="shared" si="73"/>
        <v>Unique</v>
      </c>
      <c r="N607" t="str">
        <f t="shared" si="74"/>
        <v>Spring</v>
      </c>
      <c r="O607" t="str">
        <f t="shared" si="72"/>
        <v>2011</v>
      </c>
      <c r="P607" t="str">
        <f t="shared" si="79"/>
        <v>Working Day</v>
      </c>
      <c r="Q607" t="str">
        <f t="shared" si="75"/>
        <v>Friday</v>
      </c>
      <c r="R607" t="str">
        <f t="shared" si="76"/>
        <v>Rainy</v>
      </c>
      <c r="S607" t="str">
        <f t="shared" si="77"/>
        <v>Morning</v>
      </c>
      <c r="T607" t="str">
        <f t="shared" si="78"/>
        <v>Cold</v>
      </c>
    </row>
    <row r="608" spans="1:20">
      <c r="A608" s="1">
        <v>607</v>
      </c>
      <c r="B608" s="2">
        <v>40571</v>
      </c>
      <c r="C608" s="1">
        <v>1</v>
      </c>
      <c r="D608" s="1">
        <v>0</v>
      </c>
      <c r="E608" s="1">
        <v>1</v>
      </c>
      <c r="F608" s="1">
        <v>12</v>
      </c>
      <c r="G608" s="1" t="b">
        <v>0</v>
      </c>
      <c r="H608" s="1">
        <v>5</v>
      </c>
      <c r="I608" s="1">
        <v>3</v>
      </c>
      <c r="J608" s="1">
        <v>0.18</v>
      </c>
      <c r="M608" t="str">
        <f t="shared" si="73"/>
        <v>Unique</v>
      </c>
      <c r="N608" t="str">
        <f t="shared" si="74"/>
        <v>Spring</v>
      </c>
      <c r="O608" t="str">
        <f t="shared" si="72"/>
        <v>2011</v>
      </c>
      <c r="P608" t="str">
        <f t="shared" si="79"/>
        <v>Working Day</v>
      </c>
      <c r="Q608" t="str">
        <f t="shared" si="75"/>
        <v>Friday</v>
      </c>
      <c r="R608" t="str">
        <f t="shared" si="76"/>
        <v>Rainy</v>
      </c>
      <c r="S608" t="str">
        <f t="shared" si="77"/>
        <v>Afternoon</v>
      </c>
      <c r="T608" t="str">
        <f t="shared" si="78"/>
        <v>Cold</v>
      </c>
    </row>
    <row r="609" spans="1:20">
      <c r="A609" s="1">
        <v>608</v>
      </c>
      <c r="B609" s="2">
        <v>40571</v>
      </c>
      <c r="C609" s="1">
        <v>1</v>
      </c>
      <c r="D609" s="1">
        <v>0</v>
      </c>
      <c r="E609" s="1">
        <v>1</v>
      </c>
      <c r="F609" s="1">
        <v>13</v>
      </c>
      <c r="G609" s="1" t="b">
        <v>0</v>
      </c>
      <c r="H609" s="1">
        <v>5</v>
      </c>
      <c r="I609" s="1">
        <v>3</v>
      </c>
      <c r="J609" s="1">
        <v>0.18</v>
      </c>
      <c r="M609" t="str">
        <f t="shared" si="73"/>
        <v>Unique</v>
      </c>
      <c r="N609" t="str">
        <f t="shared" si="74"/>
        <v>Spring</v>
      </c>
      <c r="O609" t="str">
        <f t="shared" si="72"/>
        <v>2011</v>
      </c>
      <c r="P609" t="str">
        <f t="shared" si="79"/>
        <v>Working Day</v>
      </c>
      <c r="Q609" t="str">
        <f t="shared" si="75"/>
        <v>Friday</v>
      </c>
      <c r="R609" t="str">
        <f t="shared" si="76"/>
        <v>Rainy</v>
      </c>
      <c r="S609" t="str">
        <f t="shared" si="77"/>
        <v>Afternoon</v>
      </c>
      <c r="T609" t="str">
        <f t="shared" si="78"/>
        <v>Cold</v>
      </c>
    </row>
    <row r="610" spans="1:20">
      <c r="A610" s="1">
        <v>609</v>
      </c>
      <c r="B610" s="2">
        <v>40571</v>
      </c>
      <c r="C610" s="1">
        <v>1</v>
      </c>
      <c r="D610" s="1">
        <v>0</v>
      </c>
      <c r="E610" s="1">
        <v>1</v>
      </c>
      <c r="F610" s="1">
        <v>14</v>
      </c>
      <c r="G610" s="1" t="b">
        <v>0</v>
      </c>
      <c r="H610" s="1">
        <v>5</v>
      </c>
      <c r="I610" s="1">
        <v>3</v>
      </c>
      <c r="J610" s="1">
        <v>0.22</v>
      </c>
      <c r="M610" t="str">
        <f t="shared" si="73"/>
        <v>Unique</v>
      </c>
      <c r="N610" t="str">
        <f t="shared" si="74"/>
        <v>Spring</v>
      </c>
      <c r="O610" t="str">
        <f t="shared" si="72"/>
        <v>2011</v>
      </c>
      <c r="P610" t="str">
        <f t="shared" si="79"/>
        <v>Working Day</v>
      </c>
      <c r="Q610" t="str">
        <f t="shared" si="75"/>
        <v>Friday</v>
      </c>
      <c r="R610" t="str">
        <f t="shared" si="76"/>
        <v>Rainy</v>
      </c>
      <c r="S610" t="str">
        <f t="shared" si="77"/>
        <v>Afternoon</v>
      </c>
      <c r="T610" t="str">
        <f t="shared" si="78"/>
        <v>Cold</v>
      </c>
    </row>
    <row r="611" spans="1:20">
      <c r="A611" s="1">
        <v>610</v>
      </c>
      <c r="B611" s="2">
        <v>40571</v>
      </c>
      <c r="C611" s="1">
        <v>1</v>
      </c>
      <c r="D611" s="1">
        <v>0</v>
      </c>
      <c r="E611" s="1">
        <v>1</v>
      </c>
      <c r="F611" s="1">
        <v>15</v>
      </c>
      <c r="G611" s="1" t="b">
        <v>0</v>
      </c>
      <c r="H611" s="1">
        <v>5</v>
      </c>
      <c r="I611" s="1">
        <v>2</v>
      </c>
      <c r="J611" s="1">
        <v>0.2</v>
      </c>
      <c r="M611" t="str">
        <f t="shared" si="73"/>
        <v>Unique</v>
      </c>
      <c r="N611" t="str">
        <f t="shared" si="74"/>
        <v>Spring</v>
      </c>
      <c r="O611" t="str">
        <f t="shared" si="72"/>
        <v>2011</v>
      </c>
      <c r="P611" t="str">
        <f t="shared" si="79"/>
        <v>Working Day</v>
      </c>
      <c r="Q611" t="str">
        <f t="shared" si="75"/>
        <v>Friday</v>
      </c>
      <c r="R611" t="str">
        <f t="shared" si="76"/>
        <v>Cloudy</v>
      </c>
      <c r="S611" t="str">
        <f t="shared" si="77"/>
        <v>Afternoon</v>
      </c>
      <c r="T611" t="str">
        <f t="shared" si="78"/>
        <v>Cold</v>
      </c>
    </row>
    <row r="612" spans="1:20">
      <c r="B612" s="2"/>
      <c r="P612" s="3"/>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D36B6-EF76-409C-9BA0-E0034719E964}">
  <dimension ref="A1:P611"/>
  <sheetViews>
    <sheetView topLeftCell="A2" workbookViewId="0">
      <selection activeCell="N8" sqref="N8"/>
    </sheetView>
  </sheetViews>
  <sheetFormatPr defaultRowHeight="13.2"/>
  <cols>
    <col min="1" max="1" width="14.6640625" customWidth="1"/>
    <col min="2" max="2" width="9.44140625" customWidth="1"/>
    <col min="3" max="3" width="9" customWidth="1"/>
    <col min="5" max="5" width="13.5546875" customWidth="1"/>
    <col min="6" max="6" width="9.109375" customWidth="1"/>
    <col min="7" max="7" width="12.88671875" customWidth="1"/>
    <col min="10" max="10" width="11.109375" customWidth="1"/>
    <col min="11" max="11" width="12.21875" customWidth="1"/>
    <col min="12" max="12" width="17.6640625" customWidth="1"/>
    <col min="13" max="13" width="13.88671875" customWidth="1"/>
    <col min="14" max="14" width="22.5546875" customWidth="1"/>
    <col min="15" max="15" width="25.88671875" customWidth="1"/>
  </cols>
  <sheetData>
    <row r="1" spans="1:16" ht="14.4">
      <c r="A1" s="13" t="s">
        <v>59</v>
      </c>
      <c r="B1" s="13" t="s">
        <v>0</v>
      </c>
      <c r="C1" s="13" t="s">
        <v>60</v>
      </c>
      <c r="D1" s="13" t="s">
        <v>61</v>
      </c>
      <c r="E1" s="13" t="s">
        <v>62</v>
      </c>
      <c r="F1" s="13" t="s">
        <v>63</v>
      </c>
      <c r="G1" s="13" t="s">
        <v>64</v>
      </c>
      <c r="H1" s="13" t="s">
        <v>65</v>
      </c>
      <c r="J1" t="s">
        <v>17</v>
      </c>
      <c r="K1" t="s">
        <v>16</v>
      </c>
      <c r="L1" t="s">
        <v>66</v>
      </c>
      <c r="M1" t="s">
        <v>67</v>
      </c>
      <c r="N1" s="14" t="s">
        <v>68</v>
      </c>
      <c r="O1" s="15" t="s">
        <v>69</v>
      </c>
      <c r="P1" s="15" t="s">
        <v>70</v>
      </c>
    </row>
    <row r="2" spans="1:16" ht="13.8">
      <c r="A2" s="13">
        <v>0</v>
      </c>
      <c r="B2" s="13">
        <v>1</v>
      </c>
      <c r="C2" s="13">
        <v>0.28789999999999999</v>
      </c>
      <c r="D2" s="13">
        <v>0.81</v>
      </c>
      <c r="E2" s="13">
        <v>0</v>
      </c>
      <c r="F2" s="13">
        <v>3</v>
      </c>
      <c r="G2" s="13">
        <v>13</v>
      </c>
      <c r="H2" s="13">
        <v>16</v>
      </c>
      <c r="J2" t="str">
        <f>IF(COUNTIF(A:A,A2)&gt;1,"Duplicate","Unique")</f>
        <v>Unique</v>
      </c>
      <c r="K2" t="str">
        <f>IF(B2&lt;0.3,"Cold",IF(B2&lt;0.6,"Normal","Hot"))</f>
        <v>Hot</v>
      </c>
      <c r="L2" t="str">
        <f>IF(C2&lt;0.4,"Low",IF(C2&lt;0.7,"Medium","High"))</f>
        <v>Low</v>
      </c>
      <c r="M2" t="str">
        <f>IF(D2&lt;0.2,"Low Wind",IF(D2&lt;0.5,"Medium Wind","High Wind"))</f>
        <v>High Wind</v>
      </c>
      <c r="N2" t="str">
        <f>IF(E2&lt;50,"Low",IF(E2&lt;150,"Medium","High"))</f>
        <v>Low</v>
      </c>
      <c r="O2" t="str">
        <f>IF(F2&lt;100,"Low",IF(F2&lt;300,"Medium","High"))</f>
        <v>Low</v>
      </c>
      <c r="P2" t="str">
        <f>IF(G2&lt;100,"Low Demand",IF(G2&lt;300,"Medium Demand","High Demand"))</f>
        <v>Low Demand</v>
      </c>
    </row>
    <row r="3" spans="1:16" ht="13.8">
      <c r="A3" s="13">
        <v>1</v>
      </c>
      <c r="B3" s="13">
        <v>2</v>
      </c>
      <c r="C3" s="13">
        <v>0.2727</v>
      </c>
      <c r="D3" s="13">
        <v>0.8</v>
      </c>
      <c r="E3" s="13">
        <v>0</v>
      </c>
      <c r="F3" s="13">
        <v>8</v>
      </c>
      <c r="G3" s="13">
        <v>32</v>
      </c>
      <c r="H3" s="13">
        <v>40</v>
      </c>
      <c r="J3" t="str">
        <f t="shared" ref="J3:J66" si="0">IF(COUNTIF(A:A,A3)&gt;1,"Duplicate","Unique")</f>
        <v>Unique</v>
      </c>
      <c r="K3" t="str">
        <f t="shared" ref="K3:K66" si="1">IF(B3&lt;0.3,"Cold",IF(B3&lt;0.6,"Normal","Hot"))</f>
        <v>Hot</v>
      </c>
      <c r="L3" t="str">
        <f t="shared" ref="L3:L66" si="2">IF(C3&lt;0.4,"Low",IF(C3&lt;0.7,"Medium","High"))</f>
        <v>Low</v>
      </c>
      <c r="M3" t="str">
        <f t="shared" ref="M3:M66" si="3">IF(D3&lt;0.2,"Low Wind",IF(D3&lt;0.5,"Medium Wind","High Wind"))</f>
        <v>High Wind</v>
      </c>
      <c r="N3" t="str">
        <f t="shared" ref="N3:N66" si="4">IF(E3&lt;50,"Low",IF(E3&lt;150,"Medium","High"))</f>
        <v>Low</v>
      </c>
      <c r="O3" t="str">
        <f t="shared" ref="O3:O66" si="5">IF(F3&lt;100,"Low",IF(F3&lt;300,"Medium","High"))</f>
        <v>Low</v>
      </c>
      <c r="P3" t="str">
        <f t="shared" ref="P3:P66" si="6">IF(G3&lt;100,"Low Demand",IF(G3&lt;300,"Medium Demand","High Demand"))</f>
        <v>Low Demand</v>
      </c>
    </row>
    <row r="4" spans="1:16" ht="13.8">
      <c r="A4" s="13">
        <v>2</v>
      </c>
      <c r="B4" s="13">
        <v>3</v>
      </c>
      <c r="C4" s="13">
        <v>0.2727</v>
      </c>
      <c r="D4" s="13">
        <v>0.8</v>
      </c>
      <c r="E4" s="13">
        <v>0</v>
      </c>
      <c r="F4" s="13">
        <v>5</v>
      </c>
      <c r="G4" s="13">
        <v>27</v>
      </c>
      <c r="H4" s="13">
        <v>32</v>
      </c>
      <c r="J4" t="str">
        <f t="shared" si="0"/>
        <v>Unique</v>
      </c>
      <c r="K4" t="str">
        <f t="shared" si="1"/>
        <v>Hot</v>
      </c>
      <c r="L4" t="str">
        <f t="shared" si="2"/>
        <v>Low</v>
      </c>
      <c r="M4" t="str">
        <f t="shared" si="3"/>
        <v>High Wind</v>
      </c>
      <c r="N4" t="str">
        <f t="shared" si="4"/>
        <v>Low</v>
      </c>
      <c r="O4" t="str">
        <f t="shared" si="5"/>
        <v>Low</v>
      </c>
      <c r="P4" t="str">
        <f t="shared" si="6"/>
        <v>Low Demand</v>
      </c>
    </row>
    <row r="5" spans="1:16" ht="13.8">
      <c r="A5" s="13">
        <v>3</v>
      </c>
      <c r="B5" s="13">
        <v>4</v>
      </c>
      <c r="C5" s="13">
        <v>0.28789999999999999</v>
      </c>
      <c r="D5" s="13">
        <v>0.75</v>
      </c>
      <c r="E5" s="13">
        <v>0</v>
      </c>
      <c r="F5" s="13">
        <v>3</v>
      </c>
      <c r="G5" s="13">
        <v>10</v>
      </c>
      <c r="H5" s="13">
        <v>13</v>
      </c>
      <c r="J5" t="str">
        <f t="shared" si="0"/>
        <v>Unique</v>
      </c>
      <c r="K5" t="str">
        <f t="shared" si="1"/>
        <v>Hot</v>
      </c>
      <c r="L5" t="str">
        <f t="shared" si="2"/>
        <v>Low</v>
      </c>
      <c r="M5" t="str">
        <f t="shared" si="3"/>
        <v>High Wind</v>
      </c>
      <c r="N5" t="str">
        <f t="shared" si="4"/>
        <v>Low</v>
      </c>
      <c r="O5" t="str">
        <f t="shared" si="5"/>
        <v>Low</v>
      </c>
      <c r="P5" t="str">
        <f t="shared" si="6"/>
        <v>Low Demand</v>
      </c>
    </row>
    <row r="6" spans="1:16" ht="13.8">
      <c r="A6" s="13">
        <v>4</v>
      </c>
      <c r="B6" s="13">
        <v>5</v>
      </c>
      <c r="C6" s="13">
        <v>0.28789999999999999</v>
      </c>
      <c r="D6" s="13">
        <v>0.75</v>
      </c>
      <c r="E6" s="13">
        <v>0</v>
      </c>
      <c r="F6" s="13">
        <v>0</v>
      </c>
      <c r="G6" s="13">
        <v>1</v>
      </c>
      <c r="H6" s="13">
        <v>1</v>
      </c>
      <c r="J6" t="str">
        <f t="shared" si="0"/>
        <v>Unique</v>
      </c>
      <c r="K6" t="str">
        <f t="shared" si="1"/>
        <v>Hot</v>
      </c>
      <c r="L6" t="str">
        <f t="shared" si="2"/>
        <v>Low</v>
      </c>
      <c r="M6" t="str">
        <f t="shared" si="3"/>
        <v>High Wind</v>
      </c>
      <c r="N6" t="str">
        <f t="shared" si="4"/>
        <v>Low</v>
      </c>
      <c r="O6" t="str">
        <f t="shared" si="5"/>
        <v>Low</v>
      </c>
      <c r="P6" t="str">
        <f t="shared" si="6"/>
        <v>Low Demand</v>
      </c>
    </row>
    <row r="7" spans="1:16" ht="13.8">
      <c r="A7" s="13">
        <v>5</v>
      </c>
      <c r="B7" s="13">
        <v>6</v>
      </c>
      <c r="C7" s="13">
        <v>0.2576</v>
      </c>
      <c r="D7" s="13">
        <v>0.75</v>
      </c>
      <c r="E7" s="13">
        <v>8.9599999999999999E-2</v>
      </c>
      <c r="F7" s="13">
        <v>0</v>
      </c>
      <c r="G7" s="13">
        <v>1</v>
      </c>
      <c r="H7" s="13">
        <v>1</v>
      </c>
      <c r="J7" t="str">
        <f t="shared" si="0"/>
        <v>Unique</v>
      </c>
      <c r="K7" t="str">
        <f t="shared" si="1"/>
        <v>Hot</v>
      </c>
      <c r="L7" t="str">
        <f t="shared" si="2"/>
        <v>Low</v>
      </c>
      <c r="M7" t="str">
        <f t="shared" si="3"/>
        <v>High Wind</v>
      </c>
      <c r="N7" t="str">
        <f t="shared" si="4"/>
        <v>Low</v>
      </c>
      <c r="O7" t="str">
        <f t="shared" si="5"/>
        <v>Low</v>
      </c>
      <c r="P7" t="str">
        <f t="shared" si="6"/>
        <v>Low Demand</v>
      </c>
    </row>
    <row r="8" spans="1:16" ht="13.8">
      <c r="A8" s="13">
        <v>6</v>
      </c>
      <c r="B8" s="13">
        <v>7</v>
      </c>
      <c r="C8" s="13">
        <v>0.2727</v>
      </c>
      <c r="D8" s="13">
        <v>0.8</v>
      </c>
      <c r="E8" s="13">
        <v>0</v>
      </c>
      <c r="F8" s="13">
        <v>2</v>
      </c>
      <c r="G8" s="13">
        <v>0</v>
      </c>
      <c r="H8" s="13">
        <v>2</v>
      </c>
      <c r="J8" t="str">
        <f t="shared" si="0"/>
        <v>Unique</v>
      </c>
      <c r="K8" t="str">
        <f t="shared" si="1"/>
        <v>Hot</v>
      </c>
      <c r="L8" t="str">
        <f t="shared" si="2"/>
        <v>Low</v>
      </c>
      <c r="M8" t="str">
        <f t="shared" si="3"/>
        <v>High Wind</v>
      </c>
      <c r="N8" t="str">
        <f t="shared" si="4"/>
        <v>Low</v>
      </c>
      <c r="O8" t="str">
        <f t="shared" si="5"/>
        <v>Low</v>
      </c>
      <c r="P8" t="str">
        <f t="shared" si="6"/>
        <v>Low Demand</v>
      </c>
    </row>
    <row r="9" spans="1:16" ht="13.8">
      <c r="A9" s="13">
        <v>7</v>
      </c>
      <c r="B9" s="13">
        <v>8</v>
      </c>
      <c r="C9" s="13">
        <v>0.2576</v>
      </c>
      <c r="D9" s="13">
        <v>0.86</v>
      </c>
      <c r="E9" s="13">
        <v>0</v>
      </c>
      <c r="F9" s="13">
        <v>1</v>
      </c>
      <c r="G9" s="13">
        <v>2</v>
      </c>
      <c r="H9" s="13">
        <v>3</v>
      </c>
      <c r="J9" t="str">
        <f t="shared" si="0"/>
        <v>Unique</v>
      </c>
      <c r="K9" t="str">
        <f t="shared" si="1"/>
        <v>Hot</v>
      </c>
      <c r="L9" t="str">
        <f t="shared" si="2"/>
        <v>Low</v>
      </c>
      <c r="M9" t="str">
        <f t="shared" si="3"/>
        <v>High Wind</v>
      </c>
      <c r="N9" t="str">
        <f t="shared" si="4"/>
        <v>Low</v>
      </c>
      <c r="O9" t="str">
        <f t="shared" si="5"/>
        <v>Low</v>
      </c>
      <c r="P9" t="str">
        <f t="shared" si="6"/>
        <v>Low Demand</v>
      </c>
    </row>
    <row r="10" spans="1:16" ht="13.8">
      <c r="A10" s="13">
        <v>8</v>
      </c>
      <c r="B10" s="13">
        <v>9</v>
      </c>
      <c r="C10">
        <v>0</v>
      </c>
      <c r="D10" s="13">
        <v>0.75</v>
      </c>
      <c r="E10" s="13">
        <v>0</v>
      </c>
      <c r="F10" s="13">
        <v>1</v>
      </c>
      <c r="G10" s="13">
        <v>7</v>
      </c>
      <c r="H10" s="13">
        <v>8</v>
      </c>
      <c r="J10" t="str">
        <f t="shared" si="0"/>
        <v>Unique</v>
      </c>
      <c r="K10" t="str">
        <f t="shared" si="1"/>
        <v>Hot</v>
      </c>
      <c r="L10" t="str">
        <f t="shared" si="2"/>
        <v>Low</v>
      </c>
      <c r="M10" t="str">
        <f t="shared" si="3"/>
        <v>High Wind</v>
      </c>
      <c r="N10" t="str">
        <f t="shared" si="4"/>
        <v>Low</v>
      </c>
      <c r="O10" t="str">
        <f t="shared" si="5"/>
        <v>Low</v>
      </c>
      <c r="P10" t="str">
        <f t="shared" si="6"/>
        <v>Low Demand</v>
      </c>
    </row>
    <row r="11" spans="1:16" ht="13.8">
      <c r="A11" s="13">
        <v>9</v>
      </c>
      <c r="B11" s="13">
        <v>10</v>
      </c>
      <c r="C11" s="13">
        <v>0.34849999999999998</v>
      </c>
      <c r="D11" s="13">
        <v>0.76</v>
      </c>
      <c r="E11" s="13">
        <v>0</v>
      </c>
      <c r="F11" s="13">
        <v>8</v>
      </c>
      <c r="G11" s="13">
        <v>6</v>
      </c>
      <c r="H11" s="13">
        <v>14</v>
      </c>
      <c r="J11" t="str">
        <f t="shared" si="0"/>
        <v>Unique</v>
      </c>
      <c r="K11" t="str">
        <f t="shared" si="1"/>
        <v>Hot</v>
      </c>
      <c r="L11" t="str">
        <f t="shared" si="2"/>
        <v>Low</v>
      </c>
      <c r="M11" t="str">
        <f t="shared" si="3"/>
        <v>High Wind</v>
      </c>
      <c r="N11" t="str">
        <f t="shared" si="4"/>
        <v>Low</v>
      </c>
      <c r="O11" t="str">
        <f t="shared" si="5"/>
        <v>Low</v>
      </c>
      <c r="P11" t="str">
        <f t="shared" si="6"/>
        <v>Low Demand</v>
      </c>
    </row>
    <row r="12" spans="1:16" ht="13.8">
      <c r="A12" s="13">
        <v>10</v>
      </c>
      <c r="B12" s="13">
        <v>11</v>
      </c>
      <c r="C12" s="13">
        <v>0.39389999999999997</v>
      </c>
      <c r="D12" s="13">
        <v>0.76</v>
      </c>
      <c r="E12" s="13">
        <v>0.25369999999999998</v>
      </c>
      <c r="F12" s="13">
        <v>12</v>
      </c>
      <c r="G12" s="13">
        <v>24</v>
      </c>
      <c r="H12" s="13">
        <v>36</v>
      </c>
      <c r="J12" t="str">
        <f t="shared" si="0"/>
        <v>Unique</v>
      </c>
      <c r="K12" t="str">
        <f t="shared" si="1"/>
        <v>Hot</v>
      </c>
      <c r="L12" t="str">
        <f t="shared" si="2"/>
        <v>Low</v>
      </c>
      <c r="M12" t="str">
        <f t="shared" si="3"/>
        <v>High Wind</v>
      </c>
      <c r="N12" t="str">
        <f t="shared" si="4"/>
        <v>Low</v>
      </c>
      <c r="O12" t="str">
        <f t="shared" si="5"/>
        <v>Low</v>
      </c>
      <c r="P12" t="str">
        <f t="shared" si="6"/>
        <v>Low Demand</v>
      </c>
    </row>
    <row r="13" spans="1:16" ht="13.8">
      <c r="A13" s="13">
        <v>11</v>
      </c>
      <c r="B13" s="13">
        <v>12</v>
      </c>
      <c r="C13" s="13">
        <v>0.33329999999999999</v>
      </c>
      <c r="D13" s="13">
        <v>0.81</v>
      </c>
      <c r="E13" s="13">
        <v>0.28360000000000002</v>
      </c>
      <c r="F13" s="13">
        <v>26</v>
      </c>
      <c r="G13" s="13">
        <v>30</v>
      </c>
      <c r="H13" s="13">
        <v>56</v>
      </c>
      <c r="J13" t="str">
        <f t="shared" si="0"/>
        <v>Unique</v>
      </c>
      <c r="K13" t="str">
        <f t="shared" si="1"/>
        <v>Hot</v>
      </c>
      <c r="L13" t="str">
        <f t="shared" si="2"/>
        <v>Low</v>
      </c>
      <c r="M13" t="str">
        <f t="shared" si="3"/>
        <v>High Wind</v>
      </c>
      <c r="N13" t="str">
        <f t="shared" si="4"/>
        <v>Low</v>
      </c>
      <c r="O13" t="str">
        <f t="shared" si="5"/>
        <v>Low</v>
      </c>
      <c r="P13" t="str">
        <f t="shared" si="6"/>
        <v>Low Demand</v>
      </c>
    </row>
    <row r="14" spans="1:16" ht="13.8">
      <c r="A14" s="13">
        <v>12</v>
      </c>
      <c r="B14" s="13">
        <v>13</v>
      </c>
      <c r="C14" s="13">
        <v>0.42420000000000002</v>
      </c>
      <c r="D14" s="13">
        <v>0.77</v>
      </c>
      <c r="E14" s="13">
        <v>0.28360000000000002</v>
      </c>
      <c r="F14" s="13">
        <v>29</v>
      </c>
      <c r="G14" s="13">
        <v>55</v>
      </c>
      <c r="H14" s="13">
        <v>84</v>
      </c>
      <c r="J14" t="str">
        <f t="shared" si="0"/>
        <v>Unique</v>
      </c>
      <c r="K14" t="str">
        <f t="shared" si="1"/>
        <v>Hot</v>
      </c>
      <c r="L14" t="str">
        <f t="shared" si="2"/>
        <v>Medium</v>
      </c>
      <c r="M14" t="str">
        <f t="shared" si="3"/>
        <v>High Wind</v>
      </c>
      <c r="N14" t="str">
        <f t="shared" si="4"/>
        <v>Low</v>
      </c>
      <c r="O14" t="str">
        <f t="shared" si="5"/>
        <v>Low</v>
      </c>
      <c r="P14" t="str">
        <f t="shared" si="6"/>
        <v>Low Demand</v>
      </c>
    </row>
    <row r="15" spans="1:16" ht="13.8">
      <c r="A15" s="13">
        <v>13</v>
      </c>
      <c r="B15" s="13">
        <v>14</v>
      </c>
      <c r="C15" s="13">
        <v>0.45450000000000002</v>
      </c>
      <c r="D15" s="13">
        <v>0.72</v>
      </c>
      <c r="E15" s="13">
        <v>0.29849999999999999</v>
      </c>
      <c r="F15" s="13">
        <v>47</v>
      </c>
      <c r="G15" s="13">
        <v>47</v>
      </c>
      <c r="H15" s="13">
        <v>94</v>
      </c>
      <c r="J15" t="str">
        <f t="shared" si="0"/>
        <v>Unique</v>
      </c>
      <c r="K15" t="str">
        <f t="shared" si="1"/>
        <v>Hot</v>
      </c>
      <c r="L15" t="str">
        <f t="shared" si="2"/>
        <v>Medium</v>
      </c>
      <c r="M15" t="str">
        <f t="shared" si="3"/>
        <v>High Wind</v>
      </c>
      <c r="N15" t="str">
        <f t="shared" si="4"/>
        <v>Low</v>
      </c>
      <c r="O15" t="str">
        <f t="shared" si="5"/>
        <v>Low</v>
      </c>
      <c r="P15" t="str">
        <f t="shared" si="6"/>
        <v>Low Demand</v>
      </c>
    </row>
    <row r="16" spans="1:16" ht="13.8">
      <c r="A16" s="13">
        <v>14</v>
      </c>
      <c r="B16" s="13">
        <v>15</v>
      </c>
      <c r="C16" s="13">
        <v>0.45450000000000002</v>
      </c>
      <c r="D16" s="13">
        <v>0.72</v>
      </c>
      <c r="E16" s="13">
        <v>0.28360000000000002</v>
      </c>
      <c r="F16" s="13">
        <v>35</v>
      </c>
      <c r="G16" s="13">
        <v>71</v>
      </c>
      <c r="H16" s="13">
        <v>106</v>
      </c>
      <c r="J16" t="str">
        <f t="shared" si="0"/>
        <v>Unique</v>
      </c>
      <c r="K16" t="str">
        <f t="shared" si="1"/>
        <v>Hot</v>
      </c>
      <c r="L16" t="str">
        <f t="shared" si="2"/>
        <v>Medium</v>
      </c>
      <c r="M16" t="str">
        <f t="shared" si="3"/>
        <v>High Wind</v>
      </c>
      <c r="N16" t="str">
        <f t="shared" si="4"/>
        <v>Low</v>
      </c>
      <c r="O16" t="str">
        <f t="shared" si="5"/>
        <v>Low</v>
      </c>
      <c r="P16" t="str">
        <f t="shared" si="6"/>
        <v>Low Demand</v>
      </c>
    </row>
    <row r="17" spans="1:16" ht="13.8">
      <c r="A17" s="13">
        <v>15</v>
      </c>
      <c r="B17" s="13">
        <v>16</v>
      </c>
      <c r="C17" s="13">
        <v>0.43940000000000001</v>
      </c>
      <c r="D17" s="13">
        <v>0.77</v>
      </c>
      <c r="E17" s="13">
        <v>0.29849999999999999</v>
      </c>
      <c r="F17" s="13">
        <v>40</v>
      </c>
      <c r="G17" s="13">
        <v>70</v>
      </c>
      <c r="H17" s="13">
        <v>110</v>
      </c>
      <c r="J17" t="str">
        <f t="shared" si="0"/>
        <v>Unique</v>
      </c>
      <c r="K17" t="str">
        <f t="shared" si="1"/>
        <v>Hot</v>
      </c>
      <c r="L17" t="str">
        <f t="shared" si="2"/>
        <v>Medium</v>
      </c>
      <c r="M17" t="str">
        <f t="shared" si="3"/>
        <v>High Wind</v>
      </c>
      <c r="N17" t="str">
        <f t="shared" si="4"/>
        <v>Low</v>
      </c>
      <c r="O17" t="str">
        <f t="shared" si="5"/>
        <v>Low</v>
      </c>
      <c r="P17" t="str">
        <f t="shared" si="6"/>
        <v>Low Demand</v>
      </c>
    </row>
    <row r="18" spans="1:16" ht="13.8">
      <c r="A18" s="13">
        <v>16</v>
      </c>
      <c r="B18" s="13">
        <v>17</v>
      </c>
      <c r="C18" s="13">
        <v>0.42420000000000002</v>
      </c>
      <c r="D18" s="13">
        <v>0.82</v>
      </c>
      <c r="E18" s="13">
        <v>0.29849999999999999</v>
      </c>
      <c r="F18" s="13">
        <v>41</v>
      </c>
      <c r="G18" s="13">
        <v>52</v>
      </c>
      <c r="H18" s="13">
        <v>93</v>
      </c>
      <c r="J18" t="str">
        <f t="shared" si="0"/>
        <v>Unique</v>
      </c>
      <c r="K18" t="str">
        <f t="shared" si="1"/>
        <v>Hot</v>
      </c>
      <c r="L18" t="str">
        <f t="shared" si="2"/>
        <v>Medium</v>
      </c>
      <c r="M18" t="str">
        <f t="shared" si="3"/>
        <v>High Wind</v>
      </c>
      <c r="N18" t="str">
        <f t="shared" si="4"/>
        <v>Low</v>
      </c>
      <c r="O18" t="str">
        <f t="shared" si="5"/>
        <v>Low</v>
      </c>
      <c r="P18" t="str">
        <f t="shared" si="6"/>
        <v>Low Demand</v>
      </c>
    </row>
    <row r="19" spans="1:16" ht="13.8">
      <c r="A19" s="13">
        <v>17</v>
      </c>
      <c r="B19" s="13">
        <v>18</v>
      </c>
      <c r="C19">
        <v>0</v>
      </c>
      <c r="D19" s="13">
        <v>0.82</v>
      </c>
      <c r="E19" s="13">
        <v>0.28360000000000002</v>
      </c>
      <c r="F19" s="13">
        <v>15</v>
      </c>
      <c r="G19" s="13">
        <v>52</v>
      </c>
      <c r="H19" s="13">
        <v>67</v>
      </c>
      <c r="J19" t="str">
        <f t="shared" si="0"/>
        <v>Unique</v>
      </c>
      <c r="K19" t="str">
        <f t="shared" si="1"/>
        <v>Hot</v>
      </c>
      <c r="L19" t="str">
        <f t="shared" si="2"/>
        <v>Low</v>
      </c>
      <c r="M19" t="str">
        <f t="shared" si="3"/>
        <v>High Wind</v>
      </c>
      <c r="N19" t="str">
        <f t="shared" si="4"/>
        <v>Low</v>
      </c>
      <c r="O19" t="str">
        <f t="shared" si="5"/>
        <v>Low</v>
      </c>
      <c r="P19" t="str">
        <f t="shared" si="6"/>
        <v>Low Demand</v>
      </c>
    </row>
    <row r="20" spans="1:16" ht="13.8">
      <c r="A20" s="13">
        <v>18</v>
      </c>
      <c r="B20" s="13">
        <v>19</v>
      </c>
      <c r="C20" s="13">
        <v>0.42420000000000002</v>
      </c>
      <c r="D20" s="13">
        <v>0.88</v>
      </c>
      <c r="E20" s="13">
        <v>0.25369999999999998</v>
      </c>
      <c r="F20" s="13">
        <v>9</v>
      </c>
      <c r="G20" s="13">
        <v>26</v>
      </c>
      <c r="H20" s="13">
        <v>35</v>
      </c>
      <c r="J20" t="str">
        <f t="shared" si="0"/>
        <v>Unique</v>
      </c>
      <c r="K20" t="str">
        <f t="shared" si="1"/>
        <v>Hot</v>
      </c>
      <c r="L20" t="str">
        <f t="shared" si="2"/>
        <v>Medium</v>
      </c>
      <c r="M20" t="str">
        <f t="shared" si="3"/>
        <v>High Wind</v>
      </c>
      <c r="N20" t="str">
        <f t="shared" si="4"/>
        <v>Low</v>
      </c>
      <c r="O20" t="str">
        <f t="shared" si="5"/>
        <v>Low</v>
      </c>
      <c r="P20" t="str">
        <f t="shared" si="6"/>
        <v>Low Demand</v>
      </c>
    </row>
    <row r="21" spans="1:16" ht="13.8">
      <c r="A21" s="13">
        <v>19</v>
      </c>
      <c r="B21" s="13">
        <v>20</v>
      </c>
      <c r="C21" s="13">
        <v>0.42420000000000002</v>
      </c>
      <c r="D21" s="13">
        <v>0.88</v>
      </c>
      <c r="E21" s="13">
        <v>0.25369999999999998</v>
      </c>
      <c r="F21" s="13">
        <v>6</v>
      </c>
      <c r="G21" s="13">
        <v>31</v>
      </c>
      <c r="H21" s="13">
        <v>37</v>
      </c>
      <c r="J21" t="str">
        <f t="shared" si="0"/>
        <v>Unique</v>
      </c>
      <c r="K21" t="str">
        <f t="shared" si="1"/>
        <v>Hot</v>
      </c>
      <c r="L21" t="str">
        <f t="shared" si="2"/>
        <v>Medium</v>
      </c>
      <c r="M21" t="str">
        <f t="shared" si="3"/>
        <v>High Wind</v>
      </c>
      <c r="N21" t="str">
        <f t="shared" si="4"/>
        <v>Low</v>
      </c>
      <c r="O21" t="str">
        <f t="shared" si="5"/>
        <v>Low</v>
      </c>
      <c r="P21" t="str">
        <f t="shared" si="6"/>
        <v>Low Demand</v>
      </c>
    </row>
    <row r="22" spans="1:16" ht="13.8">
      <c r="A22" s="13">
        <v>20</v>
      </c>
      <c r="B22" s="13">
        <v>21</v>
      </c>
      <c r="C22" s="13">
        <v>0.40910000000000002</v>
      </c>
      <c r="D22" s="13">
        <v>0.87</v>
      </c>
      <c r="E22" s="13">
        <v>0.25369999999999998</v>
      </c>
      <c r="F22" s="13">
        <v>11</v>
      </c>
      <c r="G22" s="13">
        <v>25</v>
      </c>
      <c r="H22" s="13">
        <v>36</v>
      </c>
      <c r="J22" t="str">
        <f t="shared" si="0"/>
        <v>Unique</v>
      </c>
      <c r="K22" t="str">
        <f t="shared" si="1"/>
        <v>Hot</v>
      </c>
      <c r="L22" t="str">
        <f t="shared" si="2"/>
        <v>Medium</v>
      </c>
      <c r="M22" t="str">
        <f t="shared" si="3"/>
        <v>High Wind</v>
      </c>
      <c r="N22" t="str">
        <f t="shared" si="4"/>
        <v>Low</v>
      </c>
      <c r="O22" t="str">
        <f t="shared" si="5"/>
        <v>Low</v>
      </c>
      <c r="P22" t="str">
        <f t="shared" si="6"/>
        <v>Low Demand</v>
      </c>
    </row>
    <row r="23" spans="1:16" ht="13.8">
      <c r="A23" s="13">
        <v>21</v>
      </c>
      <c r="B23" s="13">
        <v>22</v>
      </c>
      <c r="C23" s="13">
        <v>0.40910000000000002</v>
      </c>
      <c r="D23" s="13">
        <v>0.87</v>
      </c>
      <c r="E23" s="13">
        <v>0.19400000000000001</v>
      </c>
      <c r="F23" s="13">
        <v>3</v>
      </c>
      <c r="G23" s="13">
        <v>31</v>
      </c>
      <c r="H23" s="13">
        <v>34</v>
      </c>
      <c r="J23" t="str">
        <f t="shared" si="0"/>
        <v>Unique</v>
      </c>
      <c r="K23" t="str">
        <f t="shared" si="1"/>
        <v>Hot</v>
      </c>
      <c r="L23" t="str">
        <f t="shared" si="2"/>
        <v>Medium</v>
      </c>
      <c r="M23" t="str">
        <f t="shared" si="3"/>
        <v>High Wind</v>
      </c>
      <c r="N23" t="str">
        <f t="shared" si="4"/>
        <v>Low</v>
      </c>
      <c r="O23" t="str">
        <f t="shared" si="5"/>
        <v>Low</v>
      </c>
      <c r="P23" t="str">
        <f t="shared" si="6"/>
        <v>Low Demand</v>
      </c>
    </row>
    <row r="24" spans="1:16" ht="13.8">
      <c r="A24" s="13">
        <v>22</v>
      </c>
      <c r="B24" s="13">
        <v>23</v>
      </c>
      <c r="C24" s="13">
        <v>0.40910000000000002</v>
      </c>
      <c r="D24" s="13">
        <v>0.94</v>
      </c>
      <c r="E24" s="13">
        <v>0.22389999999999999</v>
      </c>
      <c r="F24" s="13">
        <v>11</v>
      </c>
      <c r="G24" s="13">
        <v>17</v>
      </c>
      <c r="H24" s="13">
        <v>28</v>
      </c>
      <c r="J24" t="str">
        <f t="shared" si="0"/>
        <v>Unique</v>
      </c>
      <c r="K24" t="str">
        <f t="shared" si="1"/>
        <v>Hot</v>
      </c>
      <c r="L24" t="str">
        <f t="shared" si="2"/>
        <v>Medium</v>
      </c>
      <c r="M24" t="str">
        <f t="shared" si="3"/>
        <v>High Wind</v>
      </c>
      <c r="N24" t="str">
        <f t="shared" si="4"/>
        <v>Low</v>
      </c>
      <c r="O24" t="str">
        <f t="shared" si="5"/>
        <v>Low</v>
      </c>
      <c r="P24" t="str">
        <f t="shared" si="6"/>
        <v>Low Demand</v>
      </c>
    </row>
    <row r="25" spans="1:16" ht="13.8">
      <c r="A25" s="13">
        <v>23</v>
      </c>
      <c r="B25" s="13">
        <v>24</v>
      </c>
      <c r="C25">
        <v>0</v>
      </c>
      <c r="D25" s="13">
        <v>0.88</v>
      </c>
      <c r="E25" s="13">
        <v>0.29849999999999999</v>
      </c>
      <c r="F25" s="13">
        <v>15</v>
      </c>
      <c r="G25" s="13">
        <v>24</v>
      </c>
      <c r="H25" s="13">
        <v>39</v>
      </c>
      <c r="J25" t="str">
        <f t="shared" si="0"/>
        <v>Unique</v>
      </c>
      <c r="K25" t="str">
        <f t="shared" si="1"/>
        <v>Hot</v>
      </c>
      <c r="L25" t="str">
        <f t="shared" si="2"/>
        <v>Low</v>
      </c>
      <c r="M25" t="str">
        <f t="shared" si="3"/>
        <v>High Wind</v>
      </c>
      <c r="N25" t="str">
        <f t="shared" si="4"/>
        <v>Low</v>
      </c>
      <c r="O25" t="str">
        <f t="shared" si="5"/>
        <v>Low</v>
      </c>
      <c r="P25" t="str">
        <f t="shared" si="6"/>
        <v>Low Demand</v>
      </c>
    </row>
    <row r="26" spans="1:16" ht="13.8">
      <c r="A26" s="13">
        <v>24</v>
      </c>
      <c r="B26" s="13">
        <v>25</v>
      </c>
      <c r="C26" s="13">
        <v>0.45450000000000002</v>
      </c>
      <c r="D26" s="13">
        <v>0.88</v>
      </c>
      <c r="E26" s="13">
        <v>0.29849999999999999</v>
      </c>
      <c r="F26" s="13">
        <v>4</v>
      </c>
      <c r="G26" s="13">
        <v>13</v>
      </c>
      <c r="H26" s="13">
        <v>17</v>
      </c>
      <c r="J26" t="str">
        <f t="shared" si="0"/>
        <v>Unique</v>
      </c>
      <c r="K26" t="str">
        <f t="shared" si="1"/>
        <v>Hot</v>
      </c>
      <c r="L26" t="str">
        <f t="shared" si="2"/>
        <v>Medium</v>
      </c>
      <c r="M26" t="str">
        <f t="shared" si="3"/>
        <v>High Wind</v>
      </c>
      <c r="N26" t="str">
        <f t="shared" si="4"/>
        <v>Low</v>
      </c>
      <c r="O26" t="str">
        <f t="shared" si="5"/>
        <v>Low</v>
      </c>
      <c r="P26" t="str">
        <f t="shared" si="6"/>
        <v>Low Demand</v>
      </c>
    </row>
    <row r="27" spans="1:16" ht="13.8">
      <c r="A27" s="13">
        <v>25</v>
      </c>
      <c r="B27" s="13">
        <v>26</v>
      </c>
      <c r="C27" s="13">
        <v>0.43940000000000001</v>
      </c>
      <c r="D27" s="13">
        <v>0.94</v>
      </c>
      <c r="E27" s="13">
        <v>0.25369999999999998</v>
      </c>
      <c r="F27" s="13">
        <v>1</v>
      </c>
      <c r="G27" s="13">
        <v>16</v>
      </c>
      <c r="H27" s="13">
        <v>17</v>
      </c>
      <c r="J27" t="str">
        <f t="shared" si="0"/>
        <v>Unique</v>
      </c>
      <c r="K27" t="str">
        <f t="shared" si="1"/>
        <v>Hot</v>
      </c>
      <c r="L27" t="str">
        <f t="shared" si="2"/>
        <v>Medium</v>
      </c>
      <c r="M27" t="str">
        <f t="shared" si="3"/>
        <v>High Wind</v>
      </c>
      <c r="N27" t="str">
        <f t="shared" si="4"/>
        <v>Low</v>
      </c>
      <c r="O27" t="str">
        <f t="shared" si="5"/>
        <v>Low</v>
      </c>
      <c r="P27" t="str">
        <f t="shared" si="6"/>
        <v>Low Demand</v>
      </c>
    </row>
    <row r="28" spans="1:16" ht="13.8">
      <c r="A28" s="13">
        <v>26</v>
      </c>
      <c r="B28" s="13">
        <v>27</v>
      </c>
      <c r="C28" s="13">
        <v>0.42420000000000002</v>
      </c>
      <c r="D28" s="13">
        <v>1</v>
      </c>
      <c r="E28" s="13">
        <v>0.28360000000000002</v>
      </c>
      <c r="F28" s="13">
        <v>1</v>
      </c>
      <c r="G28" s="13">
        <v>8</v>
      </c>
      <c r="H28" s="13">
        <v>9</v>
      </c>
      <c r="J28" t="str">
        <f t="shared" si="0"/>
        <v>Unique</v>
      </c>
      <c r="K28" t="str">
        <f t="shared" si="1"/>
        <v>Hot</v>
      </c>
      <c r="L28" t="str">
        <f t="shared" si="2"/>
        <v>Medium</v>
      </c>
      <c r="M28" t="str">
        <f t="shared" si="3"/>
        <v>High Wind</v>
      </c>
      <c r="N28" t="str">
        <f t="shared" si="4"/>
        <v>Low</v>
      </c>
      <c r="O28" t="str">
        <f t="shared" si="5"/>
        <v>Low</v>
      </c>
      <c r="P28" t="str">
        <f t="shared" si="6"/>
        <v>Low Demand</v>
      </c>
    </row>
    <row r="29" spans="1:16" ht="13.8">
      <c r="A29" s="13">
        <v>27</v>
      </c>
      <c r="B29" s="13">
        <v>28</v>
      </c>
      <c r="C29" s="13">
        <v>0.45450000000000002</v>
      </c>
      <c r="D29" s="13">
        <v>0.94</v>
      </c>
      <c r="E29" s="13">
        <v>0.19400000000000001</v>
      </c>
      <c r="F29" s="13">
        <v>2</v>
      </c>
      <c r="G29" s="13">
        <v>4</v>
      </c>
      <c r="H29" s="13">
        <v>6</v>
      </c>
      <c r="J29" t="str">
        <f t="shared" si="0"/>
        <v>Unique</v>
      </c>
      <c r="K29" t="str">
        <f t="shared" si="1"/>
        <v>Hot</v>
      </c>
      <c r="L29" t="str">
        <f t="shared" si="2"/>
        <v>Medium</v>
      </c>
      <c r="M29" t="str">
        <f t="shared" si="3"/>
        <v>High Wind</v>
      </c>
      <c r="N29" t="str">
        <f t="shared" si="4"/>
        <v>Low</v>
      </c>
      <c r="O29" t="str">
        <f t="shared" si="5"/>
        <v>Low</v>
      </c>
      <c r="P29" t="str">
        <f t="shared" si="6"/>
        <v>Low Demand</v>
      </c>
    </row>
    <row r="30" spans="1:16" ht="13.8">
      <c r="A30" s="13">
        <v>28</v>
      </c>
      <c r="B30" s="13">
        <v>29</v>
      </c>
      <c r="C30">
        <v>0</v>
      </c>
      <c r="D30" s="13">
        <v>0.94</v>
      </c>
      <c r="E30" s="13">
        <v>0.19400000000000001</v>
      </c>
      <c r="F30" s="13">
        <v>2</v>
      </c>
      <c r="G30" s="13">
        <v>1</v>
      </c>
      <c r="H30" s="13">
        <v>3</v>
      </c>
      <c r="J30" t="str">
        <f t="shared" si="0"/>
        <v>Unique</v>
      </c>
      <c r="K30" t="str">
        <f t="shared" si="1"/>
        <v>Hot</v>
      </c>
      <c r="L30" t="str">
        <f t="shared" si="2"/>
        <v>Low</v>
      </c>
      <c r="M30" t="str">
        <f t="shared" si="3"/>
        <v>High Wind</v>
      </c>
      <c r="N30" t="str">
        <f t="shared" si="4"/>
        <v>Low</v>
      </c>
      <c r="O30" t="str">
        <f t="shared" si="5"/>
        <v>Low</v>
      </c>
      <c r="P30" t="str">
        <f t="shared" si="6"/>
        <v>Low Demand</v>
      </c>
    </row>
    <row r="31" spans="1:16" ht="13.8">
      <c r="A31" s="13">
        <v>29</v>
      </c>
      <c r="B31" s="13">
        <v>30</v>
      </c>
      <c r="C31" s="13">
        <v>0.42420000000000002</v>
      </c>
      <c r="D31" s="13">
        <v>0.77</v>
      </c>
      <c r="E31" s="13">
        <v>0.29849999999999999</v>
      </c>
      <c r="F31" s="13">
        <v>0</v>
      </c>
      <c r="G31" s="13">
        <v>2</v>
      </c>
      <c r="H31" s="13">
        <v>2</v>
      </c>
      <c r="J31" t="str">
        <f t="shared" si="0"/>
        <v>Unique</v>
      </c>
      <c r="K31" t="str">
        <f t="shared" si="1"/>
        <v>Hot</v>
      </c>
      <c r="L31" t="str">
        <f t="shared" si="2"/>
        <v>Medium</v>
      </c>
      <c r="M31" t="str">
        <f t="shared" si="3"/>
        <v>High Wind</v>
      </c>
      <c r="N31" t="str">
        <f t="shared" si="4"/>
        <v>Low</v>
      </c>
      <c r="O31" t="str">
        <f t="shared" si="5"/>
        <v>Low</v>
      </c>
      <c r="P31" t="str">
        <f t="shared" si="6"/>
        <v>Low Demand</v>
      </c>
    </row>
    <row r="32" spans="1:16" ht="13.8">
      <c r="A32" s="13">
        <v>30</v>
      </c>
      <c r="B32" s="13">
        <v>31</v>
      </c>
      <c r="C32" s="13">
        <v>0.40910000000000002</v>
      </c>
      <c r="D32" s="13">
        <v>0.76</v>
      </c>
      <c r="E32" s="13">
        <v>0.19400000000000001</v>
      </c>
      <c r="F32" s="13">
        <v>0</v>
      </c>
      <c r="G32" s="13">
        <v>1</v>
      </c>
      <c r="H32" s="13">
        <v>1</v>
      </c>
      <c r="J32" t="str">
        <f t="shared" si="0"/>
        <v>Unique</v>
      </c>
      <c r="K32" t="str">
        <f t="shared" si="1"/>
        <v>Hot</v>
      </c>
      <c r="L32" t="str">
        <f t="shared" si="2"/>
        <v>Medium</v>
      </c>
      <c r="M32" t="str">
        <f t="shared" si="3"/>
        <v>High Wind</v>
      </c>
      <c r="N32" t="str">
        <f t="shared" si="4"/>
        <v>Low</v>
      </c>
      <c r="O32" t="str">
        <f t="shared" si="5"/>
        <v>Low</v>
      </c>
      <c r="P32" t="str">
        <f t="shared" si="6"/>
        <v>Low Demand</v>
      </c>
    </row>
    <row r="33" spans="1:16" ht="13.8">
      <c r="A33" s="13">
        <v>31</v>
      </c>
      <c r="B33" s="13">
        <v>32</v>
      </c>
      <c r="C33" s="13">
        <v>0.40910000000000002</v>
      </c>
      <c r="D33" s="13">
        <v>0.71</v>
      </c>
      <c r="E33" s="13">
        <v>0.22389999999999999</v>
      </c>
      <c r="F33" s="13">
        <v>0</v>
      </c>
      <c r="G33" s="13">
        <v>8</v>
      </c>
      <c r="H33" s="13">
        <v>8</v>
      </c>
      <c r="J33" t="str">
        <f t="shared" si="0"/>
        <v>Unique</v>
      </c>
      <c r="K33" t="str">
        <f t="shared" si="1"/>
        <v>Hot</v>
      </c>
      <c r="L33" t="str">
        <f t="shared" si="2"/>
        <v>Medium</v>
      </c>
      <c r="M33" t="str">
        <f t="shared" si="3"/>
        <v>High Wind</v>
      </c>
      <c r="N33" t="str">
        <f t="shared" si="4"/>
        <v>Low</v>
      </c>
      <c r="O33" t="str">
        <f t="shared" si="5"/>
        <v>Low</v>
      </c>
      <c r="P33" t="str">
        <f t="shared" si="6"/>
        <v>Low Demand</v>
      </c>
    </row>
    <row r="34" spans="1:16" ht="13.8">
      <c r="A34" s="13">
        <v>32</v>
      </c>
      <c r="B34" s="13">
        <v>33</v>
      </c>
      <c r="C34">
        <v>0</v>
      </c>
      <c r="D34" s="13">
        <v>0.76</v>
      </c>
      <c r="E34" s="13">
        <v>0.22389999999999999</v>
      </c>
      <c r="F34" s="13">
        <v>1</v>
      </c>
      <c r="G34" s="13">
        <v>19</v>
      </c>
      <c r="H34" s="13">
        <v>20</v>
      </c>
      <c r="J34" t="str">
        <f t="shared" si="0"/>
        <v>Unique</v>
      </c>
      <c r="K34" t="str">
        <f t="shared" si="1"/>
        <v>Hot</v>
      </c>
      <c r="L34" t="str">
        <f t="shared" si="2"/>
        <v>Low</v>
      </c>
      <c r="M34" t="str">
        <f t="shared" si="3"/>
        <v>High Wind</v>
      </c>
      <c r="N34" t="str">
        <f t="shared" si="4"/>
        <v>Low</v>
      </c>
      <c r="O34" t="str">
        <f t="shared" si="5"/>
        <v>Low</v>
      </c>
      <c r="P34" t="str">
        <f t="shared" si="6"/>
        <v>Low Demand</v>
      </c>
    </row>
    <row r="35" spans="1:16" ht="13.8">
      <c r="A35" s="13">
        <v>33</v>
      </c>
      <c r="B35" s="13">
        <v>34</v>
      </c>
      <c r="C35" s="13">
        <v>0.34849999999999998</v>
      </c>
      <c r="D35" s="13">
        <v>0.81</v>
      </c>
      <c r="E35" s="13">
        <v>0.22389999999999999</v>
      </c>
      <c r="F35" s="13">
        <v>7</v>
      </c>
      <c r="G35" s="13">
        <v>46</v>
      </c>
      <c r="H35" s="13">
        <v>53</v>
      </c>
      <c r="J35" t="str">
        <f t="shared" si="0"/>
        <v>Unique</v>
      </c>
      <c r="K35" t="str">
        <f t="shared" si="1"/>
        <v>Hot</v>
      </c>
      <c r="L35" t="str">
        <f t="shared" si="2"/>
        <v>Low</v>
      </c>
      <c r="M35" t="str">
        <f t="shared" si="3"/>
        <v>High Wind</v>
      </c>
      <c r="N35" t="str">
        <f t="shared" si="4"/>
        <v>Low</v>
      </c>
      <c r="O35" t="str">
        <f t="shared" si="5"/>
        <v>Low</v>
      </c>
      <c r="P35" t="str">
        <f t="shared" si="6"/>
        <v>Low Demand</v>
      </c>
    </row>
    <row r="36" spans="1:16" ht="13.8">
      <c r="A36" s="13">
        <v>34</v>
      </c>
      <c r="B36" s="13">
        <v>35</v>
      </c>
      <c r="C36" s="13">
        <v>0.33329999999999999</v>
      </c>
      <c r="D36" s="13">
        <v>0.71</v>
      </c>
      <c r="E36" s="13">
        <v>0.25369999999999998</v>
      </c>
      <c r="F36" s="13">
        <v>16</v>
      </c>
      <c r="G36" s="13">
        <v>54</v>
      </c>
      <c r="H36" s="13">
        <v>70</v>
      </c>
      <c r="J36" t="str">
        <f t="shared" si="0"/>
        <v>Unique</v>
      </c>
      <c r="K36" t="str">
        <f t="shared" si="1"/>
        <v>Hot</v>
      </c>
      <c r="L36" t="str">
        <f t="shared" si="2"/>
        <v>Low</v>
      </c>
      <c r="M36" t="str">
        <f t="shared" si="3"/>
        <v>High Wind</v>
      </c>
      <c r="N36" t="str">
        <f t="shared" si="4"/>
        <v>Low</v>
      </c>
      <c r="O36" t="str">
        <f t="shared" si="5"/>
        <v>Low</v>
      </c>
      <c r="P36" t="str">
        <f t="shared" si="6"/>
        <v>Low Demand</v>
      </c>
    </row>
    <row r="37" spans="1:16" ht="13.8">
      <c r="A37" s="13">
        <v>35</v>
      </c>
      <c r="B37" s="13">
        <v>36</v>
      </c>
      <c r="C37" s="13">
        <v>0.33329999999999999</v>
      </c>
      <c r="D37" s="13">
        <v>0.66</v>
      </c>
      <c r="E37" s="13">
        <v>0.29849999999999999</v>
      </c>
      <c r="F37" s="13">
        <v>20</v>
      </c>
      <c r="G37" s="13">
        <v>73</v>
      </c>
      <c r="H37" s="13">
        <v>93</v>
      </c>
      <c r="J37" t="str">
        <f t="shared" si="0"/>
        <v>Unique</v>
      </c>
      <c r="K37" t="str">
        <f t="shared" si="1"/>
        <v>Hot</v>
      </c>
      <c r="L37" t="str">
        <f t="shared" si="2"/>
        <v>Low</v>
      </c>
      <c r="M37" t="str">
        <f t="shared" si="3"/>
        <v>High Wind</v>
      </c>
      <c r="N37" t="str">
        <f t="shared" si="4"/>
        <v>Low</v>
      </c>
      <c r="O37" t="str">
        <f t="shared" si="5"/>
        <v>Low</v>
      </c>
      <c r="P37" t="str">
        <f t="shared" si="6"/>
        <v>Low Demand</v>
      </c>
    </row>
    <row r="38" spans="1:16" ht="13.8">
      <c r="A38" s="13">
        <v>36</v>
      </c>
      <c r="B38" s="13">
        <v>37</v>
      </c>
      <c r="C38" s="13">
        <v>0.34849999999999998</v>
      </c>
      <c r="D38" s="13">
        <v>0.66</v>
      </c>
      <c r="E38" s="13">
        <v>0.1343</v>
      </c>
      <c r="F38" s="13">
        <v>11</v>
      </c>
      <c r="G38" s="13">
        <v>64</v>
      </c>
      <c r="H38" s="13">
        <v>75</v>
      </c>
      <c r="J38" t="str">
        <f t="shared" si="0"/>
        <v>Unique</v>
      </c>
      <c r="K38" t="str">
        <f t="shared" si="1"/>
        <v>Hot</v>
      </c>
      <c r="L38" t="str">
        <f t="shared" si="2"/>
        <v>Low</v>
      </c>
      <c r="M38" t="str">
        <f t="shared" si="3"/>
        <v>High Wind</v>
      </c>
      <c r="N38" t="str">
        <f t="shared" si="4"/>
        <v>Low</v>
      </c>
      <c r="O38" t="str">
        <f t="shared" si="5"/>
        <v>Low</v>
      </c>
      <c r="P38" t="str">
        <f t="shared" si="6"/>
        <v>Low Demand</v>
      </c>
    </row>
    <row r="39" spans="1:16" ht="13.8">
      <c r="A39" s="13">
        <v>37</v>
      </c>
      <c r="B39" s="13">
        <v>38</v>
      </c>
      <c r="C39">
        <v>0</v>
      </c>
      <c r="D39" s="13">
        <v>0.76</v>
      </c>
      <c r="E39" s="13">
        <v>0.19400000000000001</v>
      </c>
      <c r="F39" s="13">
        <v>4</v>
      </c>
      <c r="G39" s="13">
        <v>55</v>
      </c>
      <c r="H39" s="13">
        <v>59</v>
      </c>
      <c r="J39" t="str">
        <f t="shared" si="0"/>
        <v>Unique</v>
      </c>
      <c r="K39" t="str">
        <f t="shared" si="1"/>
        <v>Hot</v>
      </c>
      <c r="L39" t="str">
        <f t="shared" si="2"/>
        <v>Low</v>
      </c>
      <c r="M39" t="str">
        <f t="shared" si="3"/>
        <v>High Wind</v>
      </c>
      <c r="N39" t="str">
        <f t="shared" si="4"/>
        <v>Low</v>
      </c>
      <c r="O39" t="str">
        <f t="shared" si="5"/>
        <v>Low</v>
      </c>
      <c r="P39" t="str">
        <f t="shared" si="6"/>
        <v>Low Demand</v>
      </c>
    </row>
    <row r="40" spans="1:16" ht="13.8">
      <c r="A40" s="13">
        <v>38</v>
      </c>
      <c r="B40" s="13">
        <v>39</v>
      </c>
      <c r="C40" s="13">
        <v>0.33329999999999999</v>
      </c>
      <c r="D40" s="13">
        <v>0.81</v>
      </c>
      <c r="E40" s="13">
        <v>0.16420000000000001</v>
      </c>
      <c r="F40" s="13">
        <v>19</v>
      </c>
      <c r="G40" s="13">
        <v>55</v>
      </c>
      <c r="H40" s="13">
        <v>74</v>
      </c>
      <c r="J40" t="str">
        <f t="shared" si="0"/>
        <v>Unique</v>
      </c>
      <c r="K40" t="str">
        <f t="shared" si="1"/>
        <v>Hot</v>
      </c>
      <c r="L40" t="str">
        <f t="shared" si="2"/>
        <v>Low</v>
      </c>
      <c r="M40" t="str">
        <f t="shared" si="3"/>
        <v>High Wind</v>
      </c>
      <c r="N40" t="str">
        <f t="shared" si="4"/>
        <v>Low</v>
      </c>
      <c r="O40" t="str">
        <f t="shared" si="5"/>
        <v>Low</v>
      </c>
      <c r="P40" t="str">
        <f t="shared" si="6"/>
        <v>Low Demand</v>
      </c>
    </row>
    <row r="41" spans="1:16" ht="13.8">
      <c r="A41" s="13">
        <v>39</v>
      </c>
      <c r="B41" s="13">
        <v>40</v>
      </c>
      <c r="C41" s="13">
        <v>0.33329999999999999</v>
      </c>
      <c r="D41" s="13">
        <v>0.71</v>
      </c>
      <c r="E41" s="13">
        <v>0.16420000000000001</v>
      </c>
      <c r="F41" s="13">
        <v>9</v>
      </c>
      <c r="G41" s="13">
        <v>67</v>
      </c>
      <c r="H41" s="13">
        <v>76</v>
      </c>
      <c r="J41" t="str">
        <f t="shared" si="0"/>
        <v>Unique</v>
      </c>
      <c r="K41" t="str">
        <f t="shared" si="1"/>
        <v>Hot</v>
      </c>
      <c r="L41" t="str">
        <f t="shared" si="2"/>
        <v>Low</v>
      </c>
      <c r="M41" t="str">
        <f t="shared" si="3"/>
        <v>High Wind</v>
      </c>
      <c r="N41" t="str">
        <f t="shared" si="4"/>
        <v>Low</v>
      </c>
      <c r="O41" t="str">
        <f t="shared" si="5"/>
        <v>Low</v>
      </c>
      <c r="P41" t="str">
        <f t="shared" si="6"/>
        <v>Low Demand</v>
      </c>
    </row>
    <row r="42" spans="1:16" ht="13.8">
      <c r="A42" s="13">
        <v>40</v>
      </c>
      <c r="B42" s="13">
        <v>41</v>
      </c>
      <c r="C42" s="13">
        <v>0.33329999999999999</v>
      </c>
      <c r="D42" s="13">
        <v>0.56999999999999995</v>
      </c>
      <c r="E42" s="13">
        <v>0.19400000000000001</v>
      </c>
      <c r="F42" s="13">
        <v>7</v>
      </c>
      <c r="G42" s="13">
        <v>58</v>
      </c>
      <c r="H42" s="13">
        <v>65</v>
      </c>
      <c r="J42" t="str">
        <f t="shared" si="0"/>
        <v>Unique</v>
      </c>
      <c r="K42" t="str">
        <f t="shared" si="1"/>
        <v>Hot</v>
      </c>
      <c r="L42" t="str">
        <f t="shared" si="2"/>
        <v>Low</v>
      </c>
      <c r="M42" t="str">
        <f t="shared" si="3"/>
        <v>High Wind</v>
      </c>
      <c r="N42" t="str">
        <f t="shared" si="4"/>
        <v>Low</v>
      </c>
      <c r="O42" t="str">
        <f t="shared" si="5"/>
        <v>Low</v>
      </c>
      <c r="P42" t="str">
        <f t="shared" si="6"/>
        <v>Low Demand</v>
      </c>
    </row>
    <row r="43" spans="1:16" ht="13.8">
      <c r="A43" s="13">
        <v>41</v>
      </c>
      <c r="B43" s="13">
        <v>42</v>
      </c>
      <c r="C43" s="13">
        <v>0.33329999999999999</v>
      </c>
      <c r="D43" s="13">
        <v>0.46</v>
      </c>
      <c r="E43" s="13">
        <v>0.32840000000000003</v>
      </c>
      <c r="F43" s="13">
        <v>10</v>
      </c>
      <c r="G43" s="13">
        <v>43</v>
      </c>
      <c r="H43" s="13">
        <v>53</v>
      </c>
      <c r="J43" t="str">
        <f t="shared" si="0"/>
        <v>Unique</v>
      </c>
      <c r="K43" t="str">
        <f t="shared" si="1"/>
        <v>Hot</v>
      </c>
      <c r="L43" t="str">
        <f t="shared" si="2"/>
        <v>Low</v>
      </c>
      <c r="M43" t="str">
        <f t="shared" si="3"/>
        <v>Medium Wind</v>
      </c>
      <c r="N43" t="str">
        <f t="shared" si="4"/>
        <v>Low</v>
      </c>
      <c r="O43" t="str">
        <f t="shared" si="5"/>
        <v>Low</v>
      </c>
      <c r="P43" t="str">
        <f t="shared" si="6"/>
        <v>Low Demand</v>
      </c>
    </row>
    <row r="44" spans="1:16" ht="13.8">
      <c r="A44" s="13">
        <v>42</v>
      </c>
      <c r="B44" s="13">
        <v>43</v>
      </c>
      <c r="C44" s="13">
        <v>0.28789999999999999</v>
      </c>
      <c r="D44" s="13">
        <v>0.42</v>
      </c>
      <c r="E44" s="13">
        <v>0.44779999999999998</v>
      </c>
      <c r="F44" s="13">
        <v>1</v>
      </c>
      <c r="G44" s="13">
        <v>29</v>
      </c>
      <c r="H44" s="13">
        <v>30</v>
      </c>
      <c r="J44" t="str">
        <f t="shared" si="0"/>
        <v>Unique</v>
      </c>
      <c r="K44" t="str">
        <f t="shared" si="1"/>
        <v>Hot</v>
      </c>
      <c r="L44" t="str">
        <f t="shared" si="2"/>
        <v>Low</v>
      </c>
      <c r="M44" t="str">
        <f t="shared" si="3"/>
        <v>Medium Wind</v>
      </c>
      <c r="N44" t="str">
        <f t="shared" si="4"/>
        <v>Low</v>
      </c>
      <c r="O44" t="str">
        <f t="shared" si="5"/>
        <v>Low</v>
      </c>
      <c r="P44" t="str">
        <f t="shared" si="6"/>
        <v>Low Demand</v>
      </c>
    </row>
    <row r="45" spans="1:16" ht="13.8">
      <c r="A45" s="13">
        <v>43</v>
      </c>
      <c r="B45" s="13">
        <v>44</v>
      </c>
      <c r="C45">
        <v>0</v>
      </c>
      <c r="D45" s="13">
        <v>0.39</v>
      </c>
      <c r="E45" s="13">
        <v>0.35820000000000002</v>
      </c>
      <c r="F45" s="13">
        <v>5</v>
      </c>
      <c r="G45" s="13">
        <v>17</v>
      </c>
      <c r="H45" s="13">
        <v>22</v>
      </c>
      <c r="J45" t="str">
        <f t="shared" si="0"/>
        <v>Unique</v>
      </c>
      <c r="K45" t="str">
        <f t="shared" si="1"/>
        <v>Hot</v>
      </c>
      <c r="L45" t="str">
        <f t="shared" si="2"/>
        <v>Low</v>
      </c>
      <c r="M45" t="str">
        <f t="shared" si="3"/>
        <v>Medium Wind</v>
      </c>
      <c r="N45" t="str">
        <f t="shared" si="4"/>
        <v>Low</v>
      </c>
      <c r="O45" t="str">
        <f t="shared" si="5"/>
        <v>Low</v>
      </c>
      <c r="P45" t="str">
        <f t="shared" si="6"/>
        <v>Low Demand</v>
      </c>
    </row>
    <row r="46" spans="1:16" ht="13.8">
      <c r="A46" s="13">
        <v>44</v>
      </c>
      <c r="B46" s="13">
        <v>45</v>
      </c>
      <c r="C46" s="13">
        <v>0.2273</v>
      </c>
      <c r="D46" s="13">
        <v>0.44</v>
      </c>
      <c r="E46" s="13">
        <v>0.32840000000000003</v>
      </c>
      <c r="F46" s="13">
        <v>11</v>
      </c>
      <c r="G46" s="13">
        <v>20</v>
      </c>
      <c r="H46" s="13">
        <v>31</v>
      </c>
      <c r="J46" t="str">
        <f t="shared" si="0"/>
        <v>Unique</v>
      </c>
      <c r="K46" t="str">
        <f t="shared" si="1"/>
        <v>Hot</v>
      </c>
      <c r="L46" t="str">
        <f t="shared" si="2"/>
        <v>Low</v>
      </c>
      <c r="M46" t="str">
        <f t="shared" si="3"/>
        <v>Medium Wind</v>
      </c>
      <c r="N46" t="str">
        <f t="shared" si="4"/>
        <v>Low</v>
      </c>
      <c r="O46" t="str">
        <f t="shared" si="5"/>
        <v>Low</v>
      </c>
      <c r="P46" t="str">
        <f t="shared" si="6"/>
        <v>Low Demand</v>
      </c>
    </row>
    <row r="47" spans="1:16" ht="13.8">
      <c r="A47" s="13">
        <v>45</v>
      </c>
      <c r="B47" s="13">
        <v>46</v>
      </c>
      <c r="C47" s="13">
        <v>0.21210000000000001</v>
      </c>
      <c r="D47" s="13">
        <v>0.44</v>
      </c>
      <c r="E47" s="13">
        <v>0.29849999999999999</v>
      </c>
      <c r="F47" s="13">
        <v>0</v>
      </c>
      <c r="G47" s="13">
        <v>9</v>
      </c>
      <c r="H47" s="13">
        <v>9</v>
      </c>
      <c r="J47" t="str">
        <f t="shared" si="0"/>
        <v>Unique</v>
      </c>
      <c r="K47" t="str">
        <f t="shared" si="1"/>
        <v>Hot</v>
      </c>
      <c r="L47" t="str">
        <f t="shared" si="2"/>
        <v>Low</v>
      </c>
      <c r="M47" t="str">
        <f t="shared" si="3"/>
        <v>Medium Wind</v>
      </c>
      <c r="N47" t="str">
        <f t="shared" si="4"/>
        <v>Low</v>
      </c>
      <c r="O47" t="str">
        <f t="shared" si="5"/>
        <v>Low</v>
      </c>
      <c r="P47" t="str">
        <f t="shared" si="6"/>
        <v>Low Demand</v>
      </c>
    </row>
    <row r="48" spans="1:16" ht="13.8">
      <c r="A48" s="13">
        <v>46</v>
      </c>
      <c r="B48" s="13">
        <v>47</v>
      </c>
      <c r="C48" s="13">
        <v>0.2273</v>
      </c>
      <c r="D48" s="13">
        <v>0.47</v>
      </c>
      <c r="E48" s="13">
        <v>0.16420000000000001</v>
      </c>
      <c r="F48" s="13">
        <v>0</v>
      </c>
      <c r="G48" s="13">
        <v>8</v>
      </c>
      <c r="H48" s="13">
        <v>8</v>
      </c>
      <c r="J48" t="str">
        <f t="shared" si="0"/>
        <v>Unique</v>
      </c>
      <c r="K48" t="str">
        <f t="shared" si="1"/>
        <v>Hot</v>
      </c>
      <c r="L48" t="str">
        <f t="shared" si="2"/>
        <v>Low</v>
      </c>
      <c r="M48" t="str">
        <f t="shared" si="3"/>
        <v>Medium Wind</v>
      </c>
      <c r="N48" t="str">
        <f t="shared" si="4"/>
        <v>Low</v>
      </c>
      <c r="O48" t="str">
        <f t="shared" si="5"/>
        <v>Low</v>
      </c>
      <c r="P48" t="str">
        <f t="shared" si="6"/>
        <v>Low Demand</v>
      </c>
    </row>
    <row r="49" spans="1:16" ht="13.8">
      <c r="A49" s="13">
        <v>47</v>
      </c>
      <c r="B49" s="13">
        <v>48</v>
      </c>
      <c r="C49" s="13">
        <v>0.19700000000000001</v>
      </c>
      <c r="D49" s="13">
        <v>0.44</v>
      </c>
      <c r="E49" s="13">
        <v>0.35820000000000002</v>
      </c>
      <c r="F49" s="13">
        <v>0</v>
      </c>
      <c r="G49" s="13">
        <v>5</v>
      </c>
      <c r="H49" s="13">
        <v>5</v>
      </c>
      <c r="J49" t="str">
        <f t="shared" si="0"/>
        <v>Unique</v>
      </c>
      <c r="K49" t="str">
        <f t="shared" si="1"/>
        <v>Hot</v>
      </c>
      <c r="L49" t="str">
        <f t="shared" si="2"/>
        <v>Low</v>
      </c>
      <c r="M49" t="str">
        <f t="shared" si="3"/>
        <v>Medium Wind</v>
      </c>
      <c r="N49" t="str">
        <f t="shared" si="4"/>
        <v>Low</v>
      </c>
      <c r="O49" t="str">
        <f t="shared" si="5"/>
        <v>Low</v>
      </c>
      <c r="P49" t="str">
        <f t="shared" si="6"/>
        <v>Low Demand</v>
      </c>
    </row>
    <row r="50" spans="1:16" ht="13.8">
      <c r="A50" s="13">
        <v>48</v>
      </c>
      <c r="B50" s="13">
        <v>49</v>
      </c>
      <c r="C50">
        <v>0</v>
      </c>
      <c r="D50" s="13">
        <v>0.44</v>
      </c>
      <c r="E50" s="13">
        <v>0.41789999999999999</v>
      </c>
      <c r="F50" s="13">
        <v>0</v>
      </c>
      <c r="G50" s="13">
        <v>2</v>
      </c>
      <c r="H50" s="13">
        <v>2</v>
      </c>
      <c r="J50" t="str">
        <f t="shared" si="0"/>
        <v>Unique</v>
      </c>
      <c r="K50" t="str">
        <f t="shared" si="1"/>
        <v>Hot</v>
      </c>
      <c r="L50" t="str">
        <f t="shared" si="2"/>
        <v>Low</v>
      </c>
      <c r="M50" t="str">
        <f t="shared" si="3"/>
        <v>Medium Wind</v>
      </c>
      <c r="N50" t="str">
        <f t="shared" si="4"/>
        <v>Low</v>
      </c>
      <c r="O50" t="str">
        <f t="shared" si="5"/>
        <v>Low</v>
      </c>
      <c r="P50" t="str">
        <f t="shared" si="6"/>
        <v>Low Demand</v>
      </c>
    </row>
    <row r="51" spans="1:16" ht="13.8">
      <c r="A51" s="13">
        <v>49</v>
      </c>
      <c r="B51" s="13">
        <v>50</v>
      </c>
      <c r="C51" s="13">
        <v>0.13639999999999999</v>
      </c>
      <c r="D51" s="13">
        <v>0.47</v>
      </c>
      <c r="E51" s="13">
        <v>0.3881</v>
      </c>
      <c r="F51" s="13">
        <v>0</v>
      </c>
      <c r="G51" s="13">
        <v>1</v>
      </c>
      <c r="H51" s="13">
        <v>1</v>
      </c>
      <c r="J51" t="str">
        <f t="shared" si="0"/>
        <v>Unique</v>
      </c>
      <c r="K51" t="str">
        <f t="shared" si="1"/>
        <v>Hot</v>
      </c>
      <c r="L51" t="str">
        <f t="shared" si="2"/>
        <v>Low</v>
      </c>
      <c r="M51" t="str">
        <f t="shared" si="3"/>
        <v>Medium Wind</v>
      </c>
      <c r="N51" t="str">
        <f t="shared" si="4"/>
        <v>Low</v>
      </c>
      <c r="O51" t="str">
        <f t="shared" si="5"/>
        <v>Low</v>
      </c>
      <c r="P51" t="str">
        <f t="shared" si="6"/>
        <v>Low Demand</v>
      </c>
    </row>
    <row r="52" spans="1:16" ht="13.8">
      <c r="A52" s="13">
        <v>50</v>
      </c>
      <c r="B52" s="13">
        <v>51</v>
      </c>
      <c r="C52" s="13">
        <v>0.13639999999999999</v>
      </c>
      <c r="D52" s="13">
        <v>0.47</v>
      </c>
      <c r="E52" s="13">
        <v>0.28360000000000002</v>
      </c>
      <c r="F52" s="13">
        <v>0</v>
      </c>
      <c r="G52" s="13">
        <v>3</v>
      </c>
      <c r="H52" s="13">
        <v>3</v>
      </c>
      <c r="J52" t="str">
        <f t="shared" si="0"/>
        <v>Unique</v>
      </c>
      <c r="K52" t="str">
        <f t="shared" si="1"/>
        <v>Hot</v>
      </c>
      <c r="L52" t="str">
        <f t="shared" si="2"/>
        <v>Low</v>
      </c>
      <c r="M52" t="str">
        <f t="shared" si="3"/>
        <v>Medium Wind</v>
      </c>
      <c r="N52" t="str">
        <f t="shared" si="4"/>
        <v>Low</v>
      </c>
      <c r="O52" t="str">
        <f t="shared" si="5"/>
        <v>Low</v>
      </c>
      <c r="P52" t="str">
        <f t="shared" si="6"/>
        <v>Low Demand</v>
      </c>
    </row>
    <row r="53" spans="1:16" ht="13.8">
      <c r="A53" s="13">
        <v>51</v>
      </c>
      <c r="B53" s="13">
        <v>52</v>
      </c>
      <c r="C53" s="13">
        <v>0.1061</v>
      </c>
      <c r="D53" s="13">
        <v>0.5</v>
      </c>
      <c r="E53" s="13">
        <v>0.3881</v>
      </c>
      <c r="F53" s="13">
        <v>0</v>
      </c>
      <c r="G53" s="13">
        <v>30</v>
      </c>
      <c r="H53" s="13">
        <v>30</v>
      </c>
      <c r="J53" t="str">
        <f t="shared" si="0"/>
        <v>Unique</v>
      </c>
      <c r="K53" t="str">
        <f t="shared" si="1"/>
        <v>Hot</v>
      </c>
      <c r="L53" t="str">
        <f t="shared" si="2"/>
        <v>Low</v>
      </c>
      <c r="M53" t="str">
        <f t="shared" si="3"/>
        <v>High Wind</v>
      </c>
      <c r="N53" t="str">
        <f t="shared" si="4"/>
        <v>Low</v>
      </c>
      <c r="O53" t="str">
        <f t="shared" si="5"/>
        <v>Low</v>
      </c>
      <c r="P53" t="str">
        <f t="shared" si="6"/>
        <v>Low Demand</v>
      </c>
    </row>
    <row r="54" spans="1:16" ht="13.8">
      <c r="A54" s="13">
        <v>52</v>
      </c>
      <c r="B54" s="13">
        <v>53</v>
      </c>
      <c r="C54" s="13">
        <v>0.13639999999999999</v>
      </c>
      <c r="D54" s="13">
        <v>0.5</v>
      </c>
      <c r="E54" s="13">
        <v>0.19400000000000001</v>
      </c>
      <c r="F54" s="13">
        <v>1</v>
      </c>
      <c r="G54" s="13">
        <v>63</v>
      </c>
      <c r="H54" s="13">
        <v>64</v>
      </c>
      <c r="J54" t="str">
        <f t="shared" si="0"/>
        <v>Unique</v>
      </c>
      <c r="K54" t="str">
        <f t="shared" si="1"/>
        <v>Hot</v>
      </c>
      <c r="L54" t="str">
        <f t="shared" si="2"/>
        <v>Low</v>
      </c>
      <c r="M54" t="str">
        <f t="shared" si="3"/>
        <v>High Wind</v>
      </c>
      <c r="N54" t="str">
        <f t="shared" si="4"/>
        <v>Low</v>
      </c>
      <c r="O54" t="str">
        <f t="shared" si="5"/>
        <v>Low</v>
      </c>
      <c r="P54" t="str">
        <f t="shared" si="6"/>
        <v>Low Demand</v>
      </c>
    </row>
    <row r="55" spans="1:16" ht="13.8">
      <c r="A55" s="13">
        <v>53</v>
      </c>
      <c r="B55" s="13">
        <v>54</v>
      </c>
      <c r="C55" s="13">
        <v>0.1212</v>
      </c>
      <c r="D55" s="13">
        <v>0.5</v>
      </c>
      <c r="E55" s="13">
        <v>0.28360000000000002</v>
      </c>
      <c r="F55" s="13">
        <v>1</v>
      </c>
      <c r="G55" s="13">
        <v>153</v>
      </c>
      <c r="H55" s="13">
        <v>154</v>
      </c>
      <c r="J55" t="str">
        <f t="shared" si="0"/>
        <v>Unique</v>
      </c>
      <c r="K55" t="str">
        <f t="shared" si="1"/>
        <v>Hot</v>
      </c>
      <c r="L55" t="str">
        <f t="shared" si="2"/>
        <v>Low</v>
      </c>
      <c r="M55" t="str">
        <f t="shared" si="3"/>
        <v>High Wind</v>
      </c>
      <c r="N55" t="str">
        <f t="shared" si="4"/>
        <v>Low</v>
      </c>
      <c r="O55" t="str">
        <f t="shared" si="5"/>
        <v>Low</v>
      </c>
      <c r="P55" t="str">
        <f t="shared" si="6"/>
        <v>Medium Demand</v>
      </c>
    </row>
    <row r="56" spans="1:16" ht="13.8">
      <c r="A56" s="13">
        <v>54</v>
      </c>
      <c r="B56" s="13">
        <v>55</v>
      </c>
      <c r="C56" s="13">
        <v>0.13639999999999999</v>
      </c>
      <c r="D56" s="13">
        <v>0.43</v>
      </c>
      <c r="E56" s="13">
        <v>0.3881</v>
      </c>
      <c r="F56" s="13">
        <v>7</v>
      </c>
      <c r="G56" s="13">
        <v>81</v>
      </c>
      <c r="H56" s="13">
        <v>88</v>
      </c>
      <c r="J56" t="str">
        <f t="shared" si="0"/>
        <v>Unique</v>
      </c>
      <c r="K56" t="str">
        <f t="shared" si="1"/>
        <v>Hot</v>
      </c>
      <c r="L56" t="str">
        <f t="shared" si="2"/>
        <v>Low</v>
      </c>
      <c r="M56" t="str">
        <f t="shared" si="3"/>
        <v>Medium Wind</v>
      </c>
      <c r="N56" t="str">
        <f t="shared" si="4"/>
        <v>Low</v>
      </c>
      <c r="O56" t="str">
        <f t="shared" si="5"/>
        <v>Low</v>
      </c>
      <c r="P56" t="str">
        <f t="shared" si="6"/>
        <v>Low Demand</v>
      </c>
    </row>
    <row r="57" spans="1:16" ht="13.8">
      <c r="A57" s="13">
        <v>55</v>
      </c>
      <c r="B57" s="13">
        <v>56</v>
      </c>
      <c r="C57" s="13">
        <v>0.16669999999999999</v>
      </c>
      <c r="D57" s="13">
        <v>0.43</v>
      </c>
      <c r="E57" s="13">
        <v>0.25369999999999998</v>
      </c>
      <c r="F57" s="13">
        <v>11</v>
      </c>
      <c r="G57" s="13">
        <v>33</v>
      </c>
      <c r="H57" s="13">
        <v>44</v>
      </c>
      <c r="J57" t="str">
        <f t="shared" si="0"/>
        <v>Unique</v>
      </c>
      <c r="K57" t="str">
        <f t="shared" si="1"/>
        <v>Hot</v>
      </c>
      <c r="L57" t="str">
        <f t="shared" si="2"/>
        <v>Low</v>
      </c>
      <c r="M57" t="str">
        <f t="shared" si="3"/>
        <v>Medium Wind</v>
      </c>
      <c r="N57" t="str">
        <f t="shared" si="4"/>
        <v>Low</v>
      </c>
      <c r="O57" t="str">
        <f t="shared" si="5"/>
        <v>Low</v>
      </c>
      <c r="P57" t="str">
        <f t="shared" si="6"/>
        <v>Low Demand</v>
      </c>
    </row>
    <row r="58" spans="1:16" ht="13.8">
      <c r="A58" s="13">
        <v>56</v>
      </c>
      <c r="B58" s="13">
        <v>57</v>
      </c>
      <c r="C58" s="13">
        <v>0.18179999999999999</v>
      </c>
      <c r="D58" s="13">
        <v>0.4</v>
      </c>
      <c r="E58" s="13">
        <v>0.32840000000000003</v>
      </c>
      <c r="F58" s="13">
        <v>10</v>
      </c>
      <c r="G58" s="13">
        <v>41</v>
      </c>
      <c r="H58" s="13">
        <v>51</v>
      </c>
      <c r="J58" t="str">
        <f t="shared" si="0"/>
        <v>Unique</v>
      </c>
      <c r="K58" t="str">
        <f t="shared" si="1"/>
        <v>Hot</v>
      </c>
      <c r="L58" t="str">
        <f t="shared" si="2"/>
        <v>Low</v>
      </c>
      <c r="M58" t="str">
        <f t="shared" si="3"/>
        <v>Medium Wind</v>
      </c>
      <c r="N58" t="str">
        <f t="shared" si="4"/>
        <v>Low</v>
      </c>
      <c r="O58" t="str">
        <f t="shared" si="5"/>
        <v>Low</v>
      </c>
      <c r="P58" t="str">
        <f t="shared" si="6"/>
        <v>Low Demand</v>
      </c>
    </row>
    <row r="59" spans="1:16" ht="13.8">
      <c r="A59" s="13">
        <v>57</v>
      </c>
      <c r="B59" s="13">
        <v>58</v>
      </c>
      <c r="C59" s="13">
        <v>0.21210000000000001</v>
      </c>
      <c r="D59" s="13">
        <v>0.35</v>
      </c>
      <c r="E59" s="13">
        <v>0.29849999999999999</v>
      </c>
      <c r="F59" s="13">
        <v>13</v>
      </c>
      <c r="G59" s="13">
        <v>48</v>
      </c>
      <c r="H59" s="13">
        <v>61</v>
      </c>
      <c r="J59" t="str">
        <f t="shared" si="0"/>
        <v>Unique</v>
      </c>
      <c r="K59" t="str">
        <f t="shared" si="1"/>
        <v>Hot</v>
      </c>
      <c r="L59" t="str">
        <f t="shared" si="2"/>
        <v>Low</v>
      </c>
      <c r="M59" t="str">
        <f t="shared" si="3"/>
        <v>Medium Wind</v>
      </c>
      <c r="N59" t="str">
        <f t="shared" si="4"/>
        <v>Low</v>
      </c>
      <c r="O59" t="str">
        <f t="shared" si="5"/>
        <v>Low</v>
      </c>
      <c r="P59" t="str">
        <f t="shared" si="6"/>
        <v>Low Demand</v>
      </c>
    </row>
    <row r="60" spans="1:16" ht="13.8">
      <c r="A60" s="13">
        <v>58</v>
      </c>
      <c r="B60" s="13">
        <v>59</v>
      </c>
      <c r="C60">
        <v>0</v>
      </c>
      <c r="D60" s="13">
        <v>0.35</v>
      </c>
      <c r="E60" s="13">
        <v>0.28360000000000002</v>
      </c>
      <c r="F60" s="13">
        <v>8</v>
      </c>
      <c r="G60" s="13">
        <v>53</v>
      </c>
      <c r="H60" s="13">
        <v>61</v>
      </c>
      <c r="J60" t="str">
        <f t="shared" si="0"/>
        <v>Unique</v>
      </c>
      <c r="K60" t="str">
        <f t="shared" si="1"/>
        <v>Hot</v>
      </c>
      <c r="L60" t="str">
        <f t="shared" si="2"/>
        <v>Low</v>
      </c>
      <c r="M60" t="str">
        <f t="shared" si="3"/>
        <v>Medium Wind</v>
      </c>
      <c r="N60" t="str">
        <f t="shared" si="4"/>
        <v>Low</v>
      </c>
      <c r="O60" t="str">
        <f t="shared" si="5"/>
        <v>Low</v>
      </c>
      <c r="P60" t="str">
        <f t="shared" si="6"/>
        <v>Low Demand</v>
      </c>
    </row>
    <row r="61" spans="1:16" ht="13.8">
      <c r="A61" s="13">
        <v>59</v>
      </c>
      <c r="B61" s="13">
        <v>60</v>
      </c>
      <c r="C61" s="13">
        <v>0.2424</v>
      </c>
      <c r="D61" s="13">
        <v>0.3</v>
      </c>
      <c r="E61" s="13">
        <v>0.28360000000000002</v>
      </c>
      <c r="F61" s="13">
        <v>11</v>
      </c>
      <c r="G61" s="13">
        <v>66</v>
      </c>
      <c r="H61" s="13">
        <v>77</v>
      </c>
      <c r="J61" t="str">
        <f t="shared" si="0"/>
        <v>Unique</v>
      </c>
      <c r="K61" t="str">
        <f t="shared" si="1"/>
        <v>Hot</v>
      </c>
      <c r="L61" t="str">
        <f t="shared" si="2"/>
        <v>Low</v>
      </c>
      <c r="M61" t="str">
        <f t="shared" si="3"/>
        <v>Medium Wind</v>
      </c>
      <c r="N61" t="str">
        <f t="shared" si="4"/>
        <v>Low</v>
      </c>
      <c r="O61" t="str">
        <f t="shared" si="5"/>
        <v>Low</v>
      </c>
      <c r="P61" t="str">
        <f t="shared" si="6"/>
        <v>Low Demand</v>
      </c>
    </row>
    <row r="62" spans="1:16" ht="13.8">
      <c r="A62" s="13">
        <v>60</v>
      </c>
      <c r="B62" s="13">
        <v>61</v>
      </c>
      <c r="C62" s="13">
        <v>0.2424</v>
      </c>
      <c r="D62" s="13">
        <v>0.3</v>
      </c>
      <c r="E62" s="13">
        <v>0.25369999999999998</v>
      </c>
      <c r="F62" s="13">
        <v>14</v>
      </c>
      <c r="G62" s="13">
        <v>58</v>
      </c>
      <c r="H62" s="13">
        <v>72</v>
      </c>
      <c r="J62" t="str">
        <f t="shared" si="0"/>
        <v>Unique</v>
      </c>
      <c r="K62" t="str">
        <f t="shared" si="1"/>
        <v>Hot</v>
      </c>
      <c r="L62" t="str">
        <f t="shared" si="2"/>
        <v>Low</v>
      </c>
      <c r="M62" t="str">
        <f t="shared" si="3"/>
        <v>Medium Wind</v>
      </c>
      <c r="N62" t="str">
        <f t="shared" si="4"/>
        <v>Low</v>
      </c>
      <c r="O62" t="str">
        <f t="shared" si="5"/>
        <v>Low</v>
      </c>
      <c r="P62" t="str">
        <f t="shared" si="6"/>
        <v>Low Demand</v>
      </c>
    </row>
    <row r="63" spans="1:16" ht="13.8">
      <c r="A63" s="13">
        <v>61</v>
      </c>
      <c r="B63" s="13">
        <v>62</v>
      </c>
      <c r="C63" s="13">
        <v>0.2424</v>
      </c>
      <c r="D63" s="13">
        <v>0.3</v>
      </c>
      <c r="E63" s="13">
        <v>0.25369999999999998</v>
      </c>
      <c r="F63" s="13">
        <v>9</v>
      </c>
      <c r="G63" s="13">
        <v>67</v>
      </c>
      <c r="H63" s="13">
        <v>76</v>
      </c>
      <c r="J63" t="str">
        <f t="shared" si="0"/>
        <v>Unique</v>
      </c>
      <c r="K63" t="str">
        <f t="shared" si="1"/>
        <v>Hot</v>
      </c>
      <c r="L63" t="str">
        <f t="shared" si="2"/>
        <v>Low</v>
      </c>
      <c r="M63" t="str">
        <f t="shared" si="3"/>
        <v>Medium Wind</v>
      </c>
      <c r="N63" t="str">
        <f t="shared" si="4"/>
        <v>Low</v>
      </c>
      <c r="O63" t="str">
        <f t="shared" si="5"/>
        <v>Low</v>
      </c>
      <c r="P63" t="str">
        <f t="shared" si="6"/>
        <v>Low Demand</v>
      </c>
    </row>
    <row r="64" spans="1:16" ht="13.8">
      <c r="A64" s="13">
        <v>62</v>
      </c>
      <c r="B64" s="13">
        <v>63</v>
      </c>
      <c r="C64" s="13">
        <v>0.2273</v>
      </c>
      <c r="D64" s="13">
        <v>0.3</v>
      </c>
      <c r="E64" s="13">
        <v>0.22389999999999999</v>
      </c>
      <c r="F64" s="13">
        <v>11</v>
      </c>
      <c r="G64" s="13">
        <v>146</v>
      </c>
      <c r="H64" s="13">
        <v>157</v>
      </c>
      <c r="J64" t="str">
        <f t="shared" si="0"/>
        <v>Unique</v>
      </c>
      <c r="K64" t="str">
        <f t="shared" si="1"/>
        <v>Hot</v>
      </c>
      <c r="L64" t="str">
        <f t="shared" si="2"/>
        <v>Low</v>
      </c>
      <c r="M64" t="str">
        <f t="shared" si="3"/>
        <v>Medium Wind</v>
      </c>
      <c r="N64" t="str">
        <f t="shared" si="4"/>
        <v>Low</v>
      </c>
      <c r="O64" t="str">
        <f t="shared" si="5"/>
        <v>Low</v>
      </c>
      <c r="P64" t="str">
        <f t="shared" si="6"/>
        <v>Medium Demand</v>
      </c>
    </row>
    <row r="65" spans="1:16" ht="13.8">
      <c r="A65" s="13">
        <v>63</v>
      </c>
      <c r="B65" s="13">
        <v>64</v>
      </c>
      <c r="C65" s="13">
        <v>0.2576</v>
      </c>
      <c r="D65" s="13">
        <v>0.32</v>
      </c>
      <c r="E65" s="13">
        <v>0.1045</v>
      </c>
      <c r="F65" s="13">
        <v>9</v>
      </c>
      <c r="G65" s="13">
        <v>148</v>
      </c>
      <c r="H65" s="13">
        <v>157</v>
      </c>
      <c r="J65" t="str">
        <f t="shared" si="0"/>
        <v>Unique</v>
      </c>
      <c r="K65" t="str">
        <f t="shared" si="1"/>
        <v>Hot</v>
      </c>
      <c r="L65" t="str">
        <f t="shared" si="2"/>
        <v>Low</v>
      </c>
      <c r="M65" t="str">
        <f t="shared" si="3"/>
        <v>Medium Wind</v>
      </c>
      <c r="N65" t="str">
        <f t="shared" si="4"/>
        <v>Low</v>
      </c>
      <c r="O65" t="str">
        <f t="shared" si="5"/>
        <v>Low</v>
      </c>
      <c r="P65" t="str">
        <f t="shared" si="6"/>
        <v>Medium Demand</v>
      </c>
    </row>
    <row r="66" spans="1:16" ht="13.8">
      <c r="A66" s="13">
        <v>64</v>
      </c>
      <c r="B66" s="13">
        <v>65</v>
      </c>
      <c r="C66" s="13">
        <v>0.2576</v>
      </c>
      <c r="D66" s="13">
        <v>0.47</v>
      </c>
      <c r="E66" s="13">
        <v>0</v>
      </c>
      <c r="F66" s="13">
        <v>8</v>
      </c>
      <c r="G66" s="13">
        <v>102</v>
      </c>
      <c r="H66" s="13">
        <v>110</v>
      </c>
      <c r="J66" t="str">
        <f t="shared" si="0"/>
        <v>Unique</v>
      </c>
      <c r="K66" t="str">
        <f t="shared" si="1"/>
        <v>Hot</v>
      </c>
      <c r="L66" t="str">
        <f t="shared" si="2"/>
        <v>Low</v>
      </c>
      <c r="M66" t="str">
        <f t="shared" si="3"/>
        <v>Medium Wind</v>
      </c>
      <c r="N66" t="str">
        <f t="shared" si="4"/>
        <v>Low</v>
      </c>
      <c r="O66" t="str">
        <f t="shared" si="5"/>
        <v>Low</v>
      </c>
      <c r="P66" t="str">
        <f t="shared" si="6"/>
        <v>Medium Demand</v>
      </c>
    </row>
    <row r="67" spans="1:16" ht="13.8">
      <c r="A67" s="13">
        <v>65</v>
      </c>
      <c r="B67" s="13">
        <v>66</v>
      </c>
      <c r="C67">
        <v>0</v>
      </c>
      <c r="D67" s="13">
        <v>0.47</v>
      </c>
      <c r="E67" s="13">
        <v>0.1045</v>
      </c>
      <c r="F67" s="13">
        <v>3</v>
      </c>
      <c r="G67" s="13">
        <v>49</v>
      </c>
      <c r="H67" s="13">
        <v>52</v>
      </c>
      <c r="J67" t="str">
        <f t="shared" ref="J67:J130" si="7">IF(COUNTIF(A:A,A67)&gt;1,"Duplicate","Unique")</f>
        <v>Unique</v>
      </c>
      <c r="K67" t="str">
        <f t="shared" ref="K67:K130" si="8">IF(B67&lt;0.3,"Cold",IF(B67&lt;0.6,"Normal","Hot"))</f>
        <v>Hot</v>
      </c>
      <c r="L67" t="str">
        <f t="shared" ref="L67:L130" si="9">IF(C67&lt;0.4,"Low",IF(C67&lt;0.7,"Medium","High"))</f>
        <v>Low</v>
      </c>
      <c r="M67" t="str">
        <f t="shared" ref="M67:M130" si="10">IF(D67&lt;0.2,"Low Wind",IF(D67&lt;0.5,"Medium Wind","High Wind"))</f>
        <v>Medium Wind</v>
      </c>
      <c r="N67" t="str">
        <f t="shared" ref="N67:N130" si="11">IF(E67&lt;50,"Low",IF(E67&lt;150,"Medium","High"))</f>
        <v>Low</v>
      </c>
      <c r="O67" t="str">
        <f t="shared" ref="O67:O130" si="12">IF(F67&lt;100,"Low",IF(F67&lt;300,"Medium","High"))</f>
        <v>Low</v>
      </c>
      <c r="P67" t="str">
        <f t="shared" ref="P67:P130" si="13">IF(G67&lt;100,"Low Demand",IF(G67&lt;300,"Medium Demand","High Demand"))</f>
        <v>Low Demand</v>
      </c>
    </row>
    <row r="68" spans="1:16" ht="13.8">
      <c r="A68" s="13">
        <v>66</v>
      </c>
      <c r="B68" s="13">
        <v>67</v>
      </c>
      <c r="C68" s="13">
        <v>0.19700000000000001</v>
      </c>
      <c r="D68" s="13">
        <v>0.64</v>
      </c>
      <c r="E68" s="13">
        <v>0.1343</v>
      </c>
      <c r="F68" s="13">
        <v>3</v>
      </c>
      <c r="G68" s="13">
        <v>49</v>
      </c>
      <c r="H68" s="13">
        <v>52</v>
      </c>
      <c r="J68" t="str">
        <f t="shared" si="7"/>
        <v>Unique</v>
      </c>
      <c r="K68" t="str">
        <f t="shared" si="8"/>
        <v>Hot</v>
      </c>
      <c r="L68" t="str">
        <f t="shared" si="9"/>
        <v>Low</v>
      </c>
      <c r="M68" t="str">
        <f t="shared" si="10"/>
        <v>High Wind</v>
      </c>
      <c r="N68" t="str">
        <f t="shared" si="11"/>
        <v>Low</v>
      </c>
      <c r="O68" t="str">
        <f t="shared" si="12"/>
        <v>Low</v>
      </c>
      <c r="P68" t="str">
        <f t="shared" si="13"/>
        <v>Low Demand</v>
      </c>
    </row>
    <row r="69" spans="1:16" ht="13.8">
      <c r="A69" s="13">
        <v>67</v>
      </c>
      <c r="B69" s="13">
        <v>68</v>
      </c>
      <c r="C69" s="13">
        <v>0.1515</v>
      </c>
      <c r="D69" s="13">
        <v>0.69</v>
      </c>
      <c r="E69" s="13">
        <v>0.1343</v>
      </c>
      <c r="F69" s="13">
        <v>0</v>
      </c>
      <c r="G69" s="13">
        <v>20</v>
      </c>
      <c r="H69" s="13">
        <v>20</v>
      </c>
      <c r="J69" t="str">
        <f t="shared" si="7"/>
        <v>Unique</v>
      </c>
      <c r="K69" t="str">
        <f t="shared" si="8"/>
        <v>Hot</v>
      </c>
      <c r="L69" t="str">
        <f t="shared" si="9"/>
        <v>Low</v>
      </c>
      <c r="M69" t="str">
        <f t="shared" si="10"/>
        <v>High Wind</v>
      </c>
      <c r="N69" t="str">
        <f t="shared" si="11"/>
        <v>Low</v>
      </c>
      <c r="O69" t="str">
        <f t="shared" si="12"/>
        <v>Low</v>
      </c>
      <c r="P69" t="str">
        <f t="shared" si="13"/>
        <v>Low Demand</v>
      </c>
    </row>
    <row r="70" spans="1:16" ht="13.8">
      <c r="A70" s="13">
        <v>68</v>
      </c>
      <c r="B70" s="13">
        <v>69</v>
      </c>
      <c r="C70" s="13">
        <v>0.21210000000000001</v>
      </c>
      <c r="D70" s="13">
        <v>0.55000000000000004</v>
      </c>
      <c r="E70" s="13">
        <v>0.1045</v>
      </c>
      <c r="F70" s="13">
        <v>1</v>
      </c>
      <c r="G70" s="13">
        <v>11</v>
      </c>
      <c r="H70" s="13">
        <v>12</v>
      </c>
      <c r="J70" t="str">
        <f t="shared" si="7"/>
        <v>Unique</v>
      </c>
      <c r="K70" t="str">
        <f t="shared" si="8"/>
        <v>Hot</v>
      </c>
      <c r="L70" t="str">
        <f t="shared" si="9"/>
        <v>Low</v>
      </c>
      <c r="M70" t="str">
        <f t="shared" si="10"/>
        <v>High Wind</v>
      </c>
      <c r="N70" t="str">
        <f t="shared" si="11"/>
        <v>Low</v>
      </c>
      <c r="O70" t="str">
        <f t="shared" si="12"/>
        <v>Low</v>
      </c>
      <c r="P70" t="str">
        <f t="shared" si="13"/>
        <v>Low Demand</v>
      </c>
    </row>
    <row r="71" spans="1:16" ht="13.8">
      <c r="A71" s="13">
        <v>69</v>
      </c>
      <c r="B71" s="13">
        <v>70</v>
      </c>
      <c r="C71">
        <v>0</v>
      </c>
      <c r="D71" s="13">
        <v>0.55000000000000004</v>
      </c>
      <c r="E71" s="13">
        <v>0.1045</v>
      </c>
      <c r="F71" s="13">
        <v>0</v>
      </c>
      <c r="G71" s="13">
        <v>5</v>
      </c>
      <c r="H71" s="13">
        <v>5</v>
      </c>
      <c r="J71" t="str">
        <f t="shared" si="7"/>
        <v>Unique</v>
      </c>
      <c r="K71" t="str">
        <f t="shared" si="8"/>
        <v>Hot</v>
      </c>
      <c r="L71" t="str">
        <f t="shared" si="9"/>
        <v>Low</v>
      </c>
      <c r="M71" t="str">
        <f t="shared" si="10"/>
        <v>High Wind</v>
      </c>
      <c r="N71" t="str">
        <f t="shared" si="11"/>
        <v>Low</v>
      </c>
      <c r="O71" t="str">
        <f t="shared" si="12"/>
        <v>Low</v>
      </c>
      <c r="P71" t="str">
        <f t="shared" si="13"/>
        <v>Low Demand</v>
      </c>
    </row>
    <row r="72" spans="1:16" ht="13.8">
      <c r="A72" s="13">
        <v>70</v>
      </c>
      <c r="B72" s="13">
        <v>71</v>
      </c>
      <c r="C72" s="13">
        <v>0.18179999999999999</v>
      </c>
      <c r="D72" s="13">
        <v>0.59</v>
      </c>
      <c r="E72" s="13">
        <v>0.1045</v>
      </c>
      <c r="F72" s="13">
        <v>0</v>
      </c>
      <c r="G72" s="13">
        <v>2</v>
      </c>
      <c r="H72" s="13">
        <v>2</v>
      </c>
      <c r="J72" t="str">
        <f t="shared" si="7"/>
        <v>Unique</v>
      </c>
      <c r="K72" t="str">
        <f t="shared" si="8"/>
        <v>Hot</v>
      </c>
      <c r="L72" t="str">
        <f t="shared" si="9"/>
        <v>Low</v>
      </c>
      <c r="M72" t="str">
        <f t="shared" si="10"/>
        <v>High Wind</v>
      </c>
      <c r="N72" t="str">
        <f t="shared" si="11"/>
        <v>Low</v>
      </c>
      <c r="O72" t="str">
        <f t="shared" si="12"/>
        <v>Low</v>
      </c>
      <c r="P72" t="str">
        <f t="shared" si="13"/>
        <v>Low Demand</v>
      </c>
    </row>
    <row r="73" spans="1:16" ht="13.8">
      <c r="A73" s="13">
        <v>71</v>
      </c>
      <c r="B73" s="13">
        <v>72</v>
      </c>
      <c r="C73" s="13">
        <v>0.1515</v>
      </c>
      <c r="D73" s="13">
        <v>0.63</v>
      </c>
      <c r="E73" s="13">
        <v>0.1343</v>
      </c>
      <c r="F73" s="13">
        <v>0</v>
      </c>
      <c r="G73" s="13">
        <v>1</v>
      </c>
      <c r="H73" s="13">
        <v>1</v>
      </c>
      <c r="J73" t="str">
        <f t="shared" si="7"/>
        <v>Unique</v>
      </c>
      <c r="K73" t="str">
        <f t="shared" si="8"/>
        <v>Hot</v>
      </c>
      <c r="L73" t="str">
        <f t="shared" si="9"/>
        <v>Low</v>
      </c>
      <c r="M73" t="str">
        <f t="shared" si="10"/>
        <v>High Wind</v>
      </c>
      <c r="N73" t="str">
        <f t="shared" si="11"/>
        <v>Low</v>
      </c>
      <c r="O73" t="str">
        <f t="shared" si="12"/>
        <v>Low</v>
      </c>
      <c r="P73" t="str">
        <f t="shared" si="13"/>
        <v>Low Demand</v>
      </c>
    </row>
    <row r="74" spans="1:16" ht="13.8">
      <c r="A74" s="13">
        <v>72</v>
      </c>
      <c r="B74" s="13">
        <v>73</v>
      </c>
      <c r="C74" s="13">
        <v>0.18179999999999999</v>
      </c>
      <c r="D74" s="13">
        <v>0.63</v>
      </c>
      <c r="E74" s="13">
        <v>8.9599999999999999E-2</v>
      </c>
      <c r="F74" s="13">
        <v>0</v>
      </c>
      <c r="G74" s="13">
        <v>2</v>
      </c>
      <c r="H74" s="13">
        <v>2</v>
      </c>
      <c r="J74" t="str">
        <f t="shared" si="7"/>
        <v>Unique</v>
      </c>
      <c r="K74" t="str">
        <f t="shared" si="8"/>
        <v>Hot</v>
      </c>
      <c r="L74" t="str">
        <f t="shared" si="9"/>
        <v>Low</v>
      </c>
      <c r="M74" t="str">
        <f t="shared" si="10"/>
        <v>High Wind</v>
      </c>
      <c r="N74" t="str">
        <f t="shared" si="11"/>
        <v>Low</v>
      </c>
      <c r="O74" t="str">
        <f t="shared" si="12"/>
        <v>Low</v>
      </c>
      <c r="P74" t="str">
        <f t="shared" si="13"/>
        <v>Low Demand</v>
      </c>
    </row>
    <row r="75" spans="1:16" ht="13.8">
      <c r="A75" s="13">
        <v>73</v>
      </c>
      <c r="B75" s="13">
        <v>74</v>
      </c>
      <c r="C75" s="13">
        <v>0.1515</v>
      </c>
      <c r="D75" s="13">
        <v>0.68</v>
      </c>
      <c r="E75" s="13">
        <v>0.1045</v>
      </c>
      <c r="F75" s="13">
        <v>0</v>
      </c>
      <c r="G75" s="13">
        <v>4</v>
      </c>
      <c r="H75" s="13">
        <v>4</v>
      </c>
      <c r="J75" t="str">
        <f t="shared" si="7"/>
        <v>Unique</v>
      </c>
      <c r="K75" t="str">
        <f t="shared" si="8"/>
        <v>Hot</v>
      </c>
      <c r="L75" t="str">
        <f t="shared" si="9"/>
        <v>Low</v>
      </c>
      <c r="M75" t="str">
        <f t="shared" si="10"/>
        <v>High Wind</v>
      </c>
      <c r="N75" t="str">
        <f t="shared" si="11"/>
        <v>Low</v>
      </c>
      <c r="O75" t="str">
        <f t="shared" si="12"/>
        <v>Low</v>
      </c>
      <c r="P75" t="str">
        <f t="shared" si="13"/>
        <v>Low Demand</v>
      </c>
    </row>
    <row r="76" spans="1:16" ht="13.8">
      <c r="A76" s="13">
        <v>74</v>
      </c>
      <c r="B76" s="13">
        <v>75</v>
      </c>
      <c r="C76" s="13">
        <v>0.1515</v>
      </c>
      <c r="D76" s="13">
        <v>0.74</v>
      </c>
      <c r="E76" s="13">
        <v>0.1045</v>
      </c>
      <c r="F76" s="13">
        <v>0</v>
      </c>
      <c r="G76" s="13">
        <v>36</v>
      </c>
      <c r="H76" s="13">
        <v>36</v>
      </c>
      <c r="J76" t="str">
        <f t="shared" si="7"/>
        <v>Unique</v>
      </c>
      <c r="K76" t="str">
        <f t="shared" si="8"/>
        <v>Hot</v>
      </c>
      <c r="L76" t="str">
        <f t="shared" si="9"/>
        <v>Low</v>
      </c>
      <c r="M76" t="str">
        <f t="shared" si="10"/>
        <v>High Wind</v>
      </c>
      <c r="N76" t="str">
        <f t="shared" si="11"/>
        <v>Low</v>
      </c>
      <c r="O76" t="str">
        <f t="shared" si="12"/>
        <v>Low</v>
      </c>
      <c r="P76" t="str">
        <f t="shared" si="13"/>
        <v>Low Demand</v>
      </c>
    </row>
    <row r="77" spans="1:16" ht="13.8">
      <c r="A77" s="13">
        <v>75</v>
      </c>
      <c r="B77" s="13">
        <v>76</v>
      </c>
      <c r="C77" s="13">
        <v>0.1515</v>
      </c>
      <c r="D77" s="13">
        <v>0.74</v>
      </c>
      <c r="E77" s="13">
        <v>0.1343</v>
      </c>
      <c r="F77" s="13">
        <v>2</v>
      </c>
      <c r="G77" s="13">
        <v>92</v>
      </c>
      <c r="H77" s="13">
        <v>94</v>
      </c>
      <c r="J77" t="str">
        <f t="shared" si="7"/>
        <v>Unique</v>
      </c>
      <c r="K77" t="str">
        <f t="shared" si="8"/>
        <v>Hot</v>
      </c>
      <c r="L77" t="str">
        <f t="shared" si="9"/>
        <v>Low</v>
      </c>
      <c r="M77" t="str">
        <f t="shared" si="10"/>
        <v>High Wind</v>
      </c>
      <c r="N77" t="str">
        <f t="shared" si="11"/>
        <v>Low</v>
      </c>
      <c r="O77" t="str">
        <f t="shared" si="12"/>
        <v>Low</v>
      </c>
      <c r="P77" t="str">
        <f t="shared" si="13"/>
        <v>Low Demand</v>
      </c>
    </row>
    <row r="78" spans="1:16" ht="13.8">
      <c r="A78" s="13">
        <v>76</v>
      </c>
      <c r="B78" s="13">
        <v>77</v>
      </c>
      <c r="C78" s="13">
        <v>0.1515</v>
      </c>
      <c r="D78" s="13">
        <v>0.69</v>
      </c>
      <c r="E78" s="13">
        <v>0.16420000000000001</v>
      </c>
      <c r="F78" s="13">
        <v>2</v>
      </c>
      <c r="G78" s="13">
        <v>177</v>
      </c>
      <c r="H78" s="13">
        <v>179</v>
      </c>
      <c r="J78" t="str">
        <f t="shared" si="7"/>
        <v>Unique</v>
      </c>
      <c r="K78" t="str">
        <f t="shared" si="8"/>
        <v>Hot</v>
      </c>
      <c r="L78" t="str">
        <f t="shared" si="9"/>
        <v>Low</v>
      </c>
      <c r="M78" t="str">
        <f t="shared" si="10"/>
        <v>High Wind</v>
      </c>
      <c r="N78" t="str">
        <f t="shared" si="11"/>
        <v>Low</v>
      </c>
      <c r="O78" t="str">
        <f t="shared" si="12"/>
        <v>Low</v>
      </c>
      <c r="P78" t="str">
        <f t="shared" si="13"/>
        <v>Medium Demand</v>
      </c>
    </row>
    <row r="79" spans="1:16" ht="13.8">
      <c r="A79" s="13">
        <v>77</v>
      </c>
      <c r="B79" s="13">
        <v>78</v>
      </c>
      <c r="C79" s="13">
        <v>0.1515</v>
      </c>
      <c r="D79" s="13">
        <v>0.64</v>
      </c>
      <c r="E79" s="13">
        <v>0.22389999999999999</v>
      </c>
      <c r="F79" s="13">
        <v>2</v>
      </c>
      <c r="G79" s="13">
        <v>98</v>
      </c>
      <c r="H79" s="13">
        <v>100</v>
      </c>
      <c r="J79" t="str">
        <f t="shared" si="7"/>
        <v>Unique</v>
      </c>
      <c r="K79" t="str">
        <f t="shared" si="8"/>
        <v>Hot</v>
      </c>
      <c r="L79" t="str">
        <f t="shared" si="9"/>
        <v>Low</v>
      </c>
      <c r="M79" t="str">
        <f t="shared" si="10"/>
        <v>High Wind</v>
      </c>
      <c r="N79" t="str">
        <f t="shared" si="11"/>
        <v>Low</v>
      </c>
      <c r="O79" t="str">
        <f t="shared" si="12"/>
        <v>Low</v>
      </c>
      <c r="P79" t="str">
        <f t="shared" si="13"/>
        <v>Low Demand</v>
      </c>
    </row>
    <row r="80" spans="1:16" ht="13.8">
      <c r="A80" s="13">
        <v>78</v>
      </c>
      <c r="B80" s="13">
        <v>79</v>
      </c>
      <c r="C80" s="13">
        <v>0.13639999999999999</v>
      </c>
      <c r="D80" s="13">
        <v>0.69</v>
      </c>
      <c r="E80" s="13">
        <v>0.32840000000000003</v>
      </c>
      <c r="F80" s="13">
        <v>5</v>
      </c>
      <c r="G80" s="13">
        <v>37</v>
      </c>
      <c r="H80" s="13">
        <v>42</v>
      </c>
      <c r="J80" t="str">
        <f t="shared" si="7"/>
        <v>Unique</v>
      </c>
      <c r="K80" t="str">
        <f t="shared" si="8"/>
        <v>Hot</v>
      </c>
      <c r="L80" t="str">
        <f t="shared" si="9"/>
        <v>Low</v>
      </c>
      <c r="M80" t="str">
        <f t="shared" si="10"/>
        <v>High Wind</v>
      </c>
      <c r="N80" t="str">
        <f t="shared" si="11"/>
        <v>Low</v>
      </c>
      <c r="O80" t="str">
        <f t="shared" si="12"/>
        <v>Low</v>
      </c>
      <c r="P80" t="str">
        <f t="shared" si="13"/>
        <v>Low Demand</v>
      </c>
    </row>
    <row r="81" spans="1:16" ht="13.8">
      <c r="A81" s="13">
        <v>79</v>
      </c>
      <c r="B81" s="13">
        <v>80</v>
      </c>
      <c r="C81" s="13">
        <v>0.21210000000000001</v>
      </c>
      <c r="D81" s="13">
        <v>0.51</v>
      </c>
      <c r="E81" s="13">
        <v>0.29849999999999999</v>
      </c>
      <c r="F81" s="13">
        <v>7</v>
      </c>
      <c r="G81" s="13">
        <v>50</v>
      </c>
      <c r="H81" s="13">
        <v>57</v>
      </c>
      <c r="J81" t="str">
        <f t="shared" si="7"/>
        <v>Unique</v>
      </c>
      <c r="K81" t="str">
        <f t="shared" si="8"/>
        <v>Hot</v>
      </c>
      <c r="L81" t="str">
        <f t="shared" si="9"/>
        <v>Low</v>
      </c>
      <c r="M81" t="str">
        <f t="shared" si="10"/>
        <v>High Wind</v>
      </c>
      <c r="N81" t="str">
        <f t="shared" si="11"/>
        <v>Low</v>
      </c>
      <c r="O81" t="str">
        <f t="shared" si="12"/>
        <v>Low</v>
      </c>
      <c r="P81" t="str">
        <f t="shared" si="13"/>
        <v>Low Demand</v>
      </c>
    </row>
    <row r="82" spans="1:16" ht="13.8">
      <c r="A82" s="13">
        <v>80</v>
      </c>
      <c r="B82" s="13">
        <v>81</v>
      </c>
      <c r="C82" s="13">
        <v>0.2273</v>
      </c>
      <c r="D82" s="13">
        <v>0.51</v>
      </c>
      <c r="E82" s="13">
        <v>0.16420000000000001</v>
      </c>
      <c r="F82" s="13">
        <v>12</v>
      </c>
      <c r="G82" s="13">
        <v>66</v>
      </c>
      <c r="H82" s="13">
        <v>78</v>
      </c>
      <c r="J82" t="str">
        <f t="shared" si="7"/>
        <v>Unique</v>
      </c>
      <c r="K82" t="str">
        <f t="shared" si="8"/>
        <v>Hot</v>
      </c>
      <c r="L82" t="str">
        <f t="shared" si="9"/>
        <v>Low</v>
      </c>
      <c r="M82" t="str">
        <f t="shared" si="10"/>
        <v>High Wind</v>
      </c>
      <c r="N82" t="str">
        <f t="shared" si="11"/>
        <v>Low</v>
      </c>
      <c r="O82" t="str">
        <f t="shared" si="12"/>
        <v>Low</v>
      </c>
      <c r="P82" t="str">
        <f t="shared" si="13"/>
        <v>Low Demand</v>
      </c>
    </row>
    <row r="83" spans="1:16" ht="13.8">
      <c r="A83" s="13">
        <v>81</v>
      </c>
      <c r="B83" s="13">
        <v>82</v>
      </c>
      <c r="C83" s="13">
        <v>0.2273</v>
      </c>
      <c r="D83" s="13">
        <v>0.56000000000000005</v>
      </c>
      <c r="E83" s="13">
        <v>0.19400000000000001</v>
      </c>
      <c r="F83" s="13">
        <v>18</v>
      </c>
      <c r="G83" s="13">
        <v>79</v>
      </c>
      <c r="H83" s="13">
        <v>97</v>
      </c>
      <c r="J83" t="str">
        <f t="shared" si="7"/>
        <v>Unique</v>
      </c>
      <c r="K83" t="str">
        <f t="shared" si="8"/>
        <v>Hot</v>
      </c>
      <c r="L83" t="str">
        <f t="shared" si="9"/>
        <v>Low</v>
      </c>
      <c r="M83" t="str">
        <f t="shared" si="10"/>
        <v>High Wind</v>
      </c>
      <c r="N83" t="str">
        <f t="shared" si="11"/>
        <v>Low</v>
      </c>
      <c r="O83" t="str">
        <f t="shared" si="12"/>
        <v>Low</v>
      </c>
      <c r="P83" t="str">
        <f t="shared" si="13"/>
        <v>Low Demand</v>
      </c>
    </row>
    <row r="84" spans="1:16" ht="13.8">
      <c r="A84" s="13">
        <v>82</v>
      </c>
      <c r="B84" s="13">
        <v>83</v>
      </c>
      <c r="C84" s="13">
        <v>0.2576</v>
      </c>
      <c r="D84" s="13">
        <v>0.52</v>
      </c>
      <c r="E84" s="13">
        <v>0.22389999999999999</v>
      </c>
      <c r="F84" s="13">
        <v>9</v>
      </c>
      <c r="G84" s="13">
        <v>54</v>
      </c>
      <c r="H84" s="13">
        <v>63</v>
      </c>
      <c r="J84" t="str">
        <f t="shared" si="7"/>
        <v>Unique</v>
      </c>
      <c r="K84" t="str">
        <f t="shared" si="8"/>
        <v>Hot</v>
      </c>
      <c r="L84" t="str">
        <f t="shared" si="9"/>
        <v>Low</v>
      </c>
      <c r="M84" t="str">
        <f t="shared" si="10"/>
        <v>High Wind</v>
      </c>
      <c r="N84" t="str">
        <f t="shared" si="11"/>
        <v>Low</v>
      </c>
      <c r="O84" t="str">
        <f t="shared" si="12"/>
        <v>Low</v>
      </c>
      <c r="P84" t="str">
        <f t="shared" si="13"/>
        <v>Low Demand</v>
      </c>
    </row>
    <row r="85" spans="1:16" ht="13.8">
      <c r="A85" s="13">
        <v>83</v>
      </c>
      <c r="B85" s="13">
        <v>84</v>
      </c>
      <c r="C85" s="13">
        <v>0.2727</v>
      </c>
      <c r="D85" s="13">
        <v>0.52</v>
      </c>
      <c r="E85" s="13">
        <v>0.25369999999999998</v>
      </c>
      <c r="F85" s="13">
        <v>17</v>
      </c>
      <c r="G85" s="13">
        <v>48</v>
      </c>
      <c r="H85" s="13">
        <v>65</v>
      </c>
      <c r="J85" t="str">
        <f t="shared" si="7"/>
        <v>Unique</v>
      </c>
      <c r="K85" t="str">
        <f t="shared" si="8"/>
        <v>Hot</v>
      </c>
      <c r="L85" t="str">
        <f t="shared" si="9"/>
        <v>Low</v>
      </c>
      <c r="M85" t="str">
        <f t="shared" si="10"/>
        <v>High Wind</v>
      </c>
      <c r="N85" t="str">
        <f t="shared" si="11"/>
        <v>Low</v>
      </c>
      <c r="O85" t="str">
        <f t="shared" si="12"/>
        <v>Low</v>
      </c>
      <c r="P85" t="str">
        <f t="shared" si="13"/>
        <v>Low Demand</v>
      </c>
    </row>
    <row r="86" spans="1:16" ht="13.8">
      <c r="A86" s="13">
        <v>84</v>
      </c>
      <c r="B86" s="13">
        <v>85</v>
      </c>
      <c r="C86" s="13">
        <v>0.28789999999999999</v>
      </c>
      <c r="D86" s="13">
        <v>0.49</v>
      </c>
      <c r="E86" s="13">
        <v>0.25369999999999998</v>
      </c>
      <c r="F86" s="13">
        <v>15</v>
      </c>
      <c r="G86" s="13">
        <v>68</v>
      </c>
      <c r="H86" s="13">
        <v>83</v>
      </c>
      <c r="J86" t="str">
        <f t="shared" si="7"/>
        <v>Unique</v>
      </c>
      <c r="K86" t="str">
        <f t="shared" si="8"/>
        <v>Hot</v>
      </c>
      <c r="L86" t="str">
        <f t="shared" si="9"/>
        <v>Low</v>
      </c>
      <c r="M86" t="str">
        <f t="shared" si="10"/>
        <v>Medium Wind</v>
      </c>
      <c r="N86" t="str">
        <f t="shared" si="11"/>
        <v>Low</v>
      </c>
      <c r="O86" t="str">
        <f t="shared" si="12"/>
        <v>Low</v>
      </c>
      <c r="P86" t="str">
        <f t="shared" si="13"/>
        <v>Low Demand</v>
      </c>
    </row>
    <row r="87" spans="1:16" ht="13.8">
      <c r="A87" s="13">
        <v>85</v>
      </c>
      <c r="B87" s="13">
        <v>86</v>
      </c>
      <c r="C87" s="13">
        <v>0.2727</v>
      </c>
      <c r="D87" s="13">
        <v>0.48</v>
      </c>
      <c r="E87" s="13">
        <v>0.22389999999999999</v>
      </c>
      <c r="F87" s="13">
        <v>10</v>
      </c>
      <c r="G87" s="13">
        <v>202</v>
      </c>
      <c r="H87" s="13">
        <v>212</v>
      </c>
      <c r="J87" t="str">
        <f t="shared" si="7"/>
        <v>Unique</v>
      </c>
      <c r="K87" t="str">
        <f t="shared" si="8"/>
        <v>Hot</v>
      </c>
      <c r="L87" t="str">
        <f t="shared" si="9"/>
        <v>Low</v>
      </c>
      <c r="M87" t="str">
        <f t="shared" si="10"/>
        <v>Medium Wind</v>
      </c>
      <c r="N87" t="str">
        <f t="shared" si="11"/>
        <v>Low</v>
      </c>
      <c r="O87" t="str">
        <f t="shared" si="12"/>
        <v>Low</v>
      </c>
      <c r="P87" t="str">
        <f t="shared" si="13"/>
        <v>Medium Demand</v>
      </c>
    </row>
    <row r="88" spans="1:16" ht="13.8">
      <c r="A88" s="13">
        <v>86</v>
      </c>
      <c r="B88" s="13">
        <v>87</v>
      </c>
      <c r="C88" s="13">
        <v>0.2576</v>
      </c>
      <c r="D88" s="13">
        <v>0.48</v>
      </c>
      <c r="E88" s="13">
        <v>0.19400000000000001</v>
      </c>
      <c r="F88" s="13">
        <v>3</v>
      </c>
      <c r="G88" s="13">
        <v>179</v>
      </c>
      <c r="H88" s="13">
        <v>182</v>
      </c>
      <c r="J88" t="str">
        <f t="shared" si="7"/>
        <v>Unique</v>
      </c>
      <c r="K88" t="str">
        <f t="shared" si="8"/>
        <v>Hot</v>
      </c>
      <c r="L88" t="str">
        <f t="shared" si="9"/>
        <v>Low</v>
      </c>
      <c r="M88" t="str">
        <f t="shared" si="10"/>
        <v>Medium Wind</v>
      </c>
      <c r="N88" t="str">
        <f t="shared" si="11"/>
        <v>Low</v>
      </c>
      <c r="O88" t="str">
        <f t="shared" si="12"/>
        <v>Low</v>
      </c>
      <c r="P88" t="str">
        <f t="shared" si="13"/>
        <v>Medium Demand</v>
      </c>
    </row>
    <row r="89" spans="1:16" ht="13.8">
      <c r="A89" s="13">
        <v>87</v>
      </c>
      <c r="B89" s="13">
        <v>88</v>
      </c>
      <c r="C89" s="13">
        <v>0.2576</v>
      </c>
      <c r="D89" s="13">
        <v>0.48</v>
      </c>
      <c r="E89" s="13">
        <v>0.1045</v>
      </c>
      <c r="F89" s="13">
        <v>2</v>
      </c>
      <c r="G89" s="13">
        <v>110</v>
      </c>
      <c r="H89" s="13">
        <v>112</v>
      </c>
      <c r="J89" t="str">
        <f t="shared" si="7"/>
        <v>Unique</v>
      </c>
      <c r="K89" t="str">
        <f t="shared" si="8"/>
        <v>Hot</v>
      </c>
      <c r="L89" t="str">
        <f t="shared" si="9"/>
        <v>Low</v>
      </c>
      <c r="M89" t="str">
        <f t="shared" si="10"/>
        <v>Medium Wind</v>
      </c>
      <c r="N89" t="str">
        <f t="shared" si="11"/>
        <v>Low</v>
      </c>
      <c r="O89" t="str">
        <f t="shared" si="12"/>
        <v>Low</v>
      </c>
      <c r="P89" t="str">
        <f t="shared" si="13"/>
        <v>Medium Demand</v>
      </c>
    </row>
    <row r="90" spans="1:16" ht="13.8">
      <c r="A90" s="13">
        <v>88</v>
      </c>
      <c r="B90" s="13">
        <v>89</v>
      </c>
      <c r="C90" s="13">
        <v>0.2576</v>
      </c>
      <c r="D90" s="13">
        <v>0.48</v>
      </c>
      <c r="E90" s="13">
        <v>0.1045</v>
      </c>
      <c r="F90" s="13">
        <v>1</v>
      </c>
      <c r="G90" s="13">
        <v>53</v>
      </c>
      <c r="H90" s="13">
        <v>54</v>
      </c>
      <c r="J90" t="str">
        <f t="shared" si="7"/>
        <v>Unique</v>
      </c>
      <c r="K90" t="str">
        <f t="shared" si="8"/>
        <v>Hot</v>
      </c>
      <c r="L90" t="str">
        <f t="shared" si="9"/>
        <v>Low</v>
      </c>
      <c r="M90" t="str">
        <f t="shared" si="10"/>
        <v>Medium Wind</v>
      </c>
      <c r="N90" t="str">
        <f t="shared" si="11"/>
        <v>Low</v>
      </c>
      <c r="O90" t="str">
        <f t="shared" si="12"/>
        <v>Low</v>
      </c>
      <c r="P90" t="str">
        <f t="shared" si="13"/>
        <v>Low Demand</v>
      </c>
    </row>
    <row r="91" spans="1:16" ht="13.8">
      <c r="A91" s="13">
        <v>89</v>
      </c>
      <c r="B91" s="13">
        <v>90</v>
      </c>
      <c r="C91" s="13">
        <v>0.2727</v>
      </c>
      <c r="D91" s="13">
        <v>0.64</v>
      </c>
      <c r="E91" s="13">
        <v>0</v>
      </c>
      <c r="F91" s="13">
        <v>0</v>
      </c>
      <c r="G91" s="13">
        <v>48</v>
      </c>
      <c r="H91" s="13">
        <v>48</v>
      </c>
      <c r="J91" t="str">
        <f t="shared" si="7"/>
        <v>Unique</v>
      </c>
      <c r="K91" t="str">
        <f t="shared" si="8"/>
        <v>Hot</v>
      </c>
      <c r="L91" t="str">
        <f t="shared" si="9"/>
        <v>Low</v>
      </c>
      <c r="M91" t="str">
        <f t="shared" si="10"/>
        <v>High Wind</v>
      </c>
      <c r="N91" t="str">
        <f t="shared" si="11"/>
        <v>Low</v>
      </c>
      <c r="O91" t="str">
        <f t="shared" si="12"/>
        <v>Low</v>
      </c>
      <c r="P91" t="str">
        <f t="shared" si="13"/>
        <v>Low Demand</v>
      </c>
    </row>
    <row r="92" spans="1:16" ht="13.8">
      <c r="A92" s="13">
        <v>90</v>
      </c>
      <c r="B92" s="13">
        <v>91</v>
      </c>
      <c r="C92" s="13">
        <v>0.2576</v>
      </c>
      <c r="D92" s="13">
        <v>0.64</v>
      </c>
      <c r="E92" s="13">
        <v>8.9599999999999999E-2</v>
      </c>
      <c r="F92" s="13">
        <v>1</v>
      </c>
      <c r="G92" s="13">
        <v>34</v>
      </c>
      <c r="H92" s="13">
        <v>35</v>
      </c>
      <c r="J92" t="str">
        <f t="shared" si="7"/>
        <v>Unique</v>
      </c>
      <c r="K92" t="str">
        <f t="shared" si="8"/>
        <v>Hot</v>
      </c>
      <c r="L92" t="str">
        <f t="shared" si="9"/>
        <v>Low</v>
      </c>
      <c r="M92" t="str">
        <f t="shared" si="10"/>
        <v>High Wind</v>
      </c>
      <c r="N92" t="str">
        <f t="shared" si="11"/>
        <v>Low</v>
      </c>
      <c r="O92" t="str">
        <f t="shared" si="12"/>
        <v>Low</v>
      </c>
      <c r="P92" t="str">
        <f t="shared" si="13"/>
        <v>Low Demand</v>
      </c>
    </row>
    <row r="93" spans="1:16" ht="13.8">
      <c r="A93" s="13">
        <v>91</v>
      </c>
      <c r="B93" s="13">
        <v>92</v>
      </c>
      <c r="C93" s="13">
        <v>0.2273</v>
      </c>
      <c r="D93" s="13">
        <v>0.69</v>
      </c>
      <c r="E93" s="13">
        <v>8.9599999999999999E-2</v>
      </c>
      <c r="F93" s="13">
        <v>2</v>
      </c>
      <c r="G93" s="13">
        <v>9</v>
      </c>
      <c r="H93" s="13">
        <v>11</v>
      </c>
      <c r="J93" t="str">
        <f t="shared" si="7"/>
        <v>Unique</v>
      </c>
      <c r="K93" t="str">
        <f t="shared" si="8"/>
        <v>Hot</v>
      </c>
      <c r="L93" t="str">
        <f t="shared" si="9"/>
        <v>Low</v>
      </c>
      <c r="M93" t="str">
        <f t="shared" si="10"/>
        <v>High Wind</v>
      </c>
      <c r="N93" t="str">
        <f t="shared" si="11"/>
        <v>Low</v>
      </c>
      <c r="O93" t="str">
        <f t="shared" si="12"/>
        <v>Low</v>
      </c>
      <c r="P93" t="str">
        <f t="shared" si="13"/>
        <v>Low Demand</v>
      </c>
    </row>
    <row r="94" spans="1:16" ht="13.8">
      <c r="A94" s="13">
        <v>92</v>
      </c>
      <c r="B94" s="13">
        <v>93</v>
      </c>
      <c r="C94" s="13">
        <v>0.2576</v>
      </c>
      <c r="D94" s="13">
        <v>0.64</v>
      </c>
      <c r="E94" s="13">
        <v>0</v>
      </c>
      <c r="F94" s="13">
        <v>0</v>
      </c>
      <c r="G94" s="13">
        <v>6</v>
      </c>
      <c r="H94" s="13">
        <v>6</v>
      </c>
      <c r="J94" t="str">
        <f t="shared" si="7"/>
        <v>Unique</v>
      </c>
      <c r="K94" t="str">
        <f t="shared" si="8"/>
        <v>Hot</v>
      </c>
      <c r="L94" t="str">
        <f t="shared" si="9"/>
        <v>Low</v>
      </c>
      <c r="M94" t="str">
        <f t="shared" si="10"/>
        <v>High Wind</v>
      </c>
      <c r="N94" t="str">
        <f t="shared" si="11"/>
        <v>Low</v>
      </c>
      <c r="O94" t="str">
        <f t="shared" si="12"/>
        <v>Low</v>
      </c>
      <c r="P94" t="str">
        <f t="shared" si="13"/>
        <v>Low Demand</v>
      </c>
    </row>
    <row r="95" spans="1:16" ht="13.8">
      <c r="A95" s="13">
        <v>93</v>
      </c>
      <c r="B95" s="13">
        <v>94</v>
      </c>
      <c r="C95" s="13">
        <v>0.19700000000000001</v>
      </c>
      <c r="D95" s="13">
        <v>0.74</v>
      </c>
      <c r="E95" s="13">
        <v>8.9599999999999999E-2</v>
      </c>
      <c r="F95" s="13">
        <v>0</v>
      </c>
      <c r="G95" s="13">
        <v>6</v>
      </c>
      <c r="H95" s="13">
        <v>6</v>
      </c>
      <c r="J95" t="str">
        <f t="shared" si="7"/>
        <v>Unique</v>
      </c>
      <c r="K95" t="str">
        <f t="shared" si="8"/>
        <v>Hot</v>
      </c>
      <c r="L95" t="str">
        <f t="shared" si="9"/>
        <v>Low</v>
      </c>
      <c r="M95" t="str">
        <f t="shared" si="10"/>
        <v>High Wind</v>
      </c>
      <c r="N95" t="str">
        <f t="shared" si="11"/>
        <v>Low</v>
      </c>
      <c r="O95" t="str">
        <f t="shared" si="12"/>
        <v>Low</v>
      </c>
      <c r="P95" t="str">
        <f t="shared" si="13"/>
        <v>Low Demand</v>
      </c>
    </row>
    <row r="96" spans="1:16" ht="13.8">
      <c r="A96" s="13">
        <v>94</v>
      </c>
      <c r="B96" s="13">
        <v>95</v>
      </c>
      <c r="C96" s="13">
        <v>0.19700000000000001</v>
      </c>
      <c r="D96" s="13">
        <v>0.74</v>
      </c>
      <c r="E96" s="13">
        <v>8.9599999999999999E-2</v>
      </c>
      <c r="F96" s="13">
        <v>0</v>
      </c>
      <c r="G96" s="13">
        <v>2</v>
      </c>
      <c r="H96" s="13">
        <v>2</v>
      </c>
      <c r="J96" t="str">
        <f t="shared" si="7"/>
        <v>Unique</v>
      </c>
      <c r="K96" t="str">
        <f t="shared" si="8"/>
        <v>Hot</v>
      </c>
      <c r="L96" t="str">
        <f t="shared" si="9"/>
        <v>Low</v>
      </c>
      <c r="M96" t="str">
        <f t="shared" si="10"/>
        <v>High Wind</v>
      </c>
      <c r="N96" t="str">
        <f t="shared" si="11"/>
        <v>Low</v>
      </c>
      <c r="O96" t="str">
        <f t="shared" si="12"/>
        <v>Low</v>
      </c>
      <c r="P96" t="str">
        <f t="shared" si="13"/>
        <v>Low Demand</v>
      </c>
    </row>
    <row r="97" spans="1:16" ht="13.8">
      <c r="A97" s="13">
        <v>95</v>
      </c>
      <c r="B97" s="13">
        <v>96</v>
      </c>
      <c r="C97" s="13">
        <v>0.2273</v>
      </c>
      <c r="D97" s="13">
        <v>0.48</v>
      </c>
      <c r="E97" s="13">
        <v>0.22389999999999999</v>
      </c>
      <c r="F97" s="13">
        <v>0</v>
      </c>
      <c r="G97" s="13">
        <v>2</v>
      </c>
      <c r="H97" s="13">
        <v>2</v>
      </c>
      <c r="J97" t="str">
        <f t="shared" si="7"/>
        <v>Unique</v>
      </c>
      <c r="K97" t="str">
        <f t="shared" si="8"/>
        <v>Hot</v>
      </c>
      <c r="L97" t="str">
        <f t="shared" si="9"/>
        <v>Low</v>
      </c>
      <c r="M97" t="str">
        <f t="shared" si="10"/>
        <v>Medium Wind</v>
      </c>
      <c r="N97" t="str">
        <f t="shared" si="11"/>
        <v>Low</v>
      </c>
      <c r="O97" t="str">
        <f t="shared" si="12"/>
        <v>Low</v>
      </c>
      <c r="P97" t="str">
        <f t="shared" si="13"/>
        <v>Low Demand</v>
      </c>
    </row>
    <row r="98" spans="1:16" ht="13.8">
      <c r="A98" s="13">
        <v>96</v>
      </c>
      <c r="B98" s="13">
        <v>97</v>
      </c>
      <c r="C98" s="13">
        <v>0.2273</v>
      </c>
      <c r="D98" s="13">
        <v>0.47</v>
      </c>
      <c r="E98" s="13">
        <v>0.16420000000000001</v>
      </c>
      <c r="F98" s="13">
        <v>0</v>
      </c>
      <c r="G98" s="13">
        <v>3</v>
      </c>
      <c r="H98" s="13">
        <v>3</v>
      </c>
      <c r="J98" t="str">
        <f t="shared" si="7"/>
        <v>Unique</v>
      </c>
      <c r="K98" t="str">
        <f t="shared" si="8"/>
        <v>Hot</v>
      </c>
      <c r="L98" t="str">
        <f t="shared" si="9"/>
        <v>Low</v>
      </c>
      <c r="M98" t="str">
        <f t="shared" si="10"/>
        <v>Medium Wind</v>
      </c>
      <c r="N98" t="str">
        <f t="shared" si="11"/>
        <v>Low</v>
      </c>
      <c r="O98" t="str">
        <f t="shared" si="12"/>
        <v>Low</v>
      </c>
      <c r="P98" t="str">
        <f t="shared" si="13"/>
        <v>Low Demand</v>
      </c>
    </row>
    <row r="99" spans="1:16" ht="13.8">
      <c r="A99" s="13">
        <v>97</v>
      </c>
      <c r="B99" s="13">
        <v>98</v>
      </c>
      <c r="C99" s="13">
        <v>0.19700000000000001</v>
      </c>
      <c r="D99" s="13">
        <v>0.47</v>
      </c>
      <c r="E99" s="13">
        <v>0.22389999999999999</v>
      </c>
      <c r="F99" s="13">
        <v>0</v>
      </c>
      <c r="G99" s="13">
        <v>33</v>
      </c>
      <c r="H99" s="13">
        <v>33</v>
      </c>
      <c r="J99" t="str">
        <f t="shared" si="7"/>
        <v>Unique</v>
      </c>
      <c r="K99" t="str">
        <f t="shared" si="8"/>
        <v>Hot</v>
      </c>
      <c r="L99" t="str">
        <f t="shared" si="9"/>
        <v>Low</v>
      </c>
      <c r="M99" t="str">
        <f t="shared" si="10"/>
        <v>Medium Wind</v>
      </c>
      <c r="N99" t="str">
        <f t="shared" si="11"/>
        <v>Low</v>
      </c>
      <c r="O99" t="str">
        <f t="shared" si="12"/>
        <v>Low</v>
      </c>
      <c r="P99" t="str">
        <f t="shared" si="13"/>
        <v>Low Demand</v>
      </c>
    </row>
    <row r="100" spans="1:16" ht="13.8">
      <c r="A100" s="13">
        <v>98</v>
      </c>
      <c r="B100" s="13">
        <v>99</v>
      </c>
      <c r="C100" s="13">
        <v>0.18179999999999999</v>
      </c>
      <c r="D100" s="13">
        <v>0.43</v>
      </c>
      <c r="E100" s="13">
        <v>0.19400000000000001</v>
      </c>
      <c r="F100" s="13">
        <v>1</v>
      </c>
      <c r="G100" s="13">
        <v>87</v>
      </c>
      <c r="H100" s="13">
        <v>88</v>
      </c>
      <c r="J100" t="str">
        <f t="shared" si="7"/>
        <v>Unique</v>
      </c>
      <c r="K100" t="str">
        <f t="shared" si="8"/>
        <v>Hot</v>
      </c>
      <c r="L100" t="str">
        <f t="shared" si="9"/>
        <v>Low</v>
      </c>
      <c r="M100" t="str">
        <f t="shared" si="10"/>
        <v>Medium Wind</v>
      </c>
      <c r="N100" t="str">
        <f t="shared" si="11"/>
        <v>Low</v>
      </c>
      <c r="O100" t="str">
        <f t="shared" si="12"/>
        <v>Low</v>
      </c>
      <c r="P100" t="str">
        <f t="shared" si="13"/>
        <v>Low Demand</v>
      </c>
    </row>
    <row r="101" spans="1:16" ht="13.8">
      <c r="A101" s="13">
        <v>99</v>
      </c>
      <c r="B101" s="13">
        <v>100</v>
      </c>
      <c r="C101" s="13">
        <v>0.18179999999999999</v>
      </c>
      <c r="D101" s="13">
        <v>0.4</v>
      </c>
      <c r="E101" s="13">
        <v>0.29849999999999999</v>
      </c>
      <c r="F101" s="13">
        <v>3</v>
      </c>
      <c r="G101" s="13">
        <v>192</v>
      </c>
      <c r="H101" s="13">
        <v>195</v>
      </c>
      <c r="J101" t="str">
        <f t="shared" si="7"/>
        <v>Unique</v>
      </c>
      <c r="K101" t="str">
        <f t="shared" si="8"/>
        <v>Hot</v>
      </c>
      <c r="L101" t="str">
        <f t="shared" si="9"/>
        <v>Low</v>
      </c>
      <c r="M101" t="str">
        <f t="shared" si="10"/>
        <v>Medium Wind</v>
      </c>
      <c r="N101" t="str">
        <f t="shared" si="11"/>
        <v>Low</v>
      </c>
      <c r="O101" t="str">
        <f t="shared" si="12"/>
        <v>Low</v>
      </c>
      <c r="P101" t="str">
        <f t="shared" si="13"/>
        <v>Medium Demand</v>
      </c>
    </row>
    <row r="102" spans="1:16" ht="13.8">
      <c r="A102" s="13">
        <v>100</v>
      </c>
      <c r="B102" s="13">
        <v>101</v>
      </c>
      <c r="C102" s="13">
        <v>0.19700000000000001</v>
      </c>
      <c r="D102" s="13">
        <v>0.37</v>
      </c>
      <c r="E102" s="13">
        <v>0.32840000000000003</v>
      </c>
      <c r="F102" s="13">
        <v>6</v>
      </c>
      <c r="G102" s="13">
        <v>109</v>
      </c>
      <c r="H102" s="13">
        <v>115</v>
      </c>
      <c r="J102" t="str">
        <f t="shared" si="7"/>
        <v>Unique</v>
      </c>
      <c r="K102" t="str">
        <f t="shared" si="8"/>
        <v>Hot</v>
      </c>
      <c r="L102" t="str">
        <f t="shared" si="9"/>
        <v>Low</v>
      </c>
      <c r="M102" t="str">
        <f t="shared" si="10"/>
        <v>Medium Wind</v>
      </c>
      <c r="N102" t="str">
        <f t="shared" si="11"/>
        <v>Low</v>
      </c>
      <c r="O102" t="str">
        <f t="shared" si="12"/>
        <v>Low</v>
      </c>
      <c r="P102" t="str">
        <f t="shared" si="13"/>
        <v>Medium Demand</v>
      </c>
    </row>
    <row r="103" spans="1:16" ht="13.8">
      <c r="A103" s="13">
        <v>101</v>
      </c>
      <c r="B103" s="13">
        <v>102</v>
      </c>
      <c r="C103" s="13">
        <v>0.19700000000000001</v>
      </c>
      <c r="D103" s="13">
        <v>0.37</v>
      </c>
      <c r="E103" s="13">
        <v>0.32840000000000003</v>
      </c>
      <c r="F103" s="13">
        <v>4</v>
      </c>
      <c r="G103" s="13">
        <v>53</v>
      </c>
      <c r="H103" s="13">
        <v>57</v>
      </c>
      <c r="J103" t="str">
        <f t="shared" si="7"/>
        <v>Unique</v>
      </c>
      <c r="K103" t="str">
        <f t="shared" si="8"/>
        <v>Hot</v>
      </c>
      <c r="L103" t="str">
        <f t="shared" si="9"/>
        <v>Low</v>
      </c>
      <c r="M103" t="str">
        <f t="shared" si="10"/>
        <v>Medium Wind</v>
      </c>
      <c r="N103" t="str">
        <f t="shared" si="11"/>
        <v>Low</v>
      </c>
      <c r="O103" t="str">
        <f t="shared" si="12"/>
        <v>Low</v>
      </c>
      <c r="P103" t="str">
        <f t="shared" si="13"/>
        <v>Low Demand</v>
      </c>
    </row>
    <row r="104" spans="1:16" ht="13.8">
      <c r="A104" s="13">
        <v>102</v>
      </c>
      <c r="B104" s="13">
        <v>103</v>
      </c>
      <c r="C104" s="13">
        <v>0.2273</v>
      </c>
      <c r="D104" s="13">
        <v>0.33</v>
      </c>
      <c r="E104" s="13">
        <v>0.32840000000000003</v>
      </c>
      <c r="F104" s="13">
        <v>12</v>
      </c>
      <c r="G104" s="13">
        <v>34</v>
      </c>
      <c r="H104" s="13">
        <v>46</v>
      </c>
      <c r="J104" t="str">
        <f t="shared" si="7"/>
        <v>Unique</v>
      </c>
      <c r="K104" t="str">
        <f t="shared" si="8"/>
        <v>Hot</v>
      </c>
      <c r="L104" t="str">
        <f t="shared" si="9"/>
        <v>Low</v>
      </c>
      <c r="M104" t="str">
        <f t="shared" si="10"/>
        <v>Medium Wind</v>
      </c>
      <c r="N104" t="str">
        <f t="shared" si="11"/>
        <v>Low</v>
      </c>
      <c r="O104" t="str">
        <f t="shared" si="12"/>
        <v>Low</v>
      </c>
      <c r="P104" t="str">
        <f t="shared" si="13"/>
        <v>Low Demand</v>
      </c>
    </row>
    <row r="105" spans="1:16" ht="13.8">
      <c r="A105" s="13">
        <v>103</v>
      </c>
      <c r="B105" s="13">
        <v>104</v>
      </c>
      <c r="C105" s="13">
        <v>0.2273</v>
      </c>
      <c r="D105" s="13">
        <v>0.33</v>
      </c>
      <c r="E105" s="13">
        <v>0.32840000000000003</v>
      </c>
      <c r="F105" s="13">
        <v>5</v>
      </c>
      <c r="G105" s="13">
        <v>74</v>
      </c>
      <c r="H105" s="13">
        <v>79</v>
      </c>
      <c r="J105" t="str">
        <f t="shared" si="7"/>
        <v>Unique</v>
      </c>
      <c r="K105" t="str">
        <f t="shared" si="8"/>
        <v>Hot</v>
      </c>
      <c r="L105" t="str">
        <f t="shared" si="9"/>
        <v>Low</v>
      </c>
      <c r="M105" t="str">
        <f t="shared" si="10"/>
        <v>Medium Wind</v>
      </c>
      <c r="N105" t="str">
        <f t="shared" si="11"/>
        <v>Low</v>
      </c>
      <c r="O105" t="str">
        <f t="shared" si="12"/>
        <v>Low</v>
      </c>
      <c r="P105" t="str">
        <f t="shared" si="13"/>
        <v>Low Demand</v>
      </c>
    </row>
    <row r="106" spans="1:16" ht="13.8">
      <c r="A106" s="13">
        <v>104</v>
      </c>
      <c r="B106" s="13">
        <v>105</v>
      </c>
      <c r="C106" s="13">
        <v>0.2576</v>
      </c>
      <c r="D106" s="13">
        <v>0.3</v>
      </c>
      <c r="E106" s="13">
        <v>0.29849999999999999</v>
      </c>
      <c r="F106" s="13">
        <v>6</v>
      </c>
      <c r="G106" s="13">
        <v>65</v>
      </c>
      <c r="H106" s="13">
        <v>71</v>
      </c>
      <c r="J106" t="str">
        <f t="shared" si="7"/>
        <v>Unique</v>
      </c>
      <c r="K106" t="str">
        <f t="shared" si="8"/>
        <v>Hot</v>
      </c>
      <c r="L106" t="str">
        <f t="shared" si="9"/>
        <v>Low</v>
      </c>
      <c r="M106" t="str">
        <f t="shared" si="10"/>
        <v>Medium Wind</v>
      </c>
      <c r="N106" t="str">
        <f t="shared" si="11"/>
        <v>Low</v>
      </c>
      <c r="O106" t="str">
        <f t="shared" si="12"/>
        <v>Low</v>
      </c>
      <c r="P106" t="str">
        <f t="shared" si="13"/>
        <v>Low Demand</v>
      </c>
    </row>
    <row r="107" spans="1:16" ht="13.8">
      <c r="A107" s="13">
        <v>105</v>
      </c>
      <c r="B107" s="13">
        <v>106</v>
      </c>
      <c r="C107" s="13">
        <v>0.28789999999999999</v>
      </c>
      <c r="D107" s="13">
        <v>0.28000000000000003</v>
      </c>
      <c r="E107" s="13">
        <v>0.19400000000000001</v>
      </c>
      <c r="F107" s="13">
        <v>10</v>
      </c>
      <c r="G107" s="13">
        <v>52</v>
      </c>
      <c r="H107" s="13">
        <v>62</v>
      </c>
      <c r="J107" t="str">
        <f t="shared" si="7"/>
        <v>Unique</v>
      </c>
      <c r="K107" t="str">
        <f t="shared" si="8"/>
        <v>Hot</v>
      </c>
      <c r="L107" t="str">
        <f t="shared" si="9"/>
        <v>Low</v>
      </c>
      <c r="M107" t="str">
        <f t="shared" si="10"/>
        <v>Medium Wind</v>
      </c>
      <c r="N107" t="str">
        <f t="shared" si="11"/>
        <v>Low</v>
      </c>
      <c r="O107" t="str">
        <f t="shared" si="12"/>
        <v>Low</v>
      </c>
      <c r="P107" t="str">
        <f t="shared" si="13"/>
        <v>Low Demand</v>
      </c>
    </row>
    <row r="108" spans="1:16" ht="13.8">
      <c r="A108" s="13">
        <v>106</v>
      </c>
      <c r="B108" s="13">
        <v>107</v>
      </c>
      <c r="C108" s="13">
        <v>0.28789999999999999</v>
      </c>
      <c r="D108" s="13">
        <v>0.28000000000000003</v>
      </c>
      <c r="E108" s="13">
        <v>0.19400000000000001</v>
      </c>
      <c r="F108" s="13">
        <v>7</v>
      </c>
      <c r="G108" s="13">
        <v>55</v>
      </c>
      <c r="H108" s="13">
        <v>62</v>
      </c>
      <c r="J108" t="str">
        <f t="shared" si="7"/>
        <v>Unique</v>
      </c>
      <c r="K108" t="str">
        <f t="shared" si="8"/>
        <v>Hot</v>
      </c>
      <c r="L108" t="str">
        <f t="shared" si="9"/>
        <v>Low</v>
      </c>
      <c r="M108" t="str">
        <f t="shared" si="10"/>
        <v>Medium Wind</v>
      </c>
      <c r="N108" t="str">
        <f t="shared" si="11"/>
        <v>Low</v>
      </c>
      <c r="O108" t="str">
        <f t="shared" si="12"/>
        <v>Low</v>
      </c>
      <c r="P108" t="str">
        <f t="shared" si="13"/>
        <v>Low Demand</v>
      </c>
    </row>
    <row r="109" spans="1:16" ht="13.8">
      <c r="A109" s="13">
        <v>107</v>
      </c>
      <c r="B109" s="13">
        <v>108</v>
      </c>
      <c r="C109" s="13">
        <v>0.31819999999999998</v>
      </c>
      <c r="D109" s="13">
        <v>0.28000000000000003</v>
      </c>
      <c r="E109" s="13">
        <v>8.9599999999999999E-2</v>
      </c>
      <c r="F109" s="13">
        <v>4</v>
      </c>
      <c r="G109" s="13">
        <v>85</v>
      </c>
      <c r="H109" s="13">
        <v>89</v>
      </c>
      <c r="J109" t="str">
        <f t="shared" si="7"/>
        <v>Unique</v>
      </c>
      <c r="K109" t="str">
        <f t="shared" si="8"/>
        <v>Hot</v>
      </c>
      <c r="L109" t="str">
        <f t="shared" si="9"/>
        <v>Low</v>
      </c>
      <c r="M109" t="str">
        <f t="shared" si="10"/>
        <v>Medium Wind</v>
      </c>
      <c r="N109" t="str">
        <f t="shared" si="11"/>
        <v>Low</v>
      </c>
      <c r="O109" t="str">
        <f t="shared" si="12"/>
        <v>Low</v>
      </c>
      <c r="P109" t="str">
        <f t="shared" si="13"/>
        <v>Low Demand</v>
      </c>
    </row>
    <row r="110" spans="1:16" ht="13.8">
      <c r="A110" s="13">
        <v>108</v>
      </c>
      <c r="B110" s="13">
        <v>109</v>
      </c>
      <c r="C110" s="13">
        <v>0.2273</v>
      </c>
      <c r="D110" s="13">
        <v>0.38</v>
      </c>
      <c r="E110" s="13">
        <v>0.19400000000000001</v>
      </c>
      <c r="F110" s="13">
        <v>4</v>
      </c>
      <c r="G110" s="13">
        <v>186</v>
      </c>
      <c r="H110" s="13">
        <v>190</v>
      </c>
      <c r="J110" t="str">
        <f t="shared" si="7"/>
        <v>Unique</v>
      </c>
      <c r="K110" t="str">
        <f t="shared" si="8"/>
        <v>Hot</v>
      </c>
      <c r="L110" t="str">
        <f t="shared" si="9"/>
        <v>Low</v>
      </c>
      <c r="M110" t="str">
        <f t="shared" si="10"/>
        <v>Medium Wind</v>
      </c>
      <c r="N110" t="str">
        <f t="shared" si="11"/>
        <v>Low</v>
      </c>
      <c r="O110" t="str">
        <f t="shared" si="12"/>
        <v>Low</v>
      </c>
      <c r="P110" t="str">
        <f t="shared" si="13"/>
        <v>Medium Demand</v>
      </c>
    </row>
    <row r="111" spans="1:16" ht="13.8">
      <c r="A111" s="13">
        <v>109</v>
      </c>
      <c r="B111" s="13">
        <v>110</v>
      </c>
      <c r="C111" s="13">
        <v>0.2424</v>
      </c>
      <c r="D111" s="13">
        <v>0.38</v>
      </c>
      <c r="E111" s="13">
        <v>0.1343</v>
      </c>
      <c r="F111" s="13">
        <v>3</v>
      </c>
      <c r="G111" s="13">
        <v>166</v>
      </c>
      <c r="H111" s="13">
        <v>169</v>
      </c>
      <c r="J111" t="str">
        <f t="shared" si="7"/>
        <v>Unique</v>
      </c>
      <c r="K111" t="str">
        <f t="shared" si="8"/>
        <v>Hot</v>
      </c>
      <c r="L111" t="str">
        <f t="shared" si="9"/>
        <v>Low</v>
      </c>
      <c r="M111" t="str">
        <f t="shared" si="10"/>
        <v>Medium Wind</v>
      </c>
      <c r="N111" t="str">
        <f t="shared" si="11"/>
        <v>Low</v>
      </c>
      <c r="O111" t="str">
        <f t="shared" si="12"/>
        <v>Low</v>
      </c>
      <c r="P111" t="str">
        <f t="shared" si="13"/>
        <v>Medium Demand</v>
      </c>
    </row>
    <row r="112" spans="1:16" ht="13.8">
      <c r="A112" s="13">
        <v>110</v>
      </c>
      <c r="B112" s="13">
        <v>111</v>
      </c>
      <c r="C112" s="13">
        <v>0.2576</v>
      </c>
      <c r="D112" s="13">
        <v>0.38</v>
      </c>
      <c r="E112" s="13">
        <v>0.1045</v>
      </c>
      <c r="F112" s="13">
        <v>5</v>
      </c>
      <c r="G112" s="13">
        <v>127</v>
      </c>
      <c r="H112" s="13">
        <v>132</v>
      </c>
      <c r="J112" t="str">
        <f t="shared" si="7"/>
        <v>Unique</v>
      </c>
      <c r="K112" t="str">
        <f t="shared" si="8"/>
        <v>Hot</v>
      </c>
      <c r="L112" t="str">
        <f t="shared" si="9"/>
        <v>Low</v>
      </c>
      <c r="M112" t="str">
        <f t="shared" si="10"/>
        <v>Medium Wind</v>
      </c>
      <c r="N112" t="str">
        <f t="shared" si="11"/>
        <v>Low</v>
      </c>
      <c r="O112" t="str">
        <f t="shared" si="12"/>
        <v>Low</v>
      </c>
      <c r="P112" t="str">
        <f t="shared" si="13"/>
        <v>Medium Demand</v>
      </c>
    </row>
    <row r="113" spans="1:16" ht="13.8">
      <c r="A113" s="13">
        <v>111</v>
      </c>
      <c r="B113" s="13">
        <v>112</v>
      </c>
      <c r="C113" s="13">
        <v>0.2273</v>
      </c>
      <c r="D113" s="13">
        <v>0.47</v>
      </c>
      <c r="E113" s="13">
        <v>0.16420000000000001</v>
      </c>
      <c r="F113" s="13">
        <v>7</v>
      </c>
      <c r="G113" s="13">
        <v>82</v>
      </c>
      <c r="H113" s="13">
        <v>89</v>
      </c>
      <c r="J113" t="str">
        <f t="shared" si="7"/>
        <v>Unique</v>
      </c>
      <c r="K113" t="str">
        <f t="shared" si="8"/>
        <v>Hot</v>
      </c>
      <c r="L113" t="str">
        <f t="shared" si="9"/>
        <v>Low</v>
      </c>
      <c r="M113" t="str">
        <f t="shared" si="10"/>
        <v>Medium Wind</v>
      </c>
      <c r="N113" t="str">
        <f t="shared" si="11"/>
        <v>Low</v>
      </c>
      <c r="O113" t="str">
        <f t="shared" si="12"/>
        <v>Low</v>
      </c>
      <c r="P113" t="str">
        <f t="shared" si="13"/>
        <v>Low Demand</v>
      </c>
    </row>
    <row r="114" spans="1:16" ht="13.8">
      <c r="A114" s="13">
        <v>112</v>
      </c>
      <c r="B114" s="13">
        <v>113</v>
      </c>
      <c r="C114" s="13">
        <v>0.19700000000000001</v>
      </c>
      <c r="D114" s="13">
        <v>0.51</v>
      </c>
      <c r="E114" s="13">
        <v>0.19400000000000001</v>
      </c>
      <c r="F114" s="13">
        <v>3</v>
      </c>
      <c r="G114" s="13">
        <v>40</v>
      </c>
      <c r="H114" s="13">
        <v>43</v>
      </c>
      <c r="J114" t="str">
        <f t="shared" si="7"/>
        <v>Unique</v>
      </c>
      <c r="K114" t="str">
        <f t="shared" si="8"/>
        <v>Hot</v>
      </c>
      <c r="L114" t="str">
        <f t="shared" si="9"/>
        <v>Low</v>
      </c>
      <c r="M114" t="str">
        <f t="shared" si="10"/>
        <v>High Wind</v>
      </c>
      <c r="N114" t="str">
        <f t="shared" si="11"/>
        <v>Low</v>
      </c>
      <c r="O114" t="str">
        <f t="shared" si="12"/>
        <v>Low</v>
      </c>
      <c r="P114" t="str">
        <f t="shared" si="13"/>
        <v>Low Demand</v>
      </c>
    </row>
    <row r="115" spans="1:16" ht="13.8">
      <c r="A115" s="13">
        <v>113</v>
      </c>
      <c r="B115" s="13">
        <v>114</v>
      </c>
      <c r="C115" s="13">
        <v>0.19700000000000001</v>
      </c>
      <c r="D115" s="13">
        <v>0.55000000000000004</v>
      </c>
      <c r="E115" s="13">
        <v>0.1343</v>
      </c>
      <c r="F115" s="13">
        <v>1</v>
      </c>
      <c r="G115" s="13">
        <v>41</v>
      </c>
      <c r="H115" s="13">
        <v>42</v>
      </c>
      <c r="J115" t="str">
        <f t="shared" si="7"/>
        <v>Unique</v>
      </c>
      <c r="K115" t="str">
        <f t="shared" si="8"/>
        <v>Hot</v>
      </c>
      <c r="L115" t="str">
        <f t="shared" si="9"/>
        <v>Low</v>
      </c>
      <c r="M115" t="str">
        <f t="shared" si="10"/>
        <v>High Wind</v>
      </c>
      <c r="N115" t="str">
        <f t="shared" si="11"/>
        <v>Low</v>
      </c>
      <c r="O115" t="str">
        <f t="shared" si="12"/>
        <v>Low</v>
      </c>
      <c r="P115" t="str">
        <f t="shared" si="13"/>
        <v>Low Demand</v>
      </c>
    </row>
    <row r="116" spans="1:16" ht="13.8">
      <c r="A116" s="13">
        <v>114</v>
      </c>
      <c r="B116" s="13">
        <v>115</v>
      </c>
      <c r="C116" s="13">
        <v>0.2576</v>
      </c>
      <c r="D116" s="13">
        <v>0.47</v>
      </c>
      <c r="E116" s="13">
        <v>0</v>
      </c>
      <c r="F116" s="13">
        <v>1</v>
      </c>
      <c r="G116" s="13">
        <v>18</v>
      </c>
      <c r="H116" s="13">
        <v>19</v>
      </c>
      <c r="J116" t="str">
        <f t="shared" si="7"/>
        <v>Unique</v>
      </c>
      <c r="K116" t="str">
        <f t="shared" si="8"/>
        <v>Hot</v>
      </c>
      <c r="L116" t="str">
        <f t="shared" si="9"/>
        <v>Low</v>
      </c>
      <c r="M116" t="str">
        <f t="shared" si="10"/>
        <v>Medium Wind</v>
      </c>
      <c r="N116" t="str">
        <f t="shared" si="11"/>
        <v>Low</v>
      </c>
      <c r="O116" t="str">
        <f t="shared" si="12"/>
        <v>Low</v>
      </c>
      <c r="P116" t="str">
        <f t="shared" si="13"/>
        <v>Low Demand</v>
      </c>
    </row>
    <row r="117" spans="1:16" ht="13.8">
      <c r="A117" s="13">
        <v>115</v>
      </c>
      <c r="B117" s="13">
        <v>116</v>
      </c>
      <c r="C117" s="13">
        <v>0.2424</v>
      </c>
      <c r="D117" s="13">
        <v>0.55000000000000004</v>
      </c>
      <c r="E117" s="13">
        <v>0</v>
      </c>
      <c r="F117" s="13">
        <v>0</v>
      </c>
      <c r="G117" s="13">
        <v>11</v>
      </c>
      <c r="H117" s="13">
        <v>11</v>
      </c>
      <c r="J117" t="str">
        <f t="shared" si="7"/>
        <v>Unique</v>
      </c>
      <c r="K117" t="str">
        <f t="shared" si="8"/>
        <v>Hot</v>
      </c>
      <c r="L117" t="str">
        <f t="shared" si="9"/>
        <v>Low</v>
      </c>
      <c r="M117" t="str">
        <f t="shared" si="10"/>
        <v>High Wind</v>
      </c>
      <c r="N117" t="str">
        <f t="shared" si="11"/>
        <v>Low</v>
      </c>
      <c r="O117" t="str">
        <f t="shared" si="12"/>
        <v>Low</v>
      </c>
      <c r="P117" t="str">
        <f t="shared" si="13"/>
        <v>Low Demand</v>
      </c>
    </row>
    <row r="118" spans="1:16" ht="13.8">
      <c r="A118" s="13">
        <v>116</v>
      </c>
      <c r="B118" s="13">
        <v>117</v>
      </c>
      <c r="C118" s="13">
        <v>0.2273</v>
      </c>
      <c r="D118" s="13">
        <v>0.64</v>
      </c>
      <c r="E118" s="13">
        <v>0</v>
      </c>
      <c r="F118" s="13">
        <v>0</v>
      </c>
      <c r="G118" s="13">
        <v>4</v>
      </c>
      <c r="H118" s="13">
        <v>4</v>
      </c>
      <c r="J118" t="str">
        <f t="shared" si="7"/>
        <v>Unique</v>
      </c>
      <c r="K118" t="str">
        <f t="shared" si="8"/>
        <v>Hot</v>
      </c>
      <c r="L118" t="str">
        <f t="shared" si="9"/>
        <v>Low</v>
      </c>
      <c r="M118" t="str">
        <f t="shared" si="10"/>
        <v>High Wind</v>
      </c>
      <c r="N118" t="str">
        <f t="shared" si="11"/>
        <v>Low</v>
      </c>
      <c r="O118" t="str">
        <f t="shared" si="12"/>
        <v>Low</v>
      </c>
      <c r="P118" t="str">
        <f t="shared" si="13"/>
        <v>Low Demand</v>
      </c>
    </row>
    <row r="119" spans="1:16" ht="13.8">
      <c r="A119" s="13">
        <v>117</v>
      </c>
      <c r="B119" s="13">
        <v>118</v>
      </c>
      <c r="C119" s="13">
        <v>0.2273</v>
      </c>
      <c r="D119" s="13">
        <v>0.64</v>
      </c>
      <c r="E119" s="13">
        <v>0</v>
      </c>
      <c r="F119" s="13">
        <v>0</v>
      </c>
      <c r="G119" s="13">
        <v>2</v>
      </c>
      <c r="H119" s="13">
        <v>2</v>
      </c>
      <c r="J119" t="str">
        <f t="shared" si="7"/>
        <v>Unique</v>
      </c>
      <c r="K119" t="str">
        <f t="shared" si="8"/>
        <v>Hot</v>
      </c>
      <c r="L119" t="str">
        <f t="shared" si="9"/>
        <v>Low</v>
      </c>
      <c r="M119" t="str">
        <f t="shared" si="10"/>
        <v>High Wind</v>
      </c>
      <c r="N119" t="str">
        <f t="shared" si="11"/>
        <v>Low</v>
      </c>
      <c r="O119" t="str">
        <f t="shared" si="12"/>
        <v>Low</v>
      </c>
      <c r="P119" t="str">
        <f t="shared" si="13"/>
        <v>Low Demand</v>
      </c>
    </row>
    <row r="120" spans="1:16" ht="13.8">
      <c r="A120" s="13">
        <v>118</v>
      </c>
      <c r="B120" s="13">
        <v>119</v>
      </c>
      <c r="C120" s="13">
        <v>0.19700000000000001</v>
      </c>
      <c r="D120" s="13">
        <v>0.64</v>
      </c>
      <c r="E120" s="13">
        <v>8.9599999999999999E-2</v>
      </c>
      <c r="F120" s="13">
        <v>0</v>
      </c>
      <c r="G120" s="13">
        <v>1</v>
      </c>
      <c r="H120" s="13">
        <v>1</v>
      </c>
      <c r="J120" t="str">
        <f t="shared" si="7"/>
        <v>Unique</v>
      </c>
      <c r="K120" t="str">
        <f t="shared" si="8"/>
        <v>Hot</v>
      </c>
      <c r="L120" t="str">
        <f t="shared" si="9"/>
        <v>Low</v>
      </c>
      <c r="M120" t="str">
        <f t="shared" si="10"/>
        <v>High Wind</v>
      </c>
      <c r="N120" t="str">
        <f t="shared" si="11"/>
        <v>Low</v>
      </c>
      <c r="O120" t="str">
        <f t="shared" si="12"/>
        <v>Low</v>
      </c>
      <c r="P120" t="str">
        <f t="shared" si="13"/>
        <v>Low Demand</v>
      </c>
    </row>
    <row r="121" spans="1:16" ht="13.8">
      <c r="A121" s="13">
        <v>119</v>
      </c>
      <c r="B121" s="13">
        <v>120</v>
      </c>
      <c r="C121" s="13">
        <v>0.18179999999999999</v>
      </c>
      <c r="D121" s="13">
        <v>0.69</v>
      </c>
      <c r="E121" s="13">
        <v>8.9599999999999999E-2</v>
      </c>
      <c r="F121" s="13">
        <v>0</v>
      </c>
      <c r="G121" s="13">
        <v>4</v>
      </c>
      <c r="H121" s="13">
        <v>4</v>
      </c>
      <c r="J121" t="str">
        <f t="shared" si="7"/>
        <v>Unique</v>
      </c>
      <c r="K121" t="str">
        <f t="shared" si="8"/>
        <v>Hot</v>
      </c>
      <c r="L121" t="str">
        <f t="shared" si="9"/>
        <v>Low</v>
      </c>
      <c r="M121" t="str">
        <f t="shared" si="10"/>
        <v>High Wind</v>
      </c>
      <c r="N121" t="str">
        <f t="shared" si="11"/>
        <v>Low</v>
      </c>
      <c r="O121" t="str">
        <f t="shared" si="12"/>
        <v>Low</v>
      </c>
      <c r="P121" t="str">
        <f t="shared" si="13"/>
        <v>Low Demand</v>
      </c>
    </row>
    <row r="122" spans="1:16" ht="13.8">
      <c r="A122" s="13">
        <v>120</v>
      </c>
      <c r="B122" s="13">
        <v>121</v>
      </c>
      <c r="C122" s="13">
        <v>0.16669999999999999</v>
      </c>
      <c r="D122" s="13">
        <v>0.63</v>
      </c>
      <c r="E122" s="13">
        <v>0.1045</v>
      </c>
      <c r="F122" s="13">
        <v>0</v>
      </c>
      <c r="G122" s="13">
        <v>36</v>
      </c>
      <c r="H122" s="13">
        <v>36</v>
      </c>
      <c r="J122" t="str">
        <f t="shared" si="7"/>
        <v>Unique</v>
      </c>
      <c r="K122" t="str">
        <f t="shared" si="8"/>
        <v>Hot</v>
      </c>
      <c r="L122" t="str">
        <f t="shared" si="9"/>
        <v>Low</v>
      </c>
      <c r="M122" t="str">
        <f t="shared" si="10"/>
        <v>High Wind</v>
      </c>
      <c r="N122" t="str">
        <f t="shared" si="11"/>
        <v>Low</v>
      </c>
      <c r="O122" t="str">
        <f t="shared" si="12"/>
        <v>Low</v>
      </c>
      <c r="P122" t="str">
        <f t="shared" si="13"/>
        <v>Low Demand</v>
      </c>
    </row>
    <row r="123" spans="1:16" ht="13.8">
      <c r="A123" s="13">
        <v>121</v>
      </c>
      <c r="B123" s="13">
        <v>122</v>
      </c>
      <c r="C123" s="13">
        <v>0.2273</v>
      </c>
      <c r="D123" s="13">
        <v>0.59</v>
      </c>
      <c r="E123" s="13">
        <v>0</v>
      </c>
      <c r="F123" s="13">
        <v>0</v>
      </c>
      <c r="G123" s="13">
        <v>95</v>
      </c>
      <c r="H123" s="13">
        <v>95</v>
      </c>
      <c r="J123" t="str">
        <f t="shared" si="7"/>
        <v>Unique</v>
      </c>
      <c r="K123" t="str">
        <f t="shared" si="8"/>
        <v>Hot</v>
      </c>
      <c r="L123" t="str">
        <f t="shared" si="9"/>
        <v>Low</v>
      </c>
      <c r="M123" t="str">
        <f t="shared" si="10"/>
        <v>High Wind</v>
      </c>
      <c r="N123" t="str">
        <f t="shared" si="11"/>
        <v>Low</v>
      </c>
      <c r="O123" t="str">
        <f t="shared" si="12"/>
        <v>Low</v>
      </c>
      <c r="P123" t="str">
        <f t="shared" si="13"/>
        <v>Low Demand</v>
      </c>
    </row>
    <row r="124" spans="1:16" ht="13.8">
      <c r="A124" s="13">
        <v>122</v>
      </c>
      <c r="B124" s="13">
        <v>123</v>
      </c>
      <c r="C124" s="13">
        <v>0.2273</v>
      </c>
      <c r="D124" s="13">
        <v>0.59</v>
      </c>
      <c r="E124" s="13">
        <v>0</v>
      </c>
      <c r="F124" s="13">
        <v>3</v>
      </c>
      <c r="G124" s="13">
        <v>216</v>
      </c>
      <c r="H124" s="13">
        <v>219</v>
      </c>
      <c r="J124" t="str">
        <f t="shared" si="7"/>
        <v>Unique</v>
      </c>
      <c r="K124" t="str">
        <f t="shared" si="8"/>
        <v>Hot</v>
      </c>
      <c r="L124" t="str">
        <f t="shared" si="9"/>
        <v>Low</v>
      </c>
      <c r="M124" t="str">
        <f t="shared" si="10"/>
        <v>High Wind</v>
      </c>
      <c r="N124" t="str">
        <f t="shared" si="11"/>
        <v>Low</v>
      </c>
      <c r="O124" t="str">
        <f t="shared" si="12"/>
        <v>Low</v>
      </c>
      <c r="P124" t="str">
        <f t="shared" si="13"/>
        <v>Medium Demand</v>
      </c>
    </row>
    <row r="125" spans="1:16" ht="13.8">
      <c r="A125" s="13">
        <v>123</v>
      </c>
      <c r="B125" s="13">
        <v>124</v>
      </c>
      <c r="C125" s="13">
        <v>0.2424</v>
      </c>
      <c r="D125" s="13">
        <v>0.51</v>
      </c>
      <c r="E125" s="13">
        <v>0</v>
      </c>
      <c r="F125" s="13">
        <v>6</v>
      </c>
      <c r="G125" s="13">
        <v>116</v>
      </c>
      <c r="H125" s="13">
        <v>122</v>
      </c>
      <c r="J125" t="str">
        <f t="shared" si="7"/>
        <v>Unique</v>
      </c>
      <c r="K125" t="str">
        <f t="shared" si="8"/>
        <v>Hot</v>
      </c>
      <c r="L125" t="str">
        <f t="shared" si="9"/>
        <v>Low</v>
      </c>
      <c r="M125" t="str">
        <f t="shared" si="10"/>
        <v>High Wind</v>
      </c>
      <c r="N125" t="str">
        <f t="shared" si="11"/>
        <v>Low</v>
      </c>
      <c r="O125" t="str">
        <f t="shared" si="12"/>
        <v>Low</v>
      </c>
      <c r="P125" t="str">
        <f t="shared" si="13"/>
        <v>Medium Demand</v>
      </c>
    </row>
    <row r="126" spans="1:16" ht="13.8">
      <c r="A126" s="13">
        <v>124</v>
      </c>
      <c r="B126" s="13">
        <v>125</v>
      </c>
      <c r="C126" s="13">
        <v>0.2576</v>
      </c>
      <c r="D126" s="13">
        <v>0.47</v>
      </c>
      <c r="E126" s="13">
        <v>0</v>
      </c>
      <c r="F126" s="13">
        <v>3</v>
      </c>
      <c r="G126" s="13">
        <v>42</v>
      </c>
      <c r="H126" s="13">
        <v>45</v>
      </c>
      <c r="J126" t="str">
        <f t="shared" si="7"/>
        <v>Unique</v>
      </c>
      <c r="K126" t="str">
        <f t="shared" si="8"/>
        <v>Hot</v>
      </c>
      <c r="L126" t="str">
        <f t="shared" si="9"/>
        <v>Low</v>
      </c>
      <c r="M126" t="str">
        <f t="shared" si="10"/>
        <v>Medium Wind</v>
      </c>
      <c r="N126" t="str">
        <f t="shared" si="11"/>
        <v>Low</v>
      </c>
      <c r="O126" t="str">
        <f t="shared" si="12"/>
        <v>Low</v>
      </c>
      <c r="P126" t="str">
        <f t="shared" si="13"/>
        <v>Low Demand</v>
      </c>
    </row>
    <row r="127" spans="1:16" ht="13.8">
      <c r="A127" s="13">
        <v>125</v>
      </c>
      <c r="B127" s="13">
        <v>126</v>
      </c>
      <c r="C127" s="13">
        <v>0.2576</v>
      </c>
      <c r="D127" s="13">
        <v>0.44</v>
      </c>
      <c r="E127" s="13">
        <v>8.9599999999999999E-2</v>
      </c>
      <c r="F127" s="13">
        <v>2</v>
      </c>
      <c r="G127" s="13">
        <v>57</v>
      </c>
      <c r="H127" s="13">
        <v>59</v>
      </c>
      <c r="J127" t="str">
        <f t="shared" si="7"/>
        <v>Unique</v>
      </c>
      <c r="K127" t="str">
        <f t="shared" si="8"/>
        <v>Hot</v>
      </c>
      <c r="L127" t="str">
        <f t="shared" si="9"/>
        <v>Low</v>
      </c>
      <c r="M127" t="str">
        <f t="shared" si="10"/>
        <v>Medium Wind</v>
      </c>
      <c r="N127" t="str">
        <f t="shared" si="11"/>
        <v>Low</v>
      </c>
      <c r="O127" t="str">
        <f t="shared" si="12"/>
        <v>Low</v>
      </c>
      <c r="P127" t="str">
        <f t="shared" si="13"/>
        <v>Low Demand</v>
      </c>
    </row>
    <row r="128" spans="1:16" ht="13.8">
      <c r="A128" s="13">
        <v>126</v>
      </c>
      <c r="B128" s="13">
        <v>127</v>
      </c>
      <c r="C128" s="13">
        <v>0.28789999999999999</v>
      </c>
      <c r="D128" s="13">
        <v>0.35</v>
      </c>
      <c r="E128" s="13">
        <v>0</v>
      </c>
      <c r="F128" s="13">
        <v>6</v>
      </c>
      <c r="G128" s="13">
        <v>78</v>
      </c>
      <c r="H128" s="13">
        <v>84</v>
      </c>
      <c r="J128" t="str">
        <f t="shared" si="7"/>
        <v>Unique</v>
      </c>
      <c r="K128" t="str">
        <f t="shared" si="8"/>
        <v>Hot</v>
      </c>
      <c r="L128" t="str">
        <f t="shared" si="9"/>
        <v>Low</v>
      </c>
      <c r="M128" t="str">
        <f t="shared" si="10"/>
        <v>Medium Wind</v>
      </c>
      <c r="N128" t="str">
        <f t="shared" si="11"/>
        <v>Low</v>
      </c>
      <c r="O128" t="str">
        <f t="shared" si="12"/>
        <v>Low</v>
      </c>
      <c r="P128" t="str">
        <f t="shared" si="13"/>
        <v>Low Demand</v>
      </c>
    </row>
    <row r="129" spans="1:16" ht="13.8">
      <c r="A129" s="13">
        <v>127</v>
      </c>
      <c r="B129" s="13">
        <v>128</v>
      </c>
      <c r="C129" s="13">
        <v>0.2727</v>
      </c>
      <c r="D129" s="13">
        <v>0.35</v>
      </c>
      <c r="E129" s="13">
        <v>0.1045</v>
      </c>
      <c r="F129" s="13">
        <v>12</v>
      </c>
      <c r="G129" s="13">
        <v>55</v>
      </c>
      <c r="H129" s="13">
        <v>67</v>
      </c>
      <c r="J129" t="str">
        <f t="shared" si="7"/>
        <v>Unique</v>
      </c>
      <c r="K129" t="str">
        <f t="shared" si="8"/>
        <v>Hot</v>
      </c>
      <c r="L129" t="str">
        <f t="shared" si="9"/>
        <v>Low</v>
      </c>
      <c r="M129" t="str">
        <f t="shared" si="10"/>
        <v>Medium Wind</v>
      </c>
      <c r="N129" t="str">
        <f t="shared" si="11"/>
        <v>Low</v>
      </c>
      <c r="O129" t="str">
        <f t="shared" si="12"/>
        <v>Low</v>
      </c>
      <c r="P129" t="str">
        <f t="shared" si="13"/>
        <v>Low Demand</v>
      </c>
    </row>
    <row r="130" spans="1:16" ht="13.8">
      <c r="A130" s="13">
        <v>128</v>
      </c>
      <c r="B130" s="13">
        <v>129</v>
      </c>
      <c r="C130" s="13">
        <v>0.2727</v>
      </c>
      <c r="D130" s="13">
        <v>0.36</v>
      </c>
      <c r="E130" s="13">
        <v>0.16420000000000001</v>
      </c>
      <c r="F130" s="13">
        <v>11</v>
      </c>
      <c r="G130" s="13">
        <v>59</v>
      </c>
      <c r="H130" s="13">
        <v>70</v>
      </c>
      <c r="J130" t="str">
        <f t="shared" si="7"/>
        <v>Unique</v>
      </c>
      <c r="K130" t="str">
        <f t="shared" si="8"/>
        <v>Hot</v>
      </c>
      <c r="L130" t="str">
        <f t="shared" si="9"/>
        <v>Low</v>
      </c>
      <c r="M130" t="str">
        <f t="shared" si="10"/>
        <v>Medium Wind</v>
      </c>
      <c r="N130" t="str">
        <f t="shared" si="11"/>
        <v>Low</v>
      </c>
      <c r="O130" t="str">
        <f t="shared" si="12"/>
        <v>Low</v>
      </c>
      <c r="P130" t="str">
        <f t="shared" si="13"/>
        <v>Low Demand</v>
      </c>
    </row>
    <row r="131" spans="1:16" ht="13.8">
      <c r="A131" s="13">
        <v>129</v>
      </c>
      <c r="B131" s="13">
        <v>130</v>
      </c>
      <c r="C131" s="13">
        <v>0.2727</v>
      </c>
      <c r="D131" s="13">
        <v>0.36</v>
      </c>
      <c r="E131" s="13">
        <v>0</v>
      </c>
      <c r="F131" s="13">
        <v>8</v>
      </c>
      <c r="G131" s="13">
        <v>54</v>
      </c>
      <c r="H131" s="13">
        <v>62</v>
      </c>
      <c r="J131" t="str">
        <f t="shared" ref="J131:J194" si="14">IF(COUNTIF(A:A,A131)&gt;1,"Duplicate","Unique")</f>
        <v>Unique</v>
      </c>
      <c r="K131" t="str">
        <f t="shared" ref="K131:K194" si="15">IF(B131&lt;0.3,"Cold",IF(B131&lt;0.6,"Normal","Hot"))</f>
        <v>Hot</v>
      </c>
      <c r="L131" t="str">
        <f t="shared" ref="L131:L194" si="16">IF(C131&lt;0.4,"Low",IF(C131&lt;0.7,"Medium","High"))</f>
        <v>Low</v>
      </c>
      <c r="M131" t="str">
        <f t="shared" ref="M131:M194" si="17">IF(D131&lt;0.2,"Low Wind",IF(D131&lt;0.5,"Medium Wind","High Wind"))</f>
        <v>Medium Wind</v>
      </c>
      <c r="N131" t="str">
        <f t="shared" ref="N131:N194" si="18">IF(E131&lt;50,"Low",IF(E131&lt;150,"Medium","High"))</f>
        <v>Low</v>
      </c>
      <c r="O131" t="str">
        <f t="shared" ref="O131:O194" si="19">IF(F131&lt;100,"Low",IF(F131&lt;300,"Medium","High"))</f>
        <v>Low</v>
      </c>
      <c r="P131" t="str">
        <f t="shared" ref="P131:P194" si="20">IF(G131&lt;100,"Low Demand",IF(G131&lt;300,"Medium Demand","High Demand"))</f>
        <v>Low Demand</v>
      </c>
    </row>
    <row r="132" spans="1:16" ht="13.8">
      <c r="A132" s="13">
        <v>130</v>
      </c>
      <c r="B132" s="13">
        <v>131</v>
      </c>
      <c r="C132" s="13">
        <v>0.2576</v>
      </c>
      <c r="D132" s="13">
        <v>0.38</v>
      </c>
      <c r="E132" s="13">
        <v>0.16420000000000001</v>
      </c>
      <c r="F132" s="13">
        <v>12</v>
      </c>
      <c r="G132" s="13">
        <v>74</v>
      </c>
      <c r="H132" s="13">
        <v>86</v>
      </c>
      <c r="J132" t="str">
        <f t="shared" si="14"/>
        <v>Unique</v>
      </c>
      <c r="K132" t="str">
        <f t="shared" si="15"/>
        <v>Hot</v>
      </c>
      <c r="L132" t="str">
        <f t="shared" si="16"/>
        <v>Low</v>
      </c>
      <c r="M132" t="str">
        <f t="shared" si="17"/>
        <v>Medium Wind</v>
      </c>
      <c r="N132" t="str">
        <f t="shared" si="18"/>
        <v>Low</v>
      </c>
      <c r="O132" t="str">
        <f t="shared" si="19"/>
        <v>Low</v>
      </c>
      <c r="P132" t="str">
        <f t="shared" si="20"/>
        <v>Low Demand</v>
      </c>
    </row>
    <row r="133" spans="1:16" ht="13.8">
      <c r="A133" s="13">
        <v>131</v>
      </c>
      <c r="B133" s="13">
        <v>132</v>
      </c>
      <c r="C133" s="13">
        <v>0.2273</v>
      </c>
      <c r="D133" s="13">
        <v>0.51</v>
      </c>
      <c r="E133" s="13">
        <v>0.16420000000000001</v>
      </c>
      <c r="F133" s="13">
        <v>9</v>
      </c>
      <c r="G133" s="13">
        <v>163</v>
      </c>
      <c r="H133" s="13">
        <v>172</v>
      </c>
      <c r="J133" t="str">
        <f t="shared" si="14"/>
        <v>Unique</v>
      </c>
      <c r="K133" t="str">
        <f t="shared" si="15"/>
        <v>Hot</v>
      </c>
      <c r="L133" t="str">
        <f t="shared" si="16"/>
        <v>Low</v>
      </c>
      <c r="M133" t="str">
        <f t="shared" si="17"/>
        <v>High Wind</v>
      </c>
      <c r="N133" t="str">
        <f t="shared" si="18"/>
        <v>Low</v>
      </c>
      <c r="O133" t="str">
        <f t="shared" si="19"/>
        <v>Low</v>
      </c>
      <c r="P133" t="str">
        <f t="shared" si="20"/>
        <v>Medium Demand</v>
      </c>
    </row>
    <row r="134" spans="1:16" ht="13.8">
      <c r="A134" s="13">
        <v>132</v>
      </c>
      <c r="B134" s="13">
        <v>133</v>
      </c>
      <c r="C134" s="13">
        <v>0.2273</v>
      </c>
      <c r="D134" s="13">
        <v>0.51</v>
      </c>
      <c r="E134" s="13">
        <v>0.1343</v>
      </c>
      <c r="F134" s="13">
        <v>5</v>
      </c>
      <c r="G134" s="13">
        <v>158</v>
      </c>
      <c r="H134" s="13">
        <v>163</v>
      </c>
      <c r="J134" t="str">
        <f t="shared" si="14"/>
        <v>Unique</v>
      </c>
      <c r="K134" t="str">
        <f t="shared" si="15"/>
        <v>Hot</v>
      </c>
      <c r="L134" t="str">
        <f t="shared" si="16"/>
        <v>Low</v>
      </c>
      <c r="M134" t="str">
        <f t="shared" si="17"/>
        <v>High Wind</v>
      </c>
      <c r="N134" t="str">
        <f t="shared" si="18"/>
        <v>Low</v>
      </c>
      <c r="O134" t="str">
        <f t="shared" si="19"/>
        <v>Low</v>
      </c>
      <c r="P134" t="str">
        <f t="shared" si="20"/>
        <v>Medium Demand</v>
      </c>
    </row>
    <row r="135" spans="1:16" ht="13.8">
      <c r="A135" s="13">
        <v>133</v>
      </c>
      <c r="B135" s="13">
        <v>134</v>
      </c>
      <c r="C135" s="13">
        <v>0.2576</v>
      </c>
      <c r="D135" s="13">
        <v>0.55000000000000004</v>
      </c>
      <c r="E135" s="13">
        <v>8.9599999999999999E-2</v>
      </c>
      <c r="F135" s="13">
        <v>3</v>
      </c>
      <c r="G135" s="13">
        <v>109</v>
      </c>
      <c r="H135" s="13">
        <v>112</v>
      </c>
      <c r="J135" t="str">
        <f t="shared" si="14"/>
        <v>Unique</v>
      </c>
      <c r="K135" t="str">
        <f t="shared" si="15"/>
        <v>Hot</v>
      </c>
      <c r="L135" t="str">
        <f t="shared" si="16"/>
        <v>Low</v>
      </c>
      <c r="M135" t="str">
        <f t="shared" si="17"/>
        <v>High Wind</v>
      </c>
      <c r="N135" t="str">
        <f t="shared" si="18"/>
        <v>Low</v>
      </c>
      <c r="O135" t="str">
        <f t="shared" si="19"/>
        <v>Low</v>
      </c>
      <c r="P135" t="str">
        <f t="shared" si="20"/>
        <v>Medium Demand</v>
      </c>
    </row>
    <row r="136" spans="1:16" ht="13.8">
      <c r="A136" s="13">
        <v>134</v>
      </c>
      <c r="B136" s="13">
        <v>135</v>
      </c>
      <c r="C136" s="13">
        <v>0.21210000000000001</v>
      </c>
      <c r="D136" s="13">
        <v>0.51</v>
      </c>
      <c r="E136" s="13">
        <v>0.16420000000000001</v>
      </c>
      <c r="F136" s="13">
        <v>3</v>
      </c>
      <c r="G136" s="13">
        <v>66</v>
      </c>
      <c r="H136" s="13">
        <v>69</v>
      </c>
      <c r="J136" t="str">
        <f t="shared" si="14"/>
        <v>Unique</v>
      </c>
      <c r="K136" t="str">
        <f t="shared" si="15"/>
        <v>Hot</v>
      </c>
      <c r="L136" t="str">
        <f t="shared" si="16"/>
        <v>Low</v>
      </c>
      <c r="M136" t="str">
        <f t="shared" si="17"/>
        <v>High Wind</v>
      </c>
      <c r="N136" t="str">
        <f t="shared" si="18"/>
        <v>Low</v>
      </c>
      <c r="O136" t="str">
        <f t="shared" si="19"/>
        <v>Low</v>
      </c>
      <c r="P136" t="str">
        <f t="shared" si="20"/>
        <v>Low Demand</v>
      </c>
    </row>
    <row r="137" spans="1:16" ht="13.8">
      <c r="A137" s="13">
        <v>135</v>
      </c>
      <c r="B137" s="13">
        <v>136</v>
      </c>
      <c r="C137" s="13">
        <v>0.21210000000000001</v>
      </c>
      <c r="D137" s="13">
        <v>0.55000000000000004</v>
      </c>
      <c r="E137" s="13">
        <v>0.22389999999999999</v>
      </c>
      <c r="F137" s="13">
        <v>0</v>
      </c>
      <c r="G137" s="13">
        <v>48</v>
      </c>
      <c r="H137" s="13">
        <v>48</v>
      </c>
      <c r="J137" t="str">
        <f t="shared" si="14"/>
        <v>Unique</v>
      </c>
      <c r="K137" t="str">
        <f t="shared" si="15"/>
        <v>Hot</v>
      </c>
      <c r="L137" t="str">
        <f t="shared" si="16"/>
        <v>Low</v>
      </c>
      <c r="M137" t="str">
        <f t="shared" si="17"/>
        <v>High Wind</v>
      </c>
      <c r="N137" t="str">
        <f t="shared" si="18"/>
        <v>Low</v>
      </c>
      <c r="O137" t="str">
        <f t="shared" si="19"/>
        <v>Low</v>
      </c>
      <c r="P137" t="str">
        <f t="shared" si="20"/>
        <v>Low Demand</v>
      </c>
    </row>
    <row r="138" spans="1:16" ht="13.8">
      <c r="A138" s="13">
        <v>136</v>
      </c>
      <c r="B138" s="13">
        <v>137</v>
      </c>
      <c r="C138" s="13">
        <v>0.21210000000000001</v>
      </c>
      <c r="D138" s="13">
        <v>0.51</v>
      </c>
      <c r="E138" s="13">
        <v>0.28360000000000002</v>
      </c>
      <c r="F138" s="13">
        <v>1</v>
      </c>
      <c r="G138" s="13">
        <v>51</v>
      </c>
      <c r="H138" s="13">
        <v>52</v>
      </c>
      <c r="J138" t="str">
        <f t="shared" si="14"/>
        <v>Unique</v>
      </c>
      <c r="K138" t="str">
        <f t="shared" si="15"/>
        <v>Hot</v>
      </c>
      <c r="L138" t="str">
        <f t="shared" si="16"/>
        <v>Low</v>
      </c>
      <c r="M138" t="str">
        <f t="shared" si="17"/>
        <v>High Wind</v>
      </c>
      <c r="N138" t="str">
        <f t="shared" si="18"/>
        <v>Low</v>
      </c>
      <c r="O138" t="str">
        <f t="shared" si="19"/>
        <v>Low</v>
      </c>
      <c r="P138" t="str">
        <f t="shared" si="20"/>
        <v>Low Demand</v>
      </c>
    </row>
    <row r="139" spans="1:16" ht="13.8">
      <c r="A139" s="13">
        <v>137</v>
      </c>
      <c r="B139" s="13">
        <v>138</v>
      </c>
      <c r="C139" s="13">
        <v>0.19700000000000001</v>
      </c>
      <c r="D139" s="13">
        <v>0.59</v>
      </c>
      <c r="E139" s="13">
        <v>0.19400000000000001</v>
      </c>
      <c r="F139" s="13">
        <v>4</v>
      </c>
      <c r="G139" s="13">
        <v>19</v>
      </c>
      <c r="H139" s="13">
        <v>23</v>
      </c>
      <c r="J139" t="str">
        <f t="shared" si="14"/>
        <v>Unique</v>
      </c>
      <c r="K139" t="str">
        <f t="shared" si="15"/>
        <v>Hot</v>
      </c>
      <c r="L139" t="str">
        <f t="shared" si="16"/>
        <v>Low</v>
      </c>
      <c r="M139" t="str">
        <f t="shared" si="17"/>
        <v>High Wind</v>
      </c>
      <c r="N139" t="str">
        <f t="shared" si="18"/>
        <v>Low</v>
      </c>
      <c r="O139" t="str">
        <f t="shared" si="19"/>
        <v>Low</v>
      </c>
      <c r="P139" t="str">
        <f t="shared" si="20"/>
        <v>Low Demand</v>
      </c>
    </row>
    <row r="140" spans="1:16" ht="13.8">
      <c r="A140" s="13">
        <v>138</v>
      </c>
      <c r="B140" s="13">
        <v>139</v>
      </c>
      <c r="C140" s="13">
        <v>0.19700000000000001</v>
      </c>
      <c r="D140" s="13">
        <v>0.64</v>
      </c>
      <c r="E140" s="13">
        <v>0.19400000000000001</v>
      </c>
      <c r="F140" s="13">
        <v>4</v>
      </c>
      <c r="G140" s="13">
        <v>13</v>
      </c>
      <c r="H140" s="13">
        <v>17</v>
      </c>
      <c r="J140" t="str">
        <f t="shared" si="14"/>
        <v>Unique</v>
      </c>
      <c r="K140" t="str">
        <f t="shared" si="15"/>
        <v>Hot</v>
      </c>
      <c r="L140" t="str">
        <f t="shared" si="16"/>
        <v>Low</v>
      </c>
      <c r="M140" t="str">
        <f t="shared" si="17"/>
        <v>High Wind</v>
      </c>
      <c r="N140" t="str">
        <f t="shared" si="18"/>
        <v>Low</v>
      </c>
      <c r="O140" t="str">
        <f t="shared" si="19"/>
        <v>Low</v>
      </c>
      <c r="P140" t="str">
        <f t="shared" si="20"/>
        <v>Low Demand</v>
      </c>
    </row>
    <row r="141" spans="1:16" ht="13.8">
      <c r="A141" s="13">
        <v>139</v>
      </c>
      <c r="B141" s="13">
        <v>140</v>
      </c>
      <c r="C141" s="13">
        <v>0.19700000000000001</v>
      </c>
      <c r="D141" s="13">
        <v>0.69</v>
      </c>
      <c r="E141" s="13">
        <v>0.22389999999999999</v>
      </c>
      <c r="F141" s="13">
        <v>2</v>
      </c>
      <c r="G141" s="13">
        <v>5</v>
      </c>
      <c r="H141" s="13">
        <v>7</v>
      </c>
      <c r="J141" t="str">
        <f t="shared" si="14"/>
        <v>Unique</v>
      </c>
      <c r="K141" t="str">
        <f t="shared" si="15"/>
        <v>Hot</v>
      </c>
      <c r="L141" t="str">
        <f t="shared" si="16"/>
        <v>Low</v>
      </c>
      <c r="M141" t="str">
        <f t="shared" si="17"/>
        <v>High Wind</v>
      </c>
      <c r="N141" t="str">
        <f t="shared" si="18"/>
        <v>Low</v>
      </c>
      <c r="O141" t="str">
        <f t="shared" si="19"/>
        <v>Low</v>
      </c>
      <c r="P141" t="str">
        <f t="shared" si="20"/>
        <v>Low Demand</v>
      </c>
    </row>
    <row r="142" spans="1:16" ht="13.8">
      <c r="A142" s="13">
        <v>140</v>
      </c>
      <c r="B142" s="13">
        <v>141</v>
      </c>
      <c r="C142" s="13">
        <v>0.19700000000000001</v>
      </c>
      <c r="D142" s="13">
        <v>0.69</v>
      </c>
      <c r="E142" s="13">
        <v>0.22389999999999999</v>
      </c>
      <c r="F142" s="13">
        <v>0</v>
      </c>
      <c r="G142" s="13">
        <v>1</v>
      </c>
      <c r="H142" s="13">
        <v>1</v>
      </c>
      <c r="J142" t="str">
        <f t="shared" si="14"/>
        <v>Unique</v>
      </c>
      <c r="K142" t="str">
        <f t="shared" si="15"/>
        <v>Hot</v>
      </c>
      <c r="L142" t="str">
        <f t="shared" si="16"/>
        <v>Low</v>
      </c>
      <c r="M142" t="str">
        <f t="shared" si="17"/>
        <v>High Wind</v>
      </c>
      <c r="N142" t="str">
        <f t="shared" si="18"/>
        <v>Low</v>
      </c>
      <c r="O142" t="str">
        <f t="shared" si="19"/>
        <v>Low</v>
      </c>
      <c r="P142" t="str">
        <f t="shared" si="20"/>
        <v>Low Demand</v>
      </c>
    </row>
    <row r="143" spans="1:16" ht="13.8">
      <c r="A143" s="13">
        <v>141</v>
      </c>
      <c r="B143" s="13">
        <v>142</v>
      </c>
      <c r="C143" s="13">
        <v>0.21210000000000001</v>
      </c>
      <c r="D143" s="13">
        <v>0.69</v>
      </c>
      <c r="E143" s="13">
        <v>0.1343</v>
      </c>
      <c r="F143" s="13">
        <v>0</v>
      </c>
      <c r="G143" s="13">
        <v>1</v>
      </c>
      <c r="H143" s="13">
        <v>1</v>
      </c>
      <c r="J143" t="str">
        <f t="shared" si="14"/>
        <v>Unique</v>
      </c>
      <c r="K143" t="str">
        <f t="shared" si="15"/>
        <v>Hot</v>
      </c>
      <c r="L143" t="str">
        <f t="shared" si="16"/>
        <v>Low</v>
      </c>
      <c r="M143" t="str">
        <f t="shared" si="17"/>
        <v>High Wind</v>
      </c>
      <c r="N143" t="str">
        <f t="shared" si="18"/>
        <v>Low</v>
      </c>
      <c r="O143" t="str">
        <f t="shared" si="19"/>
        <v>Low</v>
      </c>
      <c r="P143" t="str">
        <f t="shared" si="20"/>
        <v>Low Demand</v>
      </c>
    </row>
    <row r="144" spans="1:16" ht="13.8">
      <c r="A144" s="13">
        <v>142</v>
      </c>
      <c r="B144" s="13">
        <v>143</v>
      </c>
      <c r="C144" s="13">
        <v>0.2727</v>
      </c>
      <c r="D144" s="13">
        <v>0.55000000000000004</v>
      </c>
      <c r="E144" s="13">
        <v>0</v>
      </c>
      <c r="F144" s="13">
        <v>0</v>
      </c>
      <c r="G144" s="13">
        <v>5</v>
      </c>
      <c r="H144" s="13">
        <v>5</v>
      </c>
      <c r="J144" t="str">
        <f t="shared" si="14"/>
        <v>Unique</v>
      </c>
      <c r="K144" t="str">
        <f t="shared" si="15"/>
        <v>Hot</v>
      </c>
      <c r="L144" t="str">
        <f t="shared" si="16"/>
        <v>Low</v>
      </c>
      <c r="M144" t="str">
        <f t="shared" si="17"/>
        <v>High Wind</v>
      </c>
      <c r="N144" t="str">
        <f t="shared" si="18"/>
        <v>Low</v>
      </c>
      <c r="O144" t="str">
        <f t="shared" si="19"/>
        <v>Low</v>
      </c>
      <c r="P144" t="str">
        <f t="shared" si="20"/>
        <v>Low Demand</v>
      </c>
    </row>
    <row r="145" spans="1:16" ht="13.8">
      <c r="A145" s="13">
        <v>143</v>
      </c>
      <c r="B145" s="13">
        <v>144</v>
      </c>
      <c r="C145" s="13">
        <v>0.2576</v>
      </c>
      <c r="D145" s="13">
        <v>0.69</v>
      </c>
      <c r="E145" s="13">
        <v>0</v>
      </c>
      <c r="F145" s="13">
        <v>8</v>
      </c>
      <c r="G145" s="13">
        <v>26</v>
      </c>
      <c r="H145" s="13">
        <v>34</v>
      </c>
      <c r="J145" t="str">
        <f t="shared" si="14"/>
        <v>Unique</v>
      </c>
      <c r="K145" t="str">
        <f t="shared" si="15"/>
        <v>Hot</v>
      </c>
      <c r="L145" t="str">
        <f t="shared" si="16"/>
        <v>Low</v>
      </c>
      <c r="M145" t="str">
        <f t="shared" si="17"/>
        <v>High Wind</v>
      </c>
      <c r="N145" t="str">
        <f t="shared" si="18"/>
        <v>Low</v>
      </c>
      <c r="O145" t="str">
        <f t="shared" si="19"/>
        <v>Low</v>
      </c>
      <c r="P145" t="str">
        <f t="shared" si="20"/>
        <v>Low Demand</v>
      </c>
    </row>
    <row r="146" spans="1:16" ht="13.8">
      <c r="A146" s="13">
        <v>144</v>
      </c>
      <c r="B146" s="13">
        <v>145</v>
      </c>
      <c r="C146" s="13">
        <v>0.21210000000000001</v>
      </c>
      <c r="D146" s="13">
        <v>0.69</v>
      </c>
      <c r="E146" s="13">
        <v>0.1343</v>
      </c>
      <c r="F146" s="13">
        <v>8</v>
      </c>
      <c r="G146" s="13">
        <v>76</v>
      </c>
      <c r="H146" s="13">
        <v>84</v>
      </c>
      <c r="J146" t="str">
        <f t="shared" si="14"/>
        <v>Unique</v>
      </c>
      <c r="K146" t="str">
        <f t="shared" si="15"/>
        <v>Hot</v>
      </c>
      <c r="L146" t="str">
        <f t="shared" si="16"/>
        <v>Low</v>
      </c>
      <c r="M146" t="str">
        <f t="shared" si="17"/>
        <v>High Wind</v>
      </c>
      <c r="N146" t="str">
        <f t="shared" si="18"/>
        <v>Low</v>
      </c>
      <c r="O146" t="str">
        <f t="shared" si="19"/>
        <v>Low</v>
      </c>
      <c r="P146" t="str">
        <f t="shared" si="20"/>
        <v>Low Demand</v>
      </c>
    </row>
    <row r="147" spans="1:16" ht="13.8">
      <c r="A147" s="13">
        <v>145</v>
      </c>
      <c r="B147" s="13">
        <v>146</v>
      </c>
      <c r="C147" s="13">
        <v>0.19700000000000001</v>
      </c>
      <c r="D147" s="13">
        <v>0.51</v>
      </c>
      <c r="E147" s="13">
        <v>0.25369999999999998</v>
      </c>
      <c r="F147" s="13">
        <v>20</v>
      </c>
      <c r="G147" s="13">
        <v>190</v>
      </c>
      <c r="H147" s="13">
        <v>210</v>
      </c>
      <c r="J147" t="str">
        <f t="shared" si="14"/>
        <v>Unique</v>
      </c>
      <c r="K147" t="str">
        <f t="shared" si="15"/>
        <v>Hot</v>
      </c>
      <c r="L147" t="str">
        <f t="shared" si="16"/>
        <v>Low</v>
      </c>
      <c r="M147" t="str">
        <f t="shared" si="17"/>
        <v>High Wind</v>
      </c>
      <c r="N147" t="str">
        <f t="shared" si="18"/>
        <v>Low</v>
      </c>
      <c r="O147" t="str">
        <f t="shared" si="19"/>
        <v>Low</v>
      </c>
      <c r="P147" t="str">
        <f t="shared" si="20"/>
        <v>Medium Demand</v>
      </c>
    </row>
    <row r="148" spans="1:16" ht="13.8">
      <c r="A148" s="13">
        <v>146</v>
      </c>
      <c r="B148" s="13">
        <v>147</v>
      </c>
      <c r="C148" s="13">
        <v>0.18179999999999999</v>
      </c>
      <c r="D148" s="13">
        <v>0.47</v>
      </c>
      <c r="E148" s="13">
        <v>0.29849999999999999</v>
      </c>
      <c r="F148" s="13">
        <v>9</v>
      </c>
      <c r="G148" s="13">
        <v>125</v>
      </c>
      <c r="H148" s="13">
        <v>134</v>
      </c>
      <c r="J148" t="str">
        <f t="shared" si="14"/>
        <v>Unique</v>
      </c>
      <c r="K148" t="str">
        <f t="shared" si="15"/>
        <v>Hot</v>
      </c>
      <c r="L148" t="str">
        <f t="shared" si="16"/>
        <v>Low</v>
      </c>
      <c r="M148" t="str">
        <f t="shared" si="17"/>
        <v>Medium Wind</v>
      </c>
      <c r="N148" t="str">
        <f t="shared" si="18"/>
        <v>Low</v>
      </c>
      <c r="O148" t="str">
        <f t="shared" si="19"/>
        <v>Low</v>
      </c>
      <c r="P148" t="str">
        <f t="shared" si="20"/>
        <v>Medium Demand</v>
      </c>
    </row>
    <row r="149" spans="1:16" ht="13.8">
      <c r="A149" s="13">
        <v>147</v>
      </c>
      <c r="B149" s="13">
        <v>148</v>
      </c>
      <c r="C149" s="13">
        <v>0.19700000000000001</v>
      </c>
      <c r="D149" s="13">
        <v>0.37</v>
      </c>
      <c r="E149" s="13">
        <v>0.32840000000000003</v>
      </c>
      <c r="F149" s="13">
        <v>16</v>
      </c>
      <c r="G149" s="13">
        <v>47</v>
      </c>
      <c r="H149" s="13">
        <v>63</v>
      </c>
      <c r="J149" t="str">
        <f t="shared" si="14"/>
        <v>Unique</v>
      </c>
      <c r="K149" t="str">
        <f t="shared" si="15"/>
        <v>Hot</v>
      </c>
      <c r="L149" t="str">
        <f t="shared" si="16"/>
        <v>Low</v>
      </c>
      <c r="M149" t="str">
        <f t="shared" si="17"/>
        <v>Medium Wind</v>
      </c>
      <c r="N149" t="str">
        <f t="shared" si="18"/>
        <v>Low</v>
      </c>
      <c r="O149" t="str">
        <f t="shared" si="19"/>
        <v>Low</v>
      </c>
      <c r="P149" t="str">
        <f t="shared" si="20"/>
        <v>Low Demand</v>
      </c>
    </row>
    <row r="150" spans="1:16" ht="13.8">
      <c r="A150" s="13">
        <v>148</v>
      </c>
      <c r="B150" s="13">
        <v>149</v>
      </c>
      <c r="C150" s="13">
        <v>0.19700000000000001</v>
      </c>
      <c r="D150" s="13">
        <v>0.4</v>
      </c>
      <c r="E150" s="13">
        <v>0.22389999999999999</v>
      </c>
      <c r="F150" s="13">
        <v>19</v>
      </c>
      <c r="G150" s="13">
        <v>48</v>
      </c>
      <c r="H150" s="13">
        <v>67</v>
      </c>
      <c r="J150" t="str">
        <f t="shared" si="14"/>
        <v>Unique</v>
      </c>
      <c r="K150" t="str">
        <f t="shared" si="15"/>
        <v>Hot</v>
      </c>
      <c r="L150" t="str">
        <f t="shared" si="16"/>
        <v>Low</v>
      </c>
      <c r="M150" t="str">
        <f t="shared" si="17"/>
        <v>Medium Wind</v>
      </c>
      <c r="N150" t="str">
        <f t="shared" si="18"/>
        <v>Low</v>
      </c>
      <c r="O150" t="str">
        <f t="shared" si="19"/>
        <v>Low</v>
      </c>
      <c r="P150" t="str">
        <f t="shared" si="20"/>
        <v>Low Demand</v>
      </c>
    </row>
    <row r="151" spans="1:16" ht="13.8">
      <c r="A151" s="13">
        <v>149</v>
      </c>
      <c r="B151" s="13">
        <v>150</v>
      </c>
      <c r="C151" s="13">
        <v>0.19700000000000001</v>
      </c>
      <c r="D151" s="13">
        <v>0.37</v>
      </c>
      <c r="E151" s="13">
        <v>0.25369999999999998</v>
      </c>
      <c r="F151" s="13">
        <v>9</v>
      </c>
      <c r="G151" s="13">
        <v>50</v>
      </c>
      <c r="H151" s="13">
        <v>59</v>
      </c>
      <c r="J151" t="str">
        <f t="shared" si="14"/>
        <v>Unique</v>
      </c>
      <c r="K151" t="str">
        <f t="shared" si="15"/>
        <v>Hot</v>
      </c>
      <c r="L151" t="str">
        <f t="shared" si="16"/>
        <v>Low</v>
      </c>
      <c r="M151" t="str">
        <f t="shared" si="17"/>
        <v>Medium Wind</v>
      </c>
      <c r="N151" t="str">
        <f t="shared" si="18"/>
        <v>Low</v>
      </c>
      <c r="O151" t="str">
        <f t="shared" si="19"/>
        <v>Low</v>
      </c>
      <c r="P151" t="str">
        <f t="shared" si="20"/>
        <v>Low Demand</v>
      </c>
    </row>
    <row r="152" spans="1:16" ht="13.8">
      <c r="A152" s="13">
        <v>150</v>
      </c>
      <c r="B152" s="13">
        <v>151</v>
      </c>
      <c r="C152" s="13">
        <v>0.18179999999999999</v>
      </c>
      <c r="D152" s="13">
        <v>0.37</v>
      </c>
      <c r="E152" s="13">
        <v>0.28360000000000002</v>
      </c>
      <c r="F152" s="13">
        <v>9</v>
      </c>
      <c r="G152" s="13">
        <v>64</v>
      </c>
      <c r="H152" s="13">
        <v>73</v>
      </c>
      <c r="J152" t="str">
        <f t="shared" si="14"/>
        <v>Unique</v>
      </c>
      <c r="K152" t="str">
        <f t="shared" si="15"/>
        <v>Hot</v>
      </c>
      <c r="L152" t="str">
        <f t="shared" si="16"/>
        <v>Low</v>
      </c>
      <c r="M152" t="str">
        <f t="shared" si="17"/>
        <v>Medium Wind</v>
      </c>
      <c r="N152" t="str">
        <f t="shared" si="18"/>
        <v>Low</v>
      </c>
      <c r="O152" t="str">
        <f t="shared" si="19"/>
        <v>Low</v>
      </c>
      <c r="P152" t="str">
        <f t="shared" si="20"/>
        <v>Low Demand</v>
      </c>
    </row>
    <row r="153" spans="1:16" ht="13.8">
      <c r="A153" s="13">
        <v>151</v>
      </c>
      <c r="B153" s="13">
        <v>152</v>
      </c>
      <c r="C153" s="13">
        <v>0.19700000000000001</v>
      </c>
      <c r="D153" s="13">
        <v>0.4</v>
      </c>
      <c r="E153" s="13">
        <v>0.25369999999999998</v>
      </c>
      <c r="F153" s="13">
        <v>7</v>
      </c>
      <c r="G153" s="13">
        <v>43</v>
      </c>
      <c r="H153" s="13">
        <v>50</v>
      </c>
      <c r="J153" t="str">
        <f t="shared" si="14"/>
        <v>Unique</v>
      </c>
      <c r="K153" t="str">
        <f t="shared" si="15"/>
        <v>Hot</v>
      </c>
      <c r="L153" t="str">
        <f t="shared" si="16"/>
        <v>Low</v>
      </c>
      <c r="M153" t="str">
        <f t="shared" si="17"/>
        <v>Medium Wind</v>
      </c>
      <c r="N153" t="str">
        <f t="shared" si="18"/>
        <v>Low</v>
      </c>
      <c r="O153" t="str">
        <f t="shared" si="19"/>
        <v>Low</v>
      </c>
      <c r="P153" t="str">
        <f t="shared" si="20"/>
        <v>Low Demand</v>
      </c>
    </row>
    <row r="154" spans="1:16" ht="13.8">
      <c r="A154" s="13">
        <v>152</v>
      </c>
      <c r="B154" s="13">
        <v>153</v>
      </c>
      <c r="C154" s="13">
        <v>0.21210000000000001</v>
      </c>
      <c r="D154" s="13">
        <v>0.37</v>
      </c>
      <c r="E154" s="13">
        <v>0.16420000000000001</v>
      </c>
      <c r="F154" s="13">
        <v>9</v>
      </c>
      <c r="G154" s="13">
        <v>63</v>
      </c>
      <c r="H154" s="13">
        <v>72</v>
      </c>
      <c r="J154" t="str">
        <f t="shared" si="14"/>
        <v>Unique</v>
      </c>
      <c r="K154" t="str">
        <f t="shared" si="15"/>
        <v>Hot</v>
      </c>
      <c r="L154" t="str">
        <f t="shared" si="16"/>
        <v>Low</v>
      </c>
      <c r="M154" t="str">
        <f t="shared" si="17"/>
        <v>Medium Wind</v>
      </c>
      <c r="N154" t="str">
        <f t="shared" si="18"/>
        <v>Low</v>
      </c>
      <c r="O154" t="str">
        <f t="shared" si="19"/>
        <v>Low</v>
      </c>
      <c r="P154" t="str">
        <f t="shared" si="20"/>
        <v>Low Demand</v>
      </c>
    </row>
    <row r="155" spans="1:16" ht="13.8">
      <c r="A155" s="13">
        <v>153</v>
      </c>
      <c r="B155" s="13">
        <v>154</v>
      </c>
      <c r="C155" s="13">
        <v>0.21210000000000001</v>
      </c>
      <c r="D155" s="13">
        <v>0.37</v>
      </c>
      <c r="E155" s="13">
        <v>0.16420000000000001</v>
      </c>
      <c r="F155" s="13">
        <v>5</v>
      </c>
      <c r="G155" s="13">
        <v>82</v>
      </c>
      <c r="H155" s="13">
        <v>87</v>
      </c>
      <c r="J155" t="str">
        <f t="shared" si="14"/>
        <v>Unique</v>
      </c>
      <c r="K155" t="str">
        <f t="shared" si="15"/>
        <v>Hot</v>
      </c>
      <c r="L155" t="str">
        <f t="shared" si="16"/>
        <v>Low</v>
      </c>
      <c r="M155" t="str">
        <f t="shared" si="17"/>
        <v>Medium Wind</v>
      </c>
      <c r="N155" t="str">
        <f t="shared" si="18"/>
        <v>Low</v>
      </c>
      <c r="O155" t="str">
        <f t="shared" si="19"/>
        <v>Low</v>
      </c>
      <c r="P155" t="str">
        <f t="shared" si="20"/>
        <v>Low Demand</v>
      </c>
    </row>
    <row r="156" spans="1:16" ht="13.8">
      <c r="A156" s="13">
        <v>154</v>
      </c>
      <c r="B156" s="13">
        <v>155</v>
      </c>
      <c r="C156" s="13">
        <v>0.2576</v>
      </c>
      <c r="D156" s="13">
        <v>0.37</v>
      </c>
      <c r="E156" s="13">
        <v>0</v>
      </c>
      <c r="F156" s="13">
        <v>9</v>
      </c>
      <c r="G156" s="13">
        <v>178</v>
      </c>
      <c r="H156" s="13">
        <v>187</v>
      </c>
      <c r="J156" t="str">
        <f t="shared" si="14"/>
        <v>Unique</v>
      </c>
      <c r="K156" t="str">
        <f t="shared" si="15"/>
        <v>Hot</v>
      </c>
      <c r="L156" t="str">
        <f t="shared" si="16"/>
        <v>Low</v>
      </c>
      <c r="M156" t="str">
        <f t="shared" si="17"/>
        <v>Medium Wind</v>
      </c>
      <c r="N156" t="str">
        <f t="shared" si="18"/>
        <v>Low</v>
      </c>
      <c r="O156" t="str">
        <f t="shared" si="19"/>
        <v>Low</v>
      </c>
      <c r="P156" t="str">
        <f t="shared" si="20"/>
        <v>Medium Demand</v>
      </c>
    </row>
    <row r="157" spans="1:16" ht="13.8">
      <c r="A157" s="13">
        <v>155</v>
      </c>
      <c r="B157" s="13">
        <v>156</v>
      </c>
      <c r="C157" s="13">
        <v>0.2273</v>
      </c>
      <c r="D157" s="13">
        <v>0.4</v>
      </c>
      <c r="E157" s="13">
        <v>8.9599999999999999E-2</v>
      </c>
      <c r="F157" s="13">
        <v>7</v>
      </c>
      <c r="G157" s="13">
        <v>116</v>
      </c>
      <c r="H157" s="13">
        <v>123</v>
      </c>
      <c r="J157" t="str">
        <f t="shared" si="14"/>
        <v>Unique</v>
      </c>
      <c r="K157" t="str">
        <f t="shared" si="15"/>
        <v>Hot</v>
      </c>
      <c r="L157" t="str">
        <f t="shared" si="16"/>
        <v>Low</v>
      </c>
      <c r="M157" t="str">
        <f t="shared" si="17"/>
        <v>Medium Wind</v>
      </c>
      <c r="N157" t="str">
        <f t="shared" si="18"/>
        <v>Low</v>
      </c>
      <c r="O157" t="str">
        <f t="shared" si="19"/>
        <v>Low</v>
      </c>
      <c r="P157" t="str">
        <f t="shared" si="20"/>
        <v>Medium Demand</v>
      </c>
    </row>
    <row r="158" spans="1:16" ht="13.8">
      <c r="A158" s="13">
        <v>156</v>
      </c>
      <c r="B158" s="13">
        <v>157</v>
      </c>
      <c r="C158" s="13">
        <v>0.19700000000000001</v>
      </c>
      <c r="D158" s="13">
        <v>0.55000000000000004</v>
      </c>
      <c r="E158" s="13">
        <v>8.9599999999999999E-2</v>
      </c>
      <c r="F158" s="13">
        <v>3</v>
      </c>
      <c r="G158" s="13">
        <v>92</v>
      </c>
      <c r="H158" s="13">
        <v>95</v>
      </c>
      <c r="J158" t="str">
        <f t="shared" si="14"/>
        <v>Unique</v>
      </c>
      <c r="K158" t="str">
        <f t="shared" si="15"/>
        <v>Hot</v>
      </c>
      <c r="L158" t="str">
        <f t="shared" si="16"/>
        <v>Low</v>
      </c>
      <c r="M158" t="str">
        <f t="shared" si="17"/>
        <v>High Wind</v>
      </c>
      <c r="N158" t="str">
        <f t="shared" si="18"/>
        <v>Low</v>
      </c>
      <c r="O158" t="str">
        <f t="shared" si="19"/>
        <v>Low</v>
      </c>
      <c r="P158" t="str">
        <f t="shared" si="20"/>
        <v>Low Demand</v>
      </c>
    </row>
    <row r="159" spans="1:16" ht="13.8">
      <c r="A159" s="13">
        <v>157</v>
      </c>
      <c r="B159" s="13">
        <v>158</v>
      </c>
      <c r="C159" s="13">
        <v>0.21210000000000001</v>
      </c>
      <c r="D159" s="13">
        <v>0.47</v>
      </c>
      <c r="E159" s="13">
        <v>0.1045</v>
      </c>
      <c r="F159" s="13">
        <v>1</v>
      </c>
      <c r="G159" s="13">
        <v>50</v>
      </c>
      <c r="H159" s="13">
        <v>51</v>
      </c>
      <c r="J159" t="str">
        <f t="shared" si="14"/>
        <v>Unique</v>
      </c>
      <c r="K159" t="str">
        <f t="shared" si="15"/>
        <v>Hot</v>
      </c>
      <c r="L159" t="str">
        <f t="shared" si="16"/>
        <v>Low</v>
      </c>
      <c r="M159" t="str">
        <f t="shared" si="17"/>
        <v>Medium Wind</v>
      </c>
      <c r="N159" t="str">
        <f t="shared" si="18"/>
        <v>Low</v>
      </c>
      <c r="O159" t="str">
        <f t="shared" si="19"/>
        <v>Low</v>
      </c>
      <c r="P159" t="str">
        <f t="shared" si="20"/>
        <v>Low Demand</v>
      </c>
    </row>
    <row r="160" spans="1:16" ht="13.8">
      <c r="A160" s="13">
        <v>158</v>
      </c>
      <c r="B160" s="13">
        <v>159</v>
      </c>
      <c r="C160" s="13">
        <v>0.19700000000000001</v>
      </c>
      <c r="D160" s="13">
        <v>0.47</v>
      </c>
      <c r="E160" s="13">
        <v>0.1343</v>
      </c>
      <c r="F160" s="13">
        <v>0</v>
      </c>
      <c r="G160" s="13">
        <v>39</v>
      </c>
      <c r="H160" s="13">
        <v>39</v>
      </c>
      <c r="J160" t="str">
        <f t="shared" si="14"/>
        <v>Unique</v>
      </c>
      <c r="K160" t="str">
        <f t="shared" si="15"/>
        <v>Hot</v>
      </c>
      <c r="L160" t="str">
        <f t="shared" si="16"/>
        <v>Low</v>
      </c>
      <c r="M160" t="str">
        <f t="shared" si="17"/>
        <v>Medium Wind</v>
      </c>
      <c r="N160" t="str">
        <f t="shared" si="18"/>
        <v>Low</v>
      </c>
      <c r="O160" t="str">
        <f t="shared" si="19"/>
        <v>Low</v>
      </c>
      <c r="P160" t="str">
        <f t="shared" si="20"/>
        <v>Low Demand</v>
      </c>
    </row>
    <row r="161" spans="1:16" ht="13.8">
      <c r="A161" s="13">
        <v>159</v>
      </c>
      <c r="B161" s="13">
        <v>160</v>
      </c>
      <c r="C161" s="13">
        <v>0.19700000000000001</v>
      </c>
      <c r="D161" s="13">
        <v>0.43</v>
      </c>
      <c r="E161" s="13">
        <v>0.16420000000000001</v>
      </c>
      <c r="F161" s="13">
        <v>2</v>
      </c>
      <c r="G161" s="13">
        <v>34</v>
      </c>
      <c r="H161" s="13">
        <v>36</v>
      </c>
      <c r="J161" t="str">
        <f t="shared" si="14"/>
        <v>Unique</v>
      </c>
      <c r="K161" t="str">
        <f t="shared" si="15"/>
        <v>Hot</v>
      </c>
      <c r="L161" t="str">
        <f t="shared" si="16"/>
        <v>Low</v>
      </c>
      <c r="M161" t="str">
        <f t="shared" si="17"/>
        <v>Medium Wind</v>
      </c>
      <c r="N161" t="str">
        <f t="shared" si="18"/>
        <v>Low</v>
      </c>
      <c r="O161" t="str">
        <f t="shared" si="19"/>
        <v>Low</v>
      </c>
      <c r="P161" t="str">
        <f t="shared" si="20"/>
        <v>Low Demand</v>
      </c>
    </row>
    <row r="162" spans="1:16" ht="13.8">
      <c r="A162" s="13">
        <v>160</v>
      </c>
      <c r="B162" s="13">
        <v>161</v>
      </c>
      <c r="C162" s="13">
        <v>0.19700000000000001</v>
      </c>
      <c r="D162" s="13">
        <v>0.51</v>
      </c>
      <c r="E162" s="13">
        <v>0.16420000000000001</v>
      </c>
      <c r="F162" s="13">
        <v>1</v>
      </c>
      <c r="G162" s="13">
        <v>14</v>
      </c>
      <c r="H162" s="13">
        <v>15</v>
      </c>
      <c r="J162" t="str">
        <f t="shared" si="14"/>
        <v>Unique</v>
      </c>
      <c r="K162" t="str">
        <f t="shared" si="15"/>
        <v>Hot</v>
      </c>
      <c r="L162" t="str">
        <f t="shared" si="16"/>
        <v>Low</v>
      </c>
      <c r="M162" t="str">
        <f t="shared" si="17"/>
        <v>High Wind</v>
      </c>
      <c r="N162" t="str">
        <f t="shared" si="18"/>
        <v>Low</v>
      </c>
      <c r="O162" t="str">
        <f t="shared" si="19"/>
        <v>Low</v>
      </c>
      <c r="P162" t="str">
        <f t="shared" si="20"/>
        <v>Low Demand</v>
      </c>
    </row>
    <row r="163" spans="1:16" ht="13.8">
      <c r="A163" s="13">
        <v>161</v>
      </c>
      <c r="B163" s="13">
        <v>162</v>
      </c>
      <c r="C163" s="13">
        <v>0.19700000000000001</v>
      </c>
      <c r="D163" s="13">
        <v>0.51</v>
      </c>
      <c r="E163" s="13">
        <v>0.16420000000000001</v>
      </c>
      <c r="F163" s="13">
        <v>1</v>
      </c>
      <c r="G163" s="13">
        <v>24</v>
      </c>
      <c r="H163" s="13">
        <v>25</v>
      </c>
      <c r="J163" t="str">
        <f t="shared" si="14"/>
        <v>Unique</v>
      </c>
      <c r="K163" t="str">
        <f t="shared" si="15"/>
        <v>Hot</v>
      </c>
      <c r="L163" t="str">
        <f t="shared" si="16"/>
        <v>Low</v>
      </c>
      <c r="M163" t="str">
        <f t="shared" si="17"/>
        <v>High Wind</v>
      </c>
      <c r="N163" t="str">
        <f t="shared" si="18"/>
        <v>Low</v>
      </c>
      <c r="O163" t="str">
        <f t="shared" si="19"/>
        <v>Low</v>
      </c>
      <c r="P163" t="str">
        <f t="shared" si="20"/>
        <v>Low Demand</v>
      </c>
    </row>
    <row r="164" spans="1:16" ht="13.8">
      <c r="A164" s="13">
        <v>162</v>
      </c>
      <c r="B164" s="13">
        <v>163</v>
      </c>
      <c r="C164" s="13">
        <v>0.21210000000000001</v>
      </c>
      <c r="D164" s="13">
        <v>0.55000000000000004</v>
      </c>
      <c r="E164" s="13">
        <v>8.9599999999999999E-2</v>
      </c>
      <c r="F164" s="13">
        <v>1</v>
      </c>
      <c r="G164" s="13">
        <v>15</v>
      </c>
      <c r="H164" s="13">
        <v>16</v>
      </c>
      <c r="J164" t="str">
        <f t="shared" si="14"/>
        <v>Unique</v>
      </c>
      <c r="K164" t="str">
        <f t="shared" si="15"/>
        <v>Hot</v>
      </c>
      <c r="L164" t="str">
        <f t="shared" si="16"/>
        <v>Low</v>
      </c>
      <c r="M164" t="str">
        <f t="shared" si="17"/>
        <v>High Wind</v>
      </c>
      <c r="N164" t="str">
        <f t="shared" si="18"/>
        <v>Low</v>
      </c>
      <c r="O164" t="str">
        <f t="shared" si="19"/>
        <v>Low</v>
      </c>
      <c r="P164" t="str">
        <f t="shared" si="20"/>
        <v>Low Demand</v>
      </c>
    </row>
    <row r="165" spans="1:16" ht="13.8">
      <c r="A165" s="13">
        <v>163</v>
      </c>
      <c r="B165" s="13">
        <v>164</v>
      </c>
      <c r="C165" s="13">
        <v>0.2424</v>
      </c>
      <c r="D165" s="13">
        <v>0.55000000000000004</v>
      </c>
      <c r="E165" s="13">
        <v>0</v>
      </c>
      <c r="F165" s="13">
        <v>3</v>
      </c>
      <c r="G165" s="13">
        <v>13</v>
      </c>
      <c r="H165" s="13">
        <v>16</v>
      </c>
      <c r="J165" t="str">
        <f t="shared" si="14"/>
        <v>Unique</v>
      </c>
      <c r="K165" t="str">
        <f t="shared" si="15"/>
        <v>Hot</v>
      </c>
      <c r="L165" t="str">
        <f t="shared" si="16"/>
        <v>Low</v>
      </c>
      <c r="M165" t="str">
        <f t="shared" si="17"/>
        <v>High Wind</v>
      </c>
      <c r="N165" t="str">
        <f t="shared" si="18"/>
        <v>Low</v>
      </c>
      <c r="O165" t="str">
        <f t="shared" si="19"/>
        <v>Low</v>
      </c>
      <c r="P165" t="str">
        <f t="shared" si="20"/>
        <v>Low Demand</v>
      </c>
    </row>
    <row r="166" spans="1:16" ht="13.8">
      <c r="A166" s="13">
        <v>164</v>
      </c>
      <c r="B166" s="13">
        <v>165</v>
      </c>
      <c r="C166" s="13">
        <v>0.19700000000000001</v>
      </c>
      <c r="D166" s="13">
        <v>0.55000000000000004</v>
      </c>
      <c r="E166" s="13">
        <v>0.16420000000000001</v>
      </c>
      <c r="F166" s="13">
        <v>0</v>
      </c>
      <c r="G166" s="13">
        <v>7</v>
      </c>
      <c r="H166" s="13">
        <v>7</v>
      </c>
      <c r="J166" t="str">
        <f t="shared" si="14"/>
        <v>Unique</v>
      </c>
      <c r="K166" t="str">
        <f t="shared" si="15"/>
        <v>Hot</v>
      </c>
      <c r="L166" t="str">
        <f t="shared" si="16"/>
        <v>Low</v>
      </c>
      <c r="M166" t="str">
        <f t="shared" si="17"/>
        <v>High Wind</v>
      </c>
      <c r="N166" t="str">
        <f t="shared" si="18"/>
        <v>Low</v>
      </c>
      <c r="O166" t="str">
        <f t="shared" si="19"/>
        <v>Low</v>
      </c>
      <c r="P166" t="str">
        <f t="shared" si="20"/>
        <v>Low Demand</v>
      </c>
    </row>
    <row r="167" spans="1:16" ht="13.8">
      <c r="A167" s="13">
        <v>165</v>
      </c>
      <c r="B167" s="13">
        <v>166</v>
      </c>
      <c r="C167" s="13">
        <v>0.19700000000000001</v>
      </c>
      <c r="D167" s="13">
        <v>0.55000000000000004</v>
      </c>
      <c r="E167" s="13">
        <v>0.16420000000000001</v>
      </c>
      <c r="F167" s="13">
        <v>0</v>
      </c>
      <c r="G167" s="13">
        <v>1</v>
      </c>
      <c r="H167" s="13">
        <v>1</v>
      </c>
      <c r="J167" t="str">
        <f t="shared" si="14"/>
        <v>Unique</v>
      </c>
      <c r="K167" t="str">
        <f t="shared" si="15"/>
        <v>Hot</v>
      </c>
      <c r="L167" t="str">
        <f t="shared" si="16"/>
        <v>Low</v>
      </c>
      <c r="M167" t="str">
        <f t="shared" si="17"/>
        <v>High Wind</v>
      </c>
      <c r="N167" t="str">
        <f t="shared" si="18"/>
        <v>Low</v>
      </c>
      <c r="O167" t="str">
        <f t="shared" si="19"/>
        <v>Low</v>
      </c>
      <c r="P167" t="str">
        <f t="shared" si="20"/>
        <v>Low Demand</v>
      </c>
    </row>
    <row r="168" spans="1:16" ht="13.8">
      <c r="A168" s="13">
        <v>166</v>
      </c>
      <c r="B168" s="13">
        <v>167</v>
      </c>
      <c r="C168" s="13">
        <v>0.16669999999999999</v>
      </c>
      <c r="D168" s="13">
        <v>0.74</v>
      </c>
      <c r="E168" s="13">
        <v>0.16420000000000001</v>
      </c>
      <c r="F168" s="13">
        <v>0</v>
      </c>
      <c r="G168" s="13">
        <v>5</v>
      </c>
      <c r="H168" s="13">
        <v>5</v>
      </c>
      <c r="J168" t="str">
        <f t="shared" si="14"/>
        <v>Unique</v>
      </c>
      <c r="K168" t="str">
        <f t="shared" si="15"/>
        <v>Hot</v>
      </c>
      <c r="L168" t="str">
        <f t="shared" si="16"/>
        <v>Low</v>
      </c>
      <c r="M168" t="str">
        <f t="shared" si="17"/>
        <v>High Wind</v>
      </c>
      <c r="N168" t="str">
        <f t="shared" si="18"/>
        <v>Low</v>
      </c>
      <c r="O168" t="str">
        <f t="shared" si="19"/>
        <v>Low</v>
      </c>
      <c r="P168" t="str">
        <f t="shared" si="20"/>
        <v>Low Demand</v>
      </c>
    </row>
    <row r="169" spans="1:16" ht="13.8">
      <c r="A169" s="13">
        <v>167</v>
      </c>
      <c r="B169" s="13">
        <v>168</v>
      </c>
      <c r="C169" s="13">
        <v>0.16669999999999999</v>
      </c>
      <c r="D169" s="13">
        <v>0.74</v>
      </c>
      <c r="E169" s="13">
        <v>0.16420000000000001</v>
      </c>
      <c r="F169" s="13">
        <v>0</v>
      </c>
      <c r="G169" s="13">
        <v>2</v>
      </c>
      <c r="H169" s="13">
        <v>2</v>
      </c>
      <c r="J169" t="str">
        <f t="shared" si="14"/>
        <v>Unique</v>
      </c>
      <c r="K169" t="str">
        <f t="shared" si="15"/>
        <v>Hot</v>
      </c>
      <c r="L169" t="str">
        <f t="shared" si="16"/>
        <v>Low</v>
      </c>
      <c r="M169" t="str">
        <f t="shared" si="17"/>
        <v>High Wind</v>
      </c>
      <c r="N169" t="str">
        <f t="shared" si="18"/>
        <v>Low</v>
      </c>
      <c r="O169" t="str">
        <f t="shared" si="19"/>
        <v>Low</v>
      </c>
      <c r="P169" t="str">
        <f t="shared" si="20"/>
        <v>Low Demand</v>
      </c>
    </row>
    <row r="170" spans="1:16" ht="13.8">
      <c r="A170" s="13">
        <v>168</v>
      </c>
      <c r="B170" s="13">
        <v>169</v>
      </c>
      <c r="C170" s="13">
        <v>0.18179999999999999</v>
      </c>
      <c r="D170" s="13">
        <v>0.74</v>
      </c>
      <c r="E170" s="13">
        <v>0.1045</v>
      </c>
      <c r="F170" s="13">
        <v>1</v>
      </c>
      <c r="G170" s="13">
        <v>8</v>
      </c>
      <c r="H170" s="13">
        <v>9</v>
      </c>
      <c r="J170" t="str">
        <f t="shared" si="14"/>
        <v>Unique</v>
      </c>
      <c r="K170" t="str">
        <f t="shared" si="15"/>
        <v>Hot</v>
      </c>
      <c r="L170" t="str">
        <f t="shared" si="16"/>
        <v>Low</v>
      </c>
      <c r="M170" t="str">
        <f t="shared" si="17"/>
        <v>High Wind</v>
      </c>
      <c r="N170" t="str">
        <f t="shared" si="18"/>
        <v>Low</v>
      </c>
      <c r="O170" t="str">
        <f t="shared" si="19"/>
        <v>Low</v>
      </c>
      <c r="P170" t="str">
        <f t="shared" si="20"/>
        <v>Low Demand</v>
      </c>
    </row>
    <row r="171" spans="1:16" ht="13.8">
      <c r="A171" s="13">
        <v>169</v>
      </c>
      <c r="B171" s="13">
        <v>170</v>
      </c>
      <c r="C171" s="13">
        <v>0.18179999999999999</v>
      </c>
      <c r="D171" s="13">
        <v>0.93</v>
      </c>
      <c r="E171" s="13">
        <v>0.1045</v>
      </c>
      <c r="F171" s="13">
        <v>0</v>
      </c>
      <c r="G171" s="13">
        <v>15</v>
      </c>
      <c r="H171" s="13">
        <v>15</v>
      </c>
      <c r="J171" t="str">
        <f t="shared" si="14"/>
        <v>Unique</v>
      </c>
      <c r="K171" t="str">
        <f t="shared" si="15"/>
        <v>Hot</v>
      </c>
      <c r="L171" t="str">
        <f t="shared" si="16"/>
        <v>Low</v>
      </c>
      <c r="M171" t="str">
        <f t="shared" si="17"/>
        <v>High Wind</v>
      </c>
      <c r="N171" t="str">
        <f t="shared" si="18"/>
        <v>Low</v>
      </c>
      <c r="O171" t="str">
        <f t="shared" si="19"/>
        <v>Low</v>
      </c>
      <c r="P171" t="str">
        <f t="shared" si="20"/>
        <v>Low Demand</v>
      </c>
    </row>
    <row r="172" spans="1:16" ht="13.8">
      <c r="A172" s="13">
        <v>170</v>
      </c>
      <c r="B172" s="13">
        <v>171</v>
      </c>
      <c r="C172" s="13">
        <v>0.18179999999999999</v>
      </c>
      <c r="D172" s="13">
        <v>0.93</v>
      </c>
      <c r="E172" s="13">
        <v>0.1045</v>
      </c>
      <c r="F172" s="13">
        <v>0</v>
      </c>
      <c r="G172" s="13">
        <v>20</v>
      </c>
      <c r="H172" s="13">
        <v>20</v>
      </c>
      <c r="J172" t="str">
        <f t="shared" si="14"/>
        <v>Unique</v>
      </c>
      <c r="K172" t="str">
        <f t="shared" si="15"/>
        <v>Hot</v>
      </c>
      <c r="L172" t="str">
        <f t="shared" si="16"/>
        <v>Low</v>
      </c>
      <c r="M172" t="str">
        <f t="shared" si="17"/>
        <v>High Wind</v>
      </c>
      <c r="N172" t="str">
        <f t="shared" si="18"/>
        <v>Low</v>
      </c>
      <c r="O172" t="str">
        <f t="shared" si="19"/>
        <v>Low</v>
      </c>
      <c r="P172" t="str">
        <f t="shared" si="20"/>
        <v>Low Demand</v>
      </c>
    </row>
    <row r="173" spans="1:16" ht="13.8">
      <c r="A173" s="13">
        <v>171</v>
      </c>
      <c r="B173" s="13">
        <v>172</v>
      </c>
      <c r="C173" s="13">
        <v>0.19700000000000001</v>
      </c>
      <c r="D173" s="13">
        <v>0.8</v>
      </c>
      <c r="E173" s="13">
        <v>0.16420000000000001</v>
      </c>
      <c r="F173" s="13">
        <v>5</v>
      </c>
      <c r="G173" s="13">
        <v>56</v>
      </c>
      <c r="H173" s="13">
        <v>61</v>
      </c>
      <c r="J173" t="str">
        <f t="shared" si="14"/>
        <v>Unique</v>
      </c>
      <c r="K173" t="str">
        <f t="shared" si="15"/>
        <v>Hot</v>
      </c>
      <c r="L173" t="str">
        <f t="shared" si="16"/>
        <v>Low</v>
      </c>
      <c r="M173" t="str">
        <f t="shared" si="17"/>
        <v>High Wind</v>
      </c>
      <c r="N173" t="str">
        <f t="shared" si="18"/>
        <v>Low</v>
      </c>
      <c r="O173" t="str">
        <f t="shared" si="19"/>
        <v>Low</v>
      </c>
      <c r="P173" t="str">
        <f t="shared" si="20"/>
        <v>Low Demand</v>
      </c>
    </row>
    <row r="174" spans="1:16" ht="13.8">
      <c r="A174" s="13">
        <v>172</v>
      </c>
      <c r="B174" s="13">
        <v>173</v>
      </c>
      <c r="C174" s="13">
        <v>0.18179999999999999</v>
      </c>
      <c r="D174" s="13">
        <v>0.69</v>
      </c>
      <c r="E174" s="13">
        <v>0.3881</v>
      </c>
      <c r="F174" s="13">
        <v>2</v>
      </c>
      <c r="G174" s="13">
        <v>60</v>
      </c>
      <c r="H174" s="13">
        <v>62</v>
      </c>
      <c r="J174" t="str">
        <f t="shared" si="14"/>
        <v>Unique</v>
      </c>
      <c r="K174" t="str">
        <f t="shared" si="15"/>
        <v>Hot</v>
      </c>
      <c r="L174" t="str">
        <f t="shared" si="16"/>
        <v>Low</v>
      </c>
      <c r="M174" t="str">
        <f t="shared" si="17"/>
        <v>High Wind</v>
      </c>
      <c r="N174" t="str">
        <f t="shared" si="18"/>
        <v>Low</v>
      </c>
      <c r="O174" t="str">
        <f t="shared" si="19"/>
        <v>Low</v>
      </c>
      <c r="P174" t="str">
        <f t="shared" si="20"/>
        <v>Low Demand</v>
      </c>
    </row>
    <row r="175" spans="1:16" ht="13.8">
      <c r="A175" s="13">
        <v>173</v>
      </c>
      <c r="B175" s="13">
        <v>174</v>
      </c>
      <c r="C175" s="13">
        <v>0.18179999999999999</v>
      </c>
      <c r="D175" s="13">
        <v>0.59</v>
      </c>
      <c r="E175" s="13">
        <v>0.35820000000000002</v>
      </c>
      <c r="F175" s="13">
        <v>8</v>
      </c>
      <c r="G175" s="13">
        <v>90</v>
      </c>
      <c r="H175" s="13">
        <v>98</v>
      </c>
      <c r="J175" t="str">
        <f t="shared" si="14"/>
        <v>Unique</v>
      </c>
      <c r="K175" t="str">
        <f t="shared" si="15"/>
        <v>Hot</v>
      </c>
      <c r="L175" t="str">
        <f t="shared" si="16"/>
        <v>Low</v>
      </c>
      <c r="M175" t="str">
        <f t="shared" si="17"/>
        <v>High Wind</v>
      </c>
      <c r="N175" t="str">
        <f t="shared" si="18"/>
        <v>Low</v>
      </c>
      <c r="O175" t="str">
        <f t="shared" si="19"/>
        <v>Low</v>
      </c>
      <c r="P175" t="str">
        <f t="shared" si="20"/>
        <v>Low Demand</v>
      </c>
    </row>
    <row r="176" spans="1:16" ht="13.8">
      <c r="A176" s="13">
        <v>174</v>
      </c>
      <c r="B176" s="13">
        <v>175</v>
      </c>
      <c r="C176" s="13">
        <v>0.18179999999999999</v>
      </c>
      <c r="D176" s="13">
        <v>0.44</v>
      </c>
      <c r="E176" s="13">
        <v>0.32840000000000003</v>
      </c>
      <c r="F176" s="13">
        <v>7</v>
      </c>
      <c r="G176" s="13">
        <v>95</v>
      </c>
      <c r="H176" s="13">
        <v>102</v>
      </c>
      <c r="J176" t="str">
        <f t="shared" si="14"/>
        <v>Unique</v>
      </c>
      <c r="K176" t="str">
        <f t="shared" si="15"/>
        <v>Hot</v>
      </c>
      <c r="L176" t="str">
        <f t="shared" si="16"/>
        <v>Low</v>
      </c>
      <c r="M176" t="str">
        <f t="shared" si="17"/>
        <v>Medium Wind</v>
      </c>
      <c r="N176" t="str">
        <f t="shared" si="18"/>
        <v>Low</v>
      </c>
      <c r="O176" t="str">
        <f t="shared" si="19"/>
        <v>Low</v>
      </c>
      <c r="P176" t="str">
        <f t="shared" si="20"/>
        <v>Low Demand</v>
      </c>
    </row>
    <row r="177" spans="1:16" ht="13.8">
      <c r="A177" s="13">
        <v>175</v>
      </c>
      <c r="B177" s="13">
        <v>176</v>
      </c>
      <c r="C177" s="13">
        <v>0.16669999999999999</v>
      </c>
      <c r="D177" s="13">
        <v>0.32</v>
      </c>
      <c r="E177" s="13">
        <v>0.49249999999999999</v>
      </c>
      <c r="F177" s="13">
        <v>12</v>
      </c>
      <c r="G177" s="13">
        <v>83</v>
      </c>
      <c r="H177" s="13">
        <v>95</v>
      </c>
      <c r="J177" t="str">
        <f t="shared" si="14"/>
        <v>Unique</v>
      </c>
      <c r="K177" t="str">
        <f t="shared" si="15"/>
        <v>Hot</v>
      </c>
      <c r="L177" t="str">
        <f t="shared" si="16"/>
        <v>Low</v>
      </c>
      <c r="M177" t="str">
        <f t="shared" si="17"/>
        <v>Medium Wind</v>
      </c>
      <c r="N177" t="str">
        <f t="shared" si="18"/>
        <v>Low</v>
      </c>
      <c r="O177" t="str">
        <f t="shared" si="19"/>
        <v>Low</v>
      </c>
      <c r="P177" t="str">
        <f t="shared" si="20"/>
        <v>Low Demand</v>
      </c>
    </row>
    <row r="178" spans="1:16" ht="13.8">
      <c r="A178" s="13">
        <v>176</v>
      </c>
      <c r="B178" s="13">
        <v>177</v>
      </c>
      <c r="C178" s="13">
        <v>0.16669999999999999</v>
      </c>
      <c r="D178" s="13">
        <v>0.32</v>
      </c>
      <c r="E178" s="13">
        <v>0.44779999999999998</v>
      </c>
      <c r="F178" s="13">
        <v>5</v>
      </c>
      <c r="G178" s="13">
        <v>69</v>
      </c>
      <c r="H178" s="13">
        <v>74</v>
      </c>
      <c r="J178" t="str">
        <f t="shared" si="14"/>
        <v>Unique</v>
      </c>
      <c r="K178" t="str">
        <f t="shared" si="15"/>
        <v>Hot</v>
      </c>
      <c r="L178" t="str">
        <f t="shared" si="16"/>
        <v>Low</v>
      </c>
      <c r="M178" t="str">
        <f t="shared" si="17"/>
        <v>Medium Wind</v>
      </c>
      <c r="N178" t="str">
        <f t="shared" si="18"/>
        <v>Low</v>
      </c>
      <c r="O178" t="str">
        <f t="shared" si="19"/>
        <v>Low</v>
      </c>
      <c r="P178" t="str">
        <f t="shared" si="20"/>
        <v>Low Demand</v>
      </c>
    </row>
    <row r="179" spans="1:16" ht="13.8">
      <c r="A179" s="13">
        <v>177</v>
      </c>
      <c r="B179" s="13">
        <v>178</v>
      </c>
      <c r="C179" s="13">
        <v>0.13639999999999999</v>
      </c>
      <c r="D179" s="13">
        <v>0.28999999999999998</v>
      </c>
      <c r="E179" s="13">
        <v>0.44779999999999998</v>
      </c>
      <c r="F179" s="13">
        <v>8</v>
      </c>
      <c r="G179" s="13">
        <v>68</v>
      </c>
      <c r="H179" s="13">
        <v>76</v>
      </c>
      <c r="J179" t="str">
        <f t="shared" si="14"/>
        <v>Unique</v>
      </c>
      <c r="K179" t="str">
        <f t="shared" si="15"/>
        <v>Hot</v>
      </c>
      <c r="L179" t="str">
        <f t="shared" si="16"/>
        <v>Low</v>
      </c>
      <c r="M179" t="str">
        <f t="shared" si="17"/>
        <v>Medium Wind</v>
      </c>
      <c r="N179" t="str">
        <f t="shared" si="18"/>
        <v>Low</v>
      </c>
      <c r="O179" t="str">
        <f t="shared" si="19"/>
        <v>Low</v>
      </c>
      <c r="P179" t="str">
        <f t="shared" si="20"/>
        <v>Low Demand</v>
      </c>
    </row>
    <row r="180" spans="1:16" ht="13.8">
      <c r="A180" s="13">
        <v>178</v>
      </c>
      <c r="B180" s="13">
        <v>179</v>
      </c>
      <c r="C180" s="13">
        <v>0.1212</v>
      </c>
      <c r="D180" s="13">
        <v>0.37</v>
      </c>
      <c r="E180" s="13">
        <v>0.55220000000000002</v>
      </c>
      <c r="F180" s="13">
        <v>5</v>
      </c>
      <c r="G180" s="13">
        <v>64</v>
      </c>
      <c r="H180" s="13">
        <v>69</v>
      </c>
      <c r="J180" t="str">
        <f t="shared" si="14"/>
        <v>Unique</v>
      </c>
      <c r="K180" t="str">
        <f t="shared" si="15"/>
        <v>Hot</v>
      </c>
      <c r="L180" t="str">
        <f t="shared" si="16"/>
        <v>Low</v>
      </c>
      <c r="M180" t="str">
        <f t="shared" si="17"/>
        <v>Medium Wind</v>
      </c>
      <c r="N180" t="str">
        <f t="shared" si="18"/>
        <v>Low</v>
      </c>
      <c r="O180" t="str">
        <f t="shared" si="19"/>
        <v>Low</v>
      </c>
      <c r="P180" t="str">
        <f t="shared" si="20"/>
        <v>Low Demand</v>
      </c>
    </row>
    <row r="181" spans="1:16" ht="13.8">
      <c r="A181" s="13">
        <v>179</v>
      </c>
      <c r="B181" s="13">
        <v>180</v>
      </c>
      <c r="C181" s="13">
        <v>0.1212</v>
      </c>
      <c r="D181" s="13">
        <v>0.39</v>
      </c>
      <c r="E181" s="13">
        <v>0.29849999999999999</v>
      </c>
      <c r="F181" s="13">
        <v>3</v>
      </c>
      <c r="G181" s="13">
        <v>52</v>
      </c>
      <c r="H181" s="13">
        <v>55</v>
      </c>
      <c r="J181" t="str">
        <f t="shared" si="14"/>
        <v>Unique</v>
      </c>
      <c r="K181" t="str">
        <f t="shared" si="15"/>
        <v>Hot</v>
      </c>
      <c r="L181" t="str">
        <f t="shared" si="16"/>
        <v>Low</v>
      </c>
      <c r="M181" t="str">
        <f t="shared" si="17"/>
        <v>Medium Wind</v>
      </c>
      <c r="N181" t="str">
        <f t="shared" si="18"/>
        <v>Low</v>
      </c>
      <c r="O181" t="str">
        <f t="shared" si="19"/>
        <v>Low</v>
      </c>
      <c r="P181" t="str">
        <f t="shared" si="20"/>
        <v>Low Demand</v>
      </c>
    </row>
    <row r="182" spans="1:16" ht="13.8">
      <c r="A182" s="13">
        <v>180</v>
      </c>
      <c r="B182" s="13">
        <v>181</v>
      </c>
      <c r="C182" s="13">
        <v>0.1212</v>
      </c>
      <c r="D182" s="13">
        <v>0.36</v>
      </c>
      <c r="E182" s="13">
        <v>0.25369999999999998</v>
      </c>
      <c r="F182" s="13">
        <v>4</v>
      </c>
      <c r="G182" s="13">
        <v>26</v>
      </c>
      <c r="H182" s="13">
        <v>30</v>
      </c>
      <c r="J182" t="str">
        <f t="shared" si="14"/>
        <v>Unique</v>
      </c>
      <c r="K182" t="str">
        <f t="shared" si="15"/>
        <v>Hot</v>
      </c>
      <c r="L182" t="str">
        <f t="shared" si="16"/>
        <v>Low</v>
      </c>
      <c r="M182" t="str">
        <f t="shared" si="17"/>
        <v>Medium Wind</v>
      </c>
      <c r="N182" t="str">
        <f t="shared" si="18"/>
        <v>Low</v>
      </c>
      <c r="O182" t="str">
        <f t="shared" si="19"/>
        <v>Low</v>
      </c>
      <c r="P182" t="str">
        <f t="shared" si="20"/>
        <v>Low Demand</v>
      </c>
    </row>
    <row r="183" spans="1:16" ht="13.8">
      <c r="A183" s="13">
        <v>181</v>
      </c>
      <c r="B183" s="13">
        <v>182</v>
      </c>
      <c r="C183" s="13">
        <v>0.1212</v>
      </c>
      <c r="D183" s="13">
        <v>0.36</v>
      </c>
      <c r="E183" s="13">
        <v>0.25369999999999998</v>
      </c>
      <c r="F183" s="13">
        <v>0</v>
      </c>
      <c r="G183" s="13">
        <v>28</v>
      </c>
      <c r="H183" s="13">
        <v>28</v>
      </c>
      <c r="J183" t="str">
        <f t="shared" si="14"/>
        <v>Unique</v>
      </c>
      <c r="K183" t="str">
        <f t="shared" si="15"/>
        <v>Hot</v>
      </c>
      <c r="L183" t="str">
        <f t="shared" si="16"/>
        <v>Low</v>
      </c>
      <c r="M183" t="str">
        <f t="shared" si="17"/>
        <v>Medium Wind</v>
      </c>
      <c r="N183" t="str">
        <f t="shared" si="18"/>
        <v>Low</v>
      </c>
      <c r="O183" t="str">
        <f t="shared" si="19"/>
        <v>Low</v>
      </c>
      <c r="P183" t="str">
        <f t="shared" si="20"/>
        <v>Low Demand</v>
      </c>
    </row>
    <row r="184" spans="1:16" ht="13.8">
      <c r="A184" s="13">
        <v>182</v>
      </c>
      <c r="B184" s="13">
        <v>183</v>
      </c>
      <c r="C184" s="13">
        <v>0.1061</v>
      </c>
      <c r="D184" s="13">
        <v>0.39</v>
      </c>
      <c r="E184" s="13">
        <v>0.35820000000000002</v>
      </c>
      <c r="F184" s="13">
        <v>2</v>
      </c>
      <c r="G184" s="13">
        <v>35</v>
      </c>
      <c r="H184" s="13">
        <v>37</v>
      </c>
      <c r="J184" t="str">
        <f t="shared" si="14"/>
        <v>Unique</v>
      </c>
      <c r="K184" t="str">
        <f t="shared" si="15"/>
        <v>Hot</v>
      </c>
      <c r="L184" t="str">
        <f t="shared" si="16"/>
        <v>Low</v>
      </c>
      <c r="M184" t="str">
        <f t="shared" si="17"/>
        <v>Medium Wind</v>
      </c>
      <c r="N184" t="str">
        <f t="shared" si="18"/>
        <v>Low</v>
      </c>
      <c r="O184" t="str">
        <f t="shared" si="19"/>
        <v>Low</v>
      </c>
      <c r="P184" t="str">
        <f t="shared" si="20"/>
        <v>Low Demand</v>
      </c>
    </row>
    <row r="185" spans="1:16" ht="13.8">
      <c r="A185" s="13">
        <v>183</v>
      </c>
      <c r="B185" s="13">
        <v>184</v>
      </c>
      <c r="C185" s="13">
        <v>0.1061</v>
      </c>
      <c r="D185" s="13">
        <v>0.36</v>
      </c>
      <c r="E185" s="13">
        <v>0.3881</v>
      </c>
      <c r="F185" s="13">
        <v>1</v>
      </c>
      <c r="G185" s="13">
        <v>33</v>
      </c>
      <c r="H185" s="13">
        <v>34</v>
      </c>
      <c r="J185" t="str">
        <f t="shared" si="14"/>
        <v>Unique</v>
      </c>
      <c r="K185" t="str">
        <f t="shared" si="15"/>
        <v>Hot</v>
      </c>
      <c r="L185" t="str">
        <f t="shared" si="16"/>
        <v>Low</v>
      </c>
      <c r="M185" t="str">
        <f t="shared" si="17"/>
        <v>Medium Wind</v>
      </c>
      <c r="N185" t="str">
        <f t="shared" si="18"/>
        <v>Low</v>
      </c>
      <c r="O185" t="str">
        <f t="shared" si="19"/>
        <v>Low</v>
      </c>
      <c r="P185" t="str">
        <f t="shared" si="20"/>
        <v>Low Demand</v>
      </c>
    </row>
    <row r="186" spans="1:16" ht="13.8">
      <c r="A186" s="13">
        <v>184</v>
      </c>
      <c r="B186" s="13">
        <v>185</v>
      </c>
      <c r="C186" s="13">
        <v>6.0600000000000001E-2</v>
      </c>
      <c r="D186" s="13">
        <v>0.39</v>
      </c>
      <c r="E186" s="13">
        <v>0.44779999999999998</v>
      </c>
      <c r="F186" s="13">
        <v>0</v>
      </c>
      <c r="G186" s="13">
        <v>22</v>
      </c>
      <c r="H186" s="13">
        <v>22</v>
      </c>
      <c r="J186" t="str">
        <f t="shared" si="14"/>
        <v>Unique</v>
      </c>
      <c r="K186" t="str">
        <f t="shared" si="15"/>
        <v>Hot</v>
      </c>
      <c r="L186" t="str">
        <f t="shared" si="16"/>
        <v>Low</v>
      </c>
      <c r="M186" t="str">
        <f t="shared" si="17"/>
        <v>Medium Wind</v>
      </c>
      <c r="N186" t="str">
        <f t="shared" si="18"/>
        <v>Low</v>
      </c>
      <c r="O186" t="str">
        <f t="shared" si="19"/>
        <v>Low</v>
      </c>
      <c r="P186" t="str">
        <f t="shared" si="20"/>
        <v>Low Demand</v>
      </c>
    </row>
    <row r="187" spans="1:16" ht="13.8">
      <c r="A187" s="13">
        <v>185</v>
      </c>
      <c r="B187" s="13">
        <v>186</v>
      </c>
      <c r="C187" s="13">
        <v>7.5800000000000006E-2</v>
      </c>
      <c r="D187" s="13">
        <v>0.42</v>
      </c>
      <c r="E187" s="13">
        <v>0.3881</v>
      </c>
      <c r="F187" s="13">
        <v>1</v>
      </c>
      <c r="G187" s="13">
        <v>24</v>
      </c>
      <c r="H187" s="13">
        <v>25</v>
      </c>
      <c r="J187" t="str">
        <f t="shared" si="14"/>
        <v>Unique</v>
      </c>
      <c r="K187" t="str">
        <f t="shared" si="15"/>
        <v>Hot</v>
      </c>
      <c r="L187" t="str">
        <f t="shared" si="16"/>
        <v>Low</v>
      </c>
      <c r="M187" t="str">
        <f t="shared" si="17"/>
        <v>Medium Wind</v>
      </c>
      <c r="N187" t="str">
        <f t="shared" si="18"/>
        <v>Low</v>
      </c>
      <c r="O187" t="str">
        <f t="shared" si="19"/>
        <v>Low</v>
      </c>
      <c r="P187" t="str">
        <f t="shared" si="20"/>
        <v>Low Demand</v>
      </c>
    </row>
    <row r="188" spans="1:16" ht="13.8">
      <c r="A188" s="13">
        <v>186</v>
      </c>
      <c r="B188" s="13">
        <v>187</v>
      </c>
      <c r="C188" s="13">
        <v>6.0600000000000001E-2</v>
      </c>
      <c r="D188" s="13">
        <v>0.42</v>
      </c>
      <c r="E188" s="13">
        <v>0.4627</v>
      </c>
      <c r="F188" s="13">
        <v>0</v>
      </c>
      <c r="G188" s="13">
        <v>12</v>
      </c>
      <c r="H188" s="13">
        <v>12</v>
      </c>
      <c r="J188" t="str">
        <f t="shared" si="14"/>
        <v>Unique</v>
      </c>
      <c r="K188" t="str">
        <f t="shared" si="15"/>
        <v>Hot</v>
      </c>
      <c r="L188" t="str">
        <f t="shared" si="16"/>
        <v>Low</v>
      </c>
      <c r="M188" t="str">
        <f t="shared" si="17"/>
        <v>Medium Wind</v>
      </c>
      <c r="N188" t="str">
        <f t="shared" si="18"/>
        <v>Low</v>
      </c>
      <c r="O188" t="str">
        <f t="shared" si="19"/>
        <v>Low</v>
      </c>
      <c r="P188" t="str">
        <f t="shared" si="20"/>
        <v>Low Demand</v>
      </c>
    </row>
    <row r="189" spans="1:16" ht="13.8">
      <c r="A189" s="13">
        <v>187</v>
      </c>
      <c r="B189" s="13">
        <v>188</v>
      </c>
      <c r="C189" s="13">
        <v>6.0600000000000001E-2</v>
      </c>
      <c r="D189" s="13">
        <v>0.46</v>
      </c>
      <c r="E189" s="13">
        <v>0.4627</v>
      </c>
      <c r="F189" s="13">
        <v>0</v>
      </c>
      <c r="G189" s="13">
        <v>11</v>
      </c>
      <c r="H189" s="13">
        <v>11</v>
      </c>
      <c r="J189" t="str">
        <f t="shared" si="14"/>
        <v>Unique</v>
      </c>
      <c r="K189" t="str">
        <f t="shared" si="15"/>
        <v>Hot</v>
      </c>
      <c r="L189" t="str">
        <f t="shared" si="16"/>
        <v>Low</v>
      </c>
      <c r="M189" t="str">
        <f t="shared" si="17"/>
        <v>Medium Wind</v>
      </c>
      <c r="N189" t="str">
        <f t="shared" si="18"/>
        <v>Low</v>
      </c>
      <c r="O189" t="str">
        <f t="shared" si="19"/>
        <v>Low</v>
      </c>
      <c r="P189" t="str">
        <f t="shared" si="20"/>
        <v>Low Demand</v>
      </c>
    </row>
    <row r="190" spans="1:16" ht="13.8">
      <c r="A190" s="13">
        <v>188</v>
      </c>
      <c r="B190" s="13">
        <v>189</v>
      </c>
      <c r="C190" s="13">
        <v>7.5800000000000006E-2</v>
      </c>
      <c r="D190" s="13">
        <v>0.46</v>
      </c>
      <c r="E190" s="13">
        <v>0.41789999999999999</v>
      </c>
      <c r="F190" s="13">
        <v>0</v>
      </c>
      <c r="G190" s="13">
        <v>4</v>
      </c>
      <c r="H190" s="13">
        <v>4</v>
      </c>
      <c r="J190" t="str">
        <f t="shared" si="14"/>
        <v>Unique</v>
      </c>
      <c r="K190" t="str">
        <f t="shared" si="15"/>
        <v>Hot</v>
      </c>
      <c r="L190" t="str">
        <f t="shared" si="16"/>
        <v>Low</v>
      </c>
      <c r="M190" t="str">
        <f t="shared" si="17"/>
        <v>Medium Wind</v>
      </c>
      <c r="N190" t="str">
        <f t="shared" si="18"/>
        <v>Low</v>
      </c>
      <c r="O190" t="str">
        <f t="shared" si="19"/>
        <v>Low</v>
      </c>
      <c r="P190" t="str">
        <f t="shared" si="20"/>
        <v>Low Demand</v>
      </c>
    </row>
    <row r="191" spans="1:16" ht="13.8">
      <c r="A191" s="13">
        <v>189</v>
      </c>
      <c r="B191" s="13">
        <v>190</v>
      </c>
      <c r="C191" s="13">
        <v>9.0899999999999995E-2</v>
      </c>
      <c r="D191" s="13">
        <v>0.53</v>
      </c>
      <c r="E191" s="13">
        <v>0.19400000000000001</v>
      </c>
      <c r="F191" s="13">
        <v>0</v>
      </c>
      <c r="G191" s="13">
        <v>1</v>
      </c>
      <c r="H191" s="13">
        <v>1</v>
      </c>
      <c r="J191" t="str">
        <f t="shared" si="14"/>
        <v>Unique</v>
      </c>
      <c r="K191" t="str">
        <f t="shared" si="15"/>
        <v>Hot</v>
      </c>
      <c r="L191" t="str">
        <f t="shared" si="16"/>
        <v>Low</v>
      </c>
      <c r="M191" t="str">
        <f t="shared" si="17"/>
        <v>High Wind</v>
      </c>
      <c r="N191" t="str">
        <f t="shared" si="18"/>
        <v>Low</v>
      </c>
      <c r="O191" t="str">
        <f t="shared" si="19"/>
        <v>Low</v>
      </c>
      <c r="P191" t="str">
        <f t="shared" si="20"/>
        <v>Low Demand</v>
      </c>
    </row>
    <row r="192" spans="1:16" ht="13.8">
      <c r="A192" s="13">
        <v>190</v>
      </c>
      <c r="B192" s="13">
        <v>191</v>
      </c>
      <c r="C192" s="13">
        <v>9.0899999999999995E-2</v>
      </c>
      <c r="D192" s="13">
        <v>0.53</v>
      </c>
      <c r="E192" s="13">
        <v>0.19400000000000001</v>
      </c>
      <c r="F192" s="13">
        <v>0</v>
      </c>
      <c r="G192" s="13">
        <v>1</v>
      </c>
      <c r="H192" s="13">
        <v>1</v>
      </c>
      <c r="J192" t="str">
        <f t="shared" si="14"/>
        <v>Unique</v>
      </c>
      <c r="K192" t="str">
        <f t="shared" si="15"/>
        <v>Hot</v>
      </c>
      <c r="L192" t="str">
        <f t="shared" si="16"/>
        <v>Low</v>
      </c>
      <c r="M192" t="str">
        <f t="shared" si="17"/>
        <v>High Wind</v>
      </c>
      <c r="N192" t="str">
        <f t="shared" si="18"/>
        <v>Low</v>
      </c>
      <c r="O192" t="str">
        <f t="shared" si="19"/>
        <v>Low</v>
      </c>
      <c r="P192" t="str">
        <f t="shared" si="20"/>
        <v>Low Demand</v>
      </c>
    </row>
    <row r="193" spans="1:16" ht="13.8">
      <c r="A193" s="13">
        <v>191</v>
      </c>
      <c r="B193" s="13">
        <v>192</v>
      </c>
      <c r="C193" s="13">
        <v>9.0899999999999995E-2</v>
      </c>
      <c r="D193" s="13">
        <v>0.49</v>
      </c>
      <c r="E193" s="13">
        <v>0.28360000000000002</v>
      </c>
      <c r="F193" s="13">
        <v>0</v>
      </c>
      <c r="G193" s="13">
        <v>1</v>
      </c>
      <c r="H193" s="13">
        <v>1</v>
      </c>
      <c r="J193" t="str">
        <f t="shared" si="14"/>
        <v>Unique</v>
      </c>
      <c r="K193" t="str">
        <f t="shared" si="15"/>
        <v>Hot</v>
      </c>
      <c r="L193" t="str">
        <f t="shared" si="16"/>
        <v>Low</v>
      </c>
      <c r="M193" t="str">
        <f t="shared" si="17"/>
        <v>Medium Wind</v>
      </c>
      <c r="N193" t="str">
        <f t="shared" si="18"/>
        <v>Low</v>
      </c>
      <c r="O193" t="str">
        <f t="shared" si="19"/>
        <v>Low</v>
      </c>
      <c r="P193" t="str">
        <f t="shared" si="20"/>
        <v>Low Demand</v>
      </c>
    </row>
    <row r="194" spans="1:16" ht="13.8">
      <c r="A194" s="13">
        <v>192</v>
      </c>
      <c r="B194" s="13">
        <v>193</v>
      </c>
      <c r="C194" s="13">
        <v>9.0899999999999995E-2</v>
      </c>
      <c r="D194" s="13">
        <v>0.53</v>
      </c>
      <c r="E194" s="13">
        <v>0.19400000000000001</v>
      </c>
      <c r="F194" s="13">
        <v>1</v>
      </c>
      <c r="G194" s="13">
        <v>5</v>
      </c>
      <c r="H194" s="13">
        <v>6</v>
      </c>
      <c r="J194" t="str">
        <f t="shared" si="14"/>
        <v>Unique</v>
      </c>
      <c r="K194" t="str">
        <f t="shared" si="15"/>
        <v>Hot</v>
      </c>
      <c r="L194" t="str">
        <f t="shared" si="16"/>
        <v>Low</v>
      </c>
      <c r="M194" t="str">
        <f t="shared" si="17"/>
        <v>High Wind</v>
      </c>
      <c r="N194" t="str">
        <f t="shared" si="18"/>
        <v>Low</v>
      </c>
      <c r="O194" t="str">
        <f t="shared" si="19"/>
        <v>Low</v>
      </c>
      <c r="P194" t="str">
        <f t="shared" si="20"/>
        <v>Low Demand</v>
      </c>
    </row>
    <row r="195" spans="1:16" ht="13.8">
      <c r="A195" s="13">
        <v>193</v>
      </c>
      <c r="B195" s="13">
        <v>194</v>
      </c>
      <c r="C195" s="13">
        <v>9.0899999999999995E-2</v>
      </c>
      <c r="D195" s="13">
        <v>0.49</v>
      </c>
      <c r="E195" s="13">
        <v>0.28360000000000002</v>
      </c>
      <c r="F195" s="13">
        <v>0</v>
      </c>
      <c r="G195" s="13">
        <v>10</v>
      </c>
      <c r="H195" s="13">
        <v>10</v>
      </c>
      <c r="J195" t="str">
        <f t="shared" ref="J195:J258" si="21">IF(COUNTIF(A:A,A195)&gt;1,"Duplicate","Unique")</f>
        <v>Unique</v>
      </c>
      <c r="K195" t="str">
        <f t="shared" ref="K195:K258" si="22">IF(B195&lt;0.3,"Cold",IF(B195&lt;0.6,"Normal","Hot"))</f>
        <v>Hot</v>
      </c>
      <c r="L195" t="str">
        <f t="shared" ref="L195:L258" si="23">IF(C195&lt;0.4,"Low",IF(C195&lt;0.7,"Medium","High"))</f>
        <v>Low</v>
      </c>
      <c r="M195" t="str">
        <f t="shared" ref="M195:M258" si="24">IF(D195&lt;0.2,"Low Wind",IF(D195&lt;0.5,"Medium Wind","High Wind"))</f>
        <v>Medium Wind</v>
      </c>
      <c r="N195" t="str">
        <f t="shared" ref="N195:N258" si="25">IF(E195&lt;50,"Low",IF(E195&lt;150,"Medium","High"))</f>
        <v>Low</v>
      </c>
      <c r="O195" t="str">
        <f t="shared" ref="O195:O258" si="26">IF(F195&lt;100,"Low",IF(F195&lt;300,"Medium","High"))</f>
        <v>Low</v>
      </c>
      <c r="P195" t="str">
        <f t="shared" ref="P195:P258" si="27">IF(G195&lt;100,"Low Demand",IF(G195&lt;300,"Medium Demand","High Demand"))</f>
        <v>Low Demand</v>
      </c>
    </row>
    <row r="196" spans="1:16" ht="13.8">
      <c r="A196" s="13">
        <v>194</v>
      </c>
      <c r="B196" s="13">
        <v>195</v>
      </c>
      <c r="C196" s="13">
        <v>7.5800000000000006E-2</v>
      </c>
      <c r="D196" s="13">
        <v>0.46</v>
      </c>
      <c r="E196" s="13">
        <v>0.52239999999999998</v>
      </c>
      <c r="F196" s="13">
        <v>0</v>
      </c>
      <c r="G196" s="13">
        <v>19</v>
      </c>
      <c r="H196" s="13">
        <v>19</v>
      </c>
      <c r="J196" t="str">
        <f t="shared" si="21"/>
        <v>Unique</v>
      </c>
      <c r="K196" t="str">
        <f t="shared" si="22"/>
        <v>Hot</v>
      </c>
      <c r="L196" t="str">
        <f t="shared" si="23"/>
        <v>Low</v>
      </c>
      <c r="M196" t="str">
        <f t="shared" si="24"/>
        <v>Medium Wind</v>
      </c>
      <c r="N196" t="str">
        <f t="shared" si="25"/>
        <v>Low</v>
      </c>
      <c r="O196" t="str">
        <f t="shared" si="26"/>
        <v>Low</v>
      </c>
      <c r="P196" t="str">
        <f t="shared" si="27"/>
        <v>Low Demand</v>
      </c>
    </row>
    <row r="197" spans="1:16" ht="13.8">
      <c r="A197" s="13">
        <v>195</v>
      </c>
      <c r="B197" s="13">
        <v>196</v>
      </c>
      <c r="C197" s="13">
        <v>0.1061</v>
      </c>
      <c r="D197" s="13">
        <v>0.43</v>
      </c>
      <c r="E197" s="13">
        <v>0.3881</v>
      </c>
      <c r="F197" s="13">
        <v>0</v>
      </c>
      <c r="G197" s="13">
        <v>49</v>
      </c>
      <c r="H197" s="13">
        <v>49</v>
      </c>
      <c r="J197" t="str">
        <f t="shared" si="21"/>
        <v>Unique</v>
      </c>
      <c r="K197" t="str">
        <f t="shared" si="22"/>
        <v>Hot</v>
      </c>
      <c r="L197" t="str">
        <f t="shared" si="23"/>
        <v>Low</v>
      </c>
      <c r="M197" t="str">
        <f t="shared" si="24"/>
        <v>Medium Wind</v>
      </c>
      <c r="N197" t="str">
        <f t="shared" si="25"/>
        <v>Low</v>
      </c>
      <c r="O197" t="str">
        <f t="shared" si="26"/>
        <v>Low</v>
      </c>
      <c r="P197" t="str">
        <f t="shared" si="27"/>
        <v>Low Demand</v>
      </c>
    </row>
    <row r="198" spans="1:16" ht="13.8">
      <c r="A198" s="13">
        <v>196</v>
      </c>
      <c r="B198" s="13">
        <v>197</v>
      </c>
      <c r="C198" s="13">
        <v>0.1212</v>
      </c>
      <c r="D198" s="13">
        <v>0.4</v>
      </c>
      <c r="E198" s="13">
        <v>0.52239999999999998</v>
      </c>
      <c r="F198" s="13">
        <v>2</v>
      </c>
      <c r="G198" s="13">
        <v>47</v>
      </c>
      <c r="H198" s="13">
        <v>49</v>
      </c>
      <c r="J198" t="str">
        <f t="shared" si="21"/>
        <v>Unique</v>
      </c>
      <c r="K198" t="str">
        <f t="shared" si="22"/>
        <v>Hot</v>
      </c>
      <c r="L198" t="str">
        <f t="shared" si="23"/>
        <v>Low</v>
      </c>
      <c r="M198" t="str">
        <f t="shared" si="24"/>
        <v>Medium Wind</v>
      </c>
      <c r="N198" t="str">
        <f t="shared" si="25"/>
        <v>Low</v>
      </c>
      <c r="O198" t="str">
        <f t="shared" si="26"/>
        <v>Low</v>
      </c>
      <c r="P198" t="str">
        <f t="shared" si="27"/>
        <v>Low Demand</v>
      </c>
    </row>
    <row r="199" spans="1:16" ht="13.8">
      <c r="A199" s="13">
        <v>197</v>
      </c>
      <c r="B199" s="13">
        <v>198</v>
      </c>
      <c r="C199" s="13">
        <v>0.13639999999999999</v>
      </c>
      <c r="D199" s="13">
        <v>0.37</v>
      </c>
      <c r="E199" s="13">
        <v>0.44779999999999998</v>
      </c>
      <c r="F199" s="13">
        <v>4</v>
      </c>
      <c r="G199" s="13">
        <v>79</v>
      </c>
      <c r="H199" s="13">
        <v>83</v>
      </c>
      <c r="J199" t="str">
        <f t="shared" si="21"/>
        <v>Unique</v>
      </c>
      <c r="K199" t="str">
        <f t="shared" si="22"/>
        <v>Hot</v>
      </c>
      <c r="L199" t="str">
        <f t="shared" si="23"/>
        <v>Low</v>
      </c>
      <c r="M199" t="str">
        <f t="shared" si="24"/>
        <v>Medium Wind</v>
      </c>
      <c r="N199" t="str">
        <f t="shared" si="25"/>
        <v>Low</v>
      </c>
      <c r="O199" t="str">
        <f t="shared" si="26"/>
        <v>Low</v>
      </c>
      <c r="P199" t="str">
        <f t="shared" si="27"/>
        <v>Low Demand</v>
      </c>
    </row>
    <row r="200" spans="1:16" ht="13.8">
      <c r="A200" s="13">
        <v>198</v>
      </c>
      <c r="B200" s="13">
        <v>199</v>
      </c>
      <c r="C200" s="13">
        <v>0.16669999999999999</v>
      </c>
      <c r="D200" s="13">
        <v>0.34</v>
      </c>
      <c r="E200" s="13">
        <v>0.44779999999999998</v>
      </c>
      <c r="F200" s="13">
        <v>6</v>
      </c>
      <c r="G200" s="13">
        <v>69</v>
      </c>
      <c r="H200" s="13">
        <v>75</v>
      </c>
      <c r="J200" t="str">
        <f t="shared" si="21"/>
        <v>Unique</v>
      </c>
      <c r="K200" t="str">
        <f t="shared" si="22"/>
        <v>Hot</v>
      </c>
      <c r="L200" t="str">
        <f t="shared" si="23"/>
        <v>Low</v>
      </c>
      <c r="M200" t="str">
        <f t="shared" si="24"/>
        <v>Medium Wind</v>
      </c>
      <c r="N200" t="str">
        <f t="shared" si="25"/>
        <v>Low</v>
      </c>
      <c r="O200" t="str">
        <f t="shared" si="26"/>
        <v>Low</v>
      </c>
      <c r="P200" t="str">
        <f t="shared" si="27"/>
        <v>Low Demand</v>
      </c>
    </row>
    <row r="201" spans="1:16" ht="13.8">
      <c r="A201" s="13">
        <v>199</v>
      </c>
      <c r="B201" s="13">
        <v>200</v>
      </c>
      <c r="C201" s="13">
        <v>0.18179999999999999</v>
      </c>
      <c r="D201" s="13">
        <v>0.32</v>
      </c>
      <c r="E201" s="13">
        <v>0.4627</v>
      </c>
      <c r="F201" s="13">
        <v>8</v>
      </c>
      <c r="G201" s="13">
        <v>64</v>
      </c>
      <c r="H201" s="13">
        <v>72</v>
      </c>
      <c r="J201" t="str">
        <f t="shared" si="21"/>
        <v>Unique</v>
      </c>
      <c r="K201" t="str">
        <f t="shared" si="22"/>
        <v>Hot</v>
      </c>
      <c r="L201" t="str">
        <f t="shared" si="23"/>
        <v>Low</v>
      </c>
      <c r="M201" t="str">
        <f t="shared" si="24"/>
        <v>Medium Wind</v>
      </c>
      <c r="N201" t="str">
        <f t="shared" si="25"/>
        <v>Low</v>
      </c>
      <c r="O201" t="str">
        <f t="shared" si="26"/>
        <v>Low</v>
      </c>
      <c r="P201" t="str">
        <f t="shared" si="27"/>
        <v>Low Demand</v>
      </c>
    </row>
    <row r="202" spans="1:16" ht="13.8">
      <c r="A202" s="13">
        <v>200</v>
      </c>
      <c r="B202" s="13">
        <v>201</v>
      </c>
      <c r="C202" s="13">
        <v>0.19700000000000001</v>
      </c>
      <c r="D202" s="13">
        <v>0.35</v>
      </c>
      <c r="E202" s="13">
        <v>0.35820000000000002</v>
      </c>
      <c r="F202" s="13">
        <v>5</v>
      </c>
      <c r="G202" s="13">
        <v>77</v>
      </c>
      <c r="H202" s="13">
        <v>82</v>
      </c>
      <c r="J202" t="str">
        <f t="shared" si="21"/>
        <v>Unique</v>
      </c>
      <c r="K202" t="str">
        <f t="shared" si="22"/>
        <v>Hot</v>
      </c>
      <c r="L202" t="str">
        <f t="shared" si="23"/>
        <v>Low</v>
      </c>
      <c r="M202" t="str">
        <f t="shared" si="24"/>
        <v>Medium Wind</v>
      </c>
      <c r="N202" t="str">
        <f t="shared" si="25"/>
        <v>Low</v>
      </c>
      <c r="O202" t="str">
        <f t="shared" si="26"/>
        <v>Low</v>
      </c>
      <c r="P202" t="str">
        <f t="shared" si="27"/>
        <v>Low Demand</v>
      </c>
    </row>
    <row r="203" spans="1:16" ht="13.8">
      <c r="A203" s="13">
        <v>201</v>
      </c>
      <c r="B203" s="13">
        <v>202</v>
      </c>
      <c r="C203" s="13">
        <v>0.16669999999999999</v>
      </c>
      <c r="D203" s="13">
        <v>0.34</v>
      </c>
      <c r="E203" s="13">
        <v>0.44779999999999998</v>
      </c>
      <c r="F203" s="13">
        <v>13</v>
      </c>
      <c r="G203" s="13">
        <v>79</v>
      </c>
      <c r="H203" s="13">
        <v>92</v>
      </c>
      <c r="J203" t="str">
        <f t="shared" si="21"/>
        <v>Unique</v>
      </c>
      <c r="K203" t="str">
        <f t="shared" si="22"/>
        <v>Hot</v>
      </c>
      <c r="L203" t="str">
        <f t="shared" si="23"/>
        <v>Low</v>
      </c>
      <c r="M203" t="str">
        <f t="shared" si="24"/>
        <v>Medium Wind</v>
      </c>
      <c r="N203" t="str">
        <f t="shared" si="25"/>
        <v>Low</v>
      </c>
      <c r="O203" t="str">
        <f t="shared" si="26"/>
        <v>Low</v>
      </c>
      <c r="P203" t="str">
        <f t="shared" si="27"/>
        <v>Low Demand</v>
      </c>
    </row>
    <row r="204" spans="1:16" ht="13.8">
      <c r="A204" s="13">
        <v>202</v>
      </c>
      <c r="B204" s="13">
        <v>203</v>
      </c>
      <c r="C204" s="13">
        <v>0.1515</v>
      </c>
      <c r="D204" s="13">
        <v>0.37</v>
      </c>
      <c r="E204" s="13">
        <v>0.3881</v>
      </c>
      <c r="F204" s="13">
        <v>3</v>
      </c>
      <c r="G204" s="13">
        <v>59</v>
      </c>
      <c r="H204" s="13">
        <v>62</v>
      </c>
      <c r="J204" t="str">
        <f t="shared" si="21"/>
        <v>Unique</v>
      </c>
      <c r="K204" t="str">
        <f t="shared" si="22"/>
        <v>Hot</v>
      </c>
      <c r="L204" t="str">
        <f t="shared" si="23"/>
        <v>Low</v>
      </c>
      <c r="M204" t="str">
        <f t="shared" si="24"/>
        <v>Medium Wind</v>
      </c>
      <c r="N204" t="str">
        <f t="shared" si="25"/>
        <v>Low</v>
      </c>
      <c r="O204" t="str">
        <f t="shared" si="26"/>
        <v>Low</v>
      </c>
      <c r="P204" t="str">
        <f t="shared" si="27"/>
        <v>Low Demand</v>
      </c>
    </row>
    <row r="205" spans="1:16" ht="13.8">
      <c r="A205" s="13">
        <v>203</v>
      </c>
      <c r="B205" s="13">
        <v>204</v>
      </c>
      <c r="C205" s="13">
        <v>0.13639999999999999</v>
      </c>
      <c r="D205" s="13">
        <v>0.4</v>
      </c>
      <c r="E205" s="13">
        <v>0.32840000000000003</v>
      </c>
      <c r="F205" s="13">
        <v>4</v>
      </c>
      <c r="G205" s="13">
        <v>44</v>
      </c>
      <c r="H205" s="13">
        <v>48</v>
      </c>
      <c r="J205" t="str">
        <f t="shared" si="21"/>
        <v>Unique</v>
      </c>
      <c r="K205" t="str">
        <f t="shared" si="22"/>
        <v>Hot</v>
      </c>
      <c r="L205" t="str">
        <f t="shared" si="23"/>
        <v>Low</v>
      </c>
      <c r="M205" t="str">
        <f t="shared" si="24"/>
        <v>Medium Wind</v>
      </c>
      <c r="N205" t="str">
        <f t="shared" si="25"/>
        <v>Low</v>
      </c>
      <c r="O205" t="str">
        <f t="shared" si="26"/>
        <v>Low</v>
      </c>
      <c r="P205" t="str">
        <f t="shared" si="27"/>
        <v>Low Demand</v>
      </c>
    </row>
    <row r="206" spans="1:16" ht="13.8">
      <c r="A206" s="13">
        <v>204</v>
      </c>
      <c r="B206" s="13">
        <v>205</v>
      </c>
      <c r="C206" s="13">
        <v>0.13639999999999999</v>
      </c>
      <c r="D206" s="13">
        <v>0.43</v>
      </c>
      <c r="E206" s="13">
        <v>0.32840000000000003</v>
      </c>
      <c r="F206" s="13">
        <v>1</v>
      </c>
      <c r="G206" s="13">
        <v>40</v>
      </c>
      <c r="H206" s="13">
        <v>41</v>
      </c>
      <c r="J206" t="str">
        <f t="shared" si="21"/>
        <v>Unique</v>
      </c>
      <c r="K206" t="str">
        <f t="shared" si="22"/>
        <v>Hot</v>
      </c>
      <c r="L206" t="str">
        <f t="shared" si="23"/>
        <v>Low</v>
      </c>
      <c r="M206" t="str">
        <f t="shared" si="24"/>
        <v>Medium Wind</v>
      </c>
      <c r="N206" t="str">
        <f t="shared" si="25"/>
        <v>Low</v>
      </c>
      <c r="O206" t="str">
        <f t="shared" si="26"/>
        <v>Low</v>
      </c>
      <c r="P206" t="str">
        <f t="shared" si="27"/>
        <v>Low Demand</v>
      </c>
    </row>
    <row r="207" spans="1:16" ht="13.8">
      <c r="A207" s="13">
        <v>205</v>
      </c>
      <c r="B207" s="13">
        <v>206</v>
      </c>
      <c r="C207" s="13">
        <v>0.1212</v>
      </c>
      <c r="D207" s="13">
        <v>0.46</v>
      </c>
      <c r="E207" s="13">
        <v>0.25369999999999998</v>
      </c>
      <c r="F207" s="13">
        <v>0</v>
      </c>
      <c r="G207" s="13">
        <v>38</v>
      </c>
      <c r="H207" s="13">
        <v>38</v>
      </c>
      <c r="J207" t="str">
        <f t="shared" si="21"/>
        <v>Unique</v>
      </c>
      <c r="K207" t="str">
        <f t="shared" si="22"/>
        <v>Hot</v>
      </c>
      <c r="L207" t="str">
        <f t="shared" si="23"/>
        <v>Low</v>
      </c>
      <c r="M207" t="str">
        <f t="shared" si="24"/>
        <v>Medium Wind</v>
      </c>
      <c r="N207" t="str">
        <f t="shared" si="25"/>
        <v>Low</v>
      </c>
      <c r="O207" t="str">
        <f t="shared" si="26"/>
        <v>Low</v>
      </c>
      <c r="P207" t="str">
        <f t="shared" si="27"/>
        <v>Low Demand</v>
      </c>
    </row>
    <row r="208" spans="1:16" ht="13.8">
      <c r="A208" s="13">
        <v>206</v>
      </c>
      <c r="B208" s="13">
        <v>207</v>
      </c>
      <c r="C208" s="13">
        <v>0.1061</v>
      </c>
      <c r="D208" s="13">
        <v>0.46</v>
      </c>
      <c r="E208" s="13">
        <v>0.41789999999999999</v>
      </c>
      <c r="F208" s="13">
        <v>1</v>
      </c>
      <c r="G208" s="13">
        <v>19</v>
      </c>
      <c r="H208" s="13">
        <v>20</v>
      </c>
      <c r="J208" t="str">
        <f t="shared" si="21"/>
        <v>Unique</v>
      </c>
      <c r="K208" t="str">
        <f t="shared" si="22"/>
        <v>Hot</v>
      </c>
      <c r="L208" t="str">
        <f t="shared" si="23"/>
        <v>Low</v>
      </c>
      <c r="M208" t="str">
        <f t="shared" si="24"/>
        <v>Medium Wind</v>
      </c>
      <c r="N208" t="str">
        <f t="shared" si="25"/>
        <v>Low</v>
      </c>
      <c r="O208" t="str">
        <f t="shared" si="26"/>
        <v>Low</v>
      </c>
      <c r="P208" t="str">
        <f t="shared" si="27"/>
        <v>Low Demand</v>
      </c>
    </row>
    <row r="209" spans="1:16" ht="13.8">
      <c r="A209" s="13">
        <v>207</v>
      </c>
      <c r="B209" s="13">
        <v>208</v>
      </c>
      <c r="C209" s="13">
        <v>0.1212</v>
      </c>
      <c r="D209" s="13">
        <v>0.46</v>
      </c>
      <c r="E209" s="13">
        <v>0.29849999999999999</v>
      </c>
      <c r="F209" s="13">
        <v>5</v>
      </c>
      <c r="G209" s="13">
        <v>10</v>
      </c>
      <c r="H209" s="13">
        <v>15</v>
      </c>
      <c r="J209" t="str">
        <f t="shared" si="21"/>
        <v>Unique</v>
      </c>
      <c r="K209" t="str">
        <f t="shared" si="22"/>
        <v>Hot</v>
      </c>
      <c r="L209" t="str">
        <f t="shared" si="23"/>
        <v>Low</v>
      </c>
      <c r="M209" t="str">
        <f t="shared" si="24"/>
        <v>Medium Wind</v>
      </c>
      <c r="N209" t="str">
        <f t="shared" si="25"/>
        <v>Low</v>
      </c>
      <c r="O209" t="str">
        <f t="shared" si="26"/>
        <v>Low</v>
      </c>
      <c r="P209" t="str">
        <f t="shared" si="27"/>
        <v>Low Demand</v>
      </c>
    </row>
    <row r="210" spans="1:16" ht="13.8">
      <c r="A210" s="13">
        <v>208</v>
      </c>
      <c r="B210" s="13">
        <v>209</v>
      </c>
      <c r="C210" s="13">
        <v>0.13639999999999999</v>
      </c>
      <c r="D210" s="13">
        <v>0.5</v>
      </c>
      <c r="E210" s="13">
        <v>0.19400000000000001</v>
      </c>
      <c r="F210" s="13">
        <v>0</v>
      </c>
      <c r="G210" s="13">
        <v>6</v>
      </c>
      <c r="H210" s="13">
        <v>6</v>
      </c>
      <c r="J210" t="str">
        <f t="shared" si="21"/>
        <v>Unique</v>
      </c>
      <c r="K210" t="str">
        <f t="shared" si="22"/>
        <v>Hot</v>
      </c>
      <c r="L210" t="str">
        <f t="shared" si="23"/>
        <v>Low</v>
      </c>
      <c r="M210" t="str">
        <f t="shared" si="24"/>
        <v>High Wind</v>
      </c>
      <c r="N210" t="str">
        <f t="shared" si="25"/>
        <v>Low</v>
      </c>
      <c r="O210" t="str">
        <f t="shared" si="26"/>
        <v>Low</v>
      </c>
      <c r="P210" t="str">
        <f t="shared" si="27"/>
        <v>Low Demand</v>
      </c>
    </row>
    <row r="211" spans="1:16" ht="13.8">
      <c r="A211" s="13">
        <v>209</v>
      </c>
      <c r="B211" s="13">
        <v>210</v>
      </c>
      <c r="C211" s="13">
        <v>0.1212</v>
      </c>
      <c r="D211" s="13">
        <v>0.5</v>
      </c>
      <c r="E211" s="13">
        <v>0.28360000000000002</v>
      </c>
      <c r="F211" s="13">
        <v>2</v>
      </c>
      <c r="G211" s="13">
        <v>3</v>
      </c>
      <c r="H211" s="13">
        <v>5</v>
      </c>
      <c r="J211" t="str">
        <f t="shared" si="21"/>
        <v>Unique</v>
      </c>
      <c r="K211" t="str">
        <f t="shared" si="22"/>
        <v>Hot</v>
      </c>
      <c r="L211" t="str">
        <f t="shared" si="23"/>
        <v>Low</v>
      </c>
      <c r="M211" t="str">
        <f t="shared" si="24"/>
        <v>High Wind</v>
      </c>
      <c r="N211" t="str">
        <f t="shared" si="25"/>
        <v>Low</v>
      </c>
      <c r="O211" t="str">
        <f t="shared" si="26"/>
        <v>Low</v>
      </c>
      <c r="P211" t="str">
        <f t="shared" si="27"/>
        <v>Low Demand</v>
      </c>
    </row>
    <row r="212" spans="1:16" ht="13.8">
      <c r="A212" s="13">
        <v>210</v>
      </c>
      <c r="B212" s="13">
        <v>211</v>
      </c>
      <c r="C212" s="13">
        <v>0.1212</v>
      </c>
      <c r="D212" s="13">
        <v>0.5</v>
      </c>
      <c r="E212" s="13">
        <v>0.28360000000000002</v>
      </c>
      <c r="F212" s="13">
        <v>1</v>
      </c>
      <c r="G212" s="13">
        <v>0</v>
      </c>
      <c r="H212" s="13">
        <v>1</v>
      </c>
      <c r="J212" t="str">
        <f t="shared" si="21"/>
        <v>Unique</v>
      </c>
      <c r="K212" t="str">
        <f t="shared" si="22"/>
        <v>Hot</v>
      </c>
      <c r="L212" t="str">
        <f t="shared" si="23"/>
        <v>Low</v>
      </c>
      <c r="M212" t="str">
        <f t="shared" si="24"/>
        <v>High Wind</v>
      </c>
      <c r="N212" t="str">
        <f t="shared" si="25"/>
        <v>Low</v>
      </c>
      <c r="O212" t="str">
        <f t="shared" si="26"/>
        <v>Low</v>
      </c>
      <c r="P212" t="str">
        <f t="shared" si="27"/>
        <v>Low Demand</v>
      </c>
    </row>
    <row r="213" spans="1:16" ht="13.8">
      <c r="A213" s="13">
        <v>211</v>
      </c>
      <c r="B213" s="13">
        <v>212</v>
      </c>
      <c r="C213" s="13">
        <v>0.1212</v>
      </c>
      <c r="D213" s="13">
        <v>0.5</v>
      </c>
      <c r="E213" s="13">
        <v>0.22389999999999999</v>
      </c>
      <c r="F213" s="13">
        <v>0</v>
      </c>
      <c r="G213" s="13">
        <v>3</v>
      </c>
      <c r="H213" s="13">
        <v>3</v>
      </c>
      <c r="J213" t="str">
        <f t="shared" si="21"/>
        <v>Unique</v>
      </c>
      <c r="K213" t="str">
        <f t="shared" si="22"/>
        <v>Hot</v>
      </c>
      <c r="L213" t="str">
        <f t="shared" si="23"/>
        <v>Low</v>
      </c>
      <c r="M213" t="str">
        <f t="shared" si="24"/>
        <v>High Wind</v>
      </c>
      <c r="N213" t="str">
        <f t="shared" si="25"/>
        <v>Low</v>
      </c>
      <c r="O213" t="str">
        <f t="shared" si="26"/>
        <v>Low</v>
      </c>
      <c r="P213" t="str">
        <f t="shared" si="27"/>
        <v>Low Demand</v>
      </c>
    </row>
    <row r="214" spans="1:16" ht="13.8">
      <c r="A214" s="13">
        <v>212</v>
      </c>
      <c r="B214" s="13">
        <v>213</v>
      </c>
      <c r="C214" s="13">
        <v>0.1212</v>
      </c>
      <c r="D214" s="13">
        <v>0.5</v>
      </c>
      <c r="E214" s="13">
        <v>0.22389999999999999</v>
      </c>
      <c r="F214" s="13">
        <v>0</v>
      </c>
      <c r="G214" s="13">
        <v>1</v>
      </c>
      <c r="H214" s="13">
        <v>1</v>
      </c>
      <c r="J214" t="str">
        <f t="shared" si="21"/>
        <v>Unique</v>
      </c>
      <c r="K214" t="str">
        <f t="shared" si="22"/>
        <v>Hot</v>
      </c>
      <c r="L214" t="str">
        <f t="shared" si="23"/>
        <v>Low</v>
      </c>
      <c r="M214" t="str">
        <f t="shared" si="24"/>
        <v>High Wind</v>
      </c>
      <c r="N214" t="str">
        <f t="shared" si="25"/>
        <v>Low</v>
      </c>
      <c r="O214" t="str">
        <f t="shared" si="26"/>
        <v>Low</v>
      </c>
      <c r="P214" t="str">
        <f t="shared" si="27"/>
        <v>Low Demand</v>
      </c>
    </row>
    <row r="215" spans="1:16" ht="13.8">
      <c r="A215" s="13">
        <v>213</v>
      </c>
      <c r="B215" s="13">
        <v>214</v>
      </c>
      <c r="C215" s="13">
        <v>0.1212</v>
      </c>
      <c r="D215" s="13">
        <v>0.54</v>
      </c>
      <c r="E215" s="13">
        <v>0.1343</v>
      </c>
      <c r="F215" s="13">
        <v>1</v>
      </c>
      <c r="G215" s="13">
        <v>2</v>
      </c>
      <c r="H215" s="13">
        <v>3</v>
      </c>
      <c r="J215" t="str">
        <f t="shared" si="21"/>
        <v>Unique</v>
      </c>
      <c r="K215" t="str">
        <f t="shared" si="22"/>
        <v>Hot</v>
      </c>
      <c r="L215" t="str">
        <f t="shared" si="23"/>
        <v>Low</v>
      </c>
      <c r="M215" t="str">
        <f t="shared" si="24"/>
        <v>High Wind</v>
      </c>
      <c r="N215" t="str">
        <f t="shared" si="25"/>
        <v>Low</v>
      </c>
      <c r="O215" t="str">
        <f t="shared" si="26"/>
        <v>Low</v>
      </c>
      <c r="P215" t="str">
        <f t="shared" si="27"/>
        <v>Low Demand</v>
      </c>
    </row>
    <row r="216" spans="1:16" ht="13.8">
      <c r="A216" s="13">
        <v>214</v>
      </c>
      <c r="B216" s="13">
        <v>215</v>
      </c>
      <c r="C216" s="13">
        <v>0.1061</v>
      </c>
      <c r="D216" s="13">
        <v>0.54</v>
      </c>
      <c r="E216" s="13">
        <v>0.25369999999999998</v>
      </c>
      <c r="F216" s="13">
        <v>0</v>
      </c>
      <c r="G216" s="13">
        <v>3</v>
      </c>
      <c r="H216" s="13">
        <v>3</v>
      </c>
      <c r="J216" t="str">
        <f t="shared" si="21"/>
        <v>Unique</v>
      </c>
      <c r="K216" t="str">
        <f t="shared" si="22"/>
        <v>Hot</v>
      </c>
      <c r="L216" t="str">
        <f t="shared" si="23"/>
        <v>Low</v>
      </c>
      <c r="M216" t="str">
        <f t="shared" si="24"/>
        <v>High Wind</v>
      </c>
      <c r="N216" t="str">
        <f t="shared" si="25"/>
        <v>Low</v>
      </c>
      <c r="O216" t="str">
        <f t="shared" si="26"/>
        <v>Low</v>
      </c>
      <c r="P216" t="str">
        <f t="shared" si="27"/>
        <v>Low Demand</v>
      </c>
    </row>
    <row r="217" spans="1:16" ht="13.8">
      <c r="A217" s="13">
        <v>215</v>
      </c>
      <c r="B217" s="13">
        <v>216</v>
      </c>
      <c r="C217" s="13">
        <v>0.1212</v>
      </c>
      <c r="D217" s="13">
        <v>0.5</v>
      </c>
      <c r="E217" s="13">
        <v>0.28360000000000002</v>
      </c>
      <c r="F217" s="13">
        <v>0</v>
      </c>
      <c r="G217" s="13">
        <v>31</v>
      </c>
      <c r="H217" s="13">
        <v>31</v>
      </c>
      <c r="J217" t="str">
        <f t="shared" si="21"/>
        <v>Unique</v>
      </c>
      <c r="K217" t="str">
        <f t="shared" si="22"/>
        <v>Hot</v>
      </c>
      <c r="L217" t="str">
        <f t="shared" si="23"/>
        <v>Low</v>
      </c>
      <c r="M217" t="str">
        <f t="shared" si="24"/>
        <v>High Wind</v>
      </c>
      <c r="N217" t="str">
        <f t="shared" si="25"/>
        <v>Low</v>
      </c>
      <c r="O217" t="str">
        <f t="shared" si="26"/>
        <v>Low</v>
      </c>
      <c r="P217" t="str">
        <f t="shared" si="27"/>
        <v>Low Demand</v>
      </c>
    </row>
    <row r="218" spans="1:16" ht="13.8">
      <c r="A218" s="13">
        <v>216</v>
      </c>
      <c r="B218" s="13">
        <v>217</v>
      </c>
      <c r="C218" s="13">
        <v>0.1212</v>
      </c>
      <c r="D218" s="13">
        <v>0.5</v>
      </c>
      <c r="E218" s="13">
        <v>0.22389999999999999</v>
      </c>
      <c r="F218" s="13">
        <v>2</v>
      </c>
      <c r="G218" s="13">
        <v>75</v>
      </c>
      <c r="H218" s="13">
        <v>77</v>
      </c>
      <c r="J218" t="str">
        <f t="shared" si="21"/>
        <v>Unique</v>
      </c>
      <c r="K218" t="str">
        <f t="shared" si="22"/>
        <v>Hot</v>
      </c>
      <c r="L218" t="str">
        <f t="shared" si="23"/>
        <v>Low</v>
      </c>
      <c r="M218" t="str">
        <f t="shared" si="24"/>
        <v>High Wind</v>
      </c>
      <c r="N218" t="str">
        <f t="shared" si="25"/>
        <v>Low</v>
      </c>
      <c r="O218" t="str">
        <f t="shared" si="26"/>
        <v>Low</v>
      </c>
      <c r="P218" t="str">
        <f t="shared" si="27"/>
        <v>Low Demand</v>
      </c>
    </row>
    <row r="219" spans="1:16" ht="13.8">
      <c r="A219" s="13">
        <v>217</v>
      </c>
      <c r="B219" s="13">
        <v>218</v>
      </c>
      <c r="C219" s="13">
        <v>0.1212</v>
      </c>
      <c r="D219" s="13">
        <v>0.5</v>
      </c>
      <c r="E219" s="13">
        <v>0.28360000000000002</v>
      </c>
      <c r="F219" s="13">
        <v>4</v>
      </c>
      <c r="G219" s="13">
        <v>184</v>
      </c>
      <c r="H219" s="13">
        <v>188</v>
      </c>
      <c r="J219" t="str">
        <f t="shared" si="21"/>
        <v>Unique</v>
      </c>
      <c r="K219" t="str">
        <f t="shared" si="22"/>
        <v>Hot</v>
      </c>
      <c r="L219" t="str">
        <f t="shared" si="23"/>
        <v>Low</v>
      </c>
      <c r="M219" t="str">
        <f t="shared" si="24"/>
        <v>High Wind</v>
      </c>
      <c r="N219" t="str">
        <f t="shared" si="25"/>
        <v>Low</v>
      </c>
      <c r="O219" t="str">
        <f t="shared" si="26"/>
        <v>Low</v>
      </c>
      <c r="P219" t="str">
        <f t="shared" si="27"/>
        <v>Medium Demand</v>
      </c>
    </row>
    <row r="220" spans="1:16" ht="13.8">
      <c r="A220" s="13">
        <v>218</v>
      </c>
      <c r="B220" s="13">
        <v>219</v>
      </c>
      <c r="C220" s="13">
        <v>0.1212</v>
      </c>
      <c r="D220" s="13">
        <v>0.5</v>
      </c>
      <c r="E220" s="13">
        <v>0.25369999999999998</v>
      </c>
      <c r="F220" s="13">
        <v>2</v>
      </c>
      <c r="G220" s="13">
        <v>92</v>
      </c>
      <c r="H220" s="13">
        <v>94</v>
      </c>
      <c r="J220" t="str">
        <f t="shared" si="21"/>
        <v>Unique</v>
      </c>
      <c r="K220" t="str">
        <f t="shared" si="22"/>
        <v>Hot</v>
      </c>
      <c r="L220" t="str">
        <f t="shared" si="23"/>
        <v>Low</v>
      </c>
      <c r="M220" t="str">
        <f t="shared" si="24"/>
        <v>High Wind</v>
      </c>
      <c r="N220" t="str">
        <f t="shared" si="25"/>
        <v>Low</v>
      </c>
      <c r="O220" t="str">
        <f t="shared" si="26"/>
        <v>Low</v>
      </c>
      <c r="P220" t="str">
        <f t="shared" si="27"/>
        <v>Low Demand</v>
      </c>
    </row>
    <row r="221" spans="1:16" ht="13.8">
      <c r="A221" s="13">
        <v>219</v>
      </c>
      <c r="B221" s="13">
        <v>220</v>
      </c>
      <c r="C221" s="13">
        <v>0.1212</v>
      </c>
      <c r="D221" s="13">
        <v>0.5</v>
      </c>
      <c r="E221" s="13">
        <v>0.29849999999999999</v>
      </c>
      <c r="F221" s="13">
        <v>0</v>
      </c>
      <c r="G221" s="13">
        <v>31</v>
      </c>
      <c r="H221" s="13">
        <v>31</v>
      </c>
      <c r="J221" t="str">
        <f t="shared" si="21"/>
        <v>Unique</v>
      </c>
      <c r="K221" t="str">
        <f t="shared" si="22"/>
        <v>Hot</v>
      </c>
      <c r="L221" t="str">
        <f t="shared" si="23"/>
        <v>Low</v>
      </c>
      <c r="M221" t="str">
        <f t="shared" si="24"/>
        <v>High Wind</v>
      </c>
      <c r="N221" t="str">
        <f t="shared" si="25"/>
        <v>Low</v>
      </c>
      <c r="O221" t="str">
        <f t="shared" si="26"/>
        <v>Low</v>
      </c>
      <c r="P221" t="str">
        <f t="shared" si="27"/>
        <v>Low Demand</v>
      </c>
    </row>
    <row r="222" spans="1:16" ht="13.8">
      <c r="A222" s="13">
        <v>220</v>
      </c>
      <c r="B222" s="13">
        <v>221</v>
      </c>
      <c r="C222" s="13">
        <v>0.13639999999999999</v>
      </c>
      <c r="D222" s="13">
        <v>0.47</v>
      </c>
      <c r="E222" s="13">
        <v>0.28360000000000002</v>
      </c>
      <c r="F222" s="13">
        <v>2</v>
      </c>
      <c r="G222" s="13">
        <v>28</v>
      </c>
      <c r="H222" s="13">
        <v>30</v>
      </c>
      <c r="J222" t="str">
        <f t="shared" si="21"/>
        <v>Unique</v>
      </c>
      <c r="K222" t="str">
        <f t="shared" si="22"/>
        <v>Hot</v>
      </c>
      <c r="L222" t="str">
        <f t="shared" si="23"/>
        <v>Low</v>
      </c>
      <c r="M222" t="str">
        <f t="shared" si="24"/>
        <v>Medium Wind</v>
      </c>
      <c r="N222" t="str">
        <f t="shared" si="25"/>
        <v>Low</v>
      </c>
      <c r="O222" t="str">
        <f t="shared" si="26"/>
        <v>Low</v>
      </c>
      <c r="P222" t="str">
        <f t="shared" si="27"/>
        <v>Low Demand</v>
      </c>
    </row>
    <row r="223" spans="1:16" ht="13.8">
      <c r="A223" s="13">
        <v>221</v>
      </c>
      <c r="B223" s="13">
        <v>222</v>
      </c>
      <c r="C223" s="13">
        <v>0.18179999999999999</v>
      </c>
      <c r="D223" s="13">
        <v>0.4</v>
      </c>
      <c r="E223" s="13">
        <v>0.28360000000000002</v>
      </c>
      <c r="F223" s="13">
        <v>5</v>
      </c>
      <c r="G223" s="13">
        <v>47</v>
      </c>
      <c r="H223" s="13">
        <v>52</v>
      </c>
      <c r="J223" t="str">
        <f t="shared" si="21"/>
        <v>Unique</v>
      </c>
      <c r="K223" t="str">
        <f t="shared" si="22"/>
        <v>Hot</v>
      </c>
      <c r="L223" t="str">
        <f t="shared" si="23"/>
        <v>Low</v>
      </c>
      <c r="M223" t="str">
        <f t="shared" si="24"/>
        <v>Medium Wind</v>
      </c>
      <c r="N223" t="str">
        <f t="shared" si="25"/>
        <v>Low</v>
      </c>
      <c r="O223" t="str">
        <f t="shared" si="26"/>
        <v>Low</v>
      </c>
      <c r="P223" t="str">
        <f t="shared" si="27"/>
        <v>Low Demand</v>
      </c>
    </row>
    <row r="224" spans="1:16" ht="13.8">
      <c r="A224" s="13">
        <v>222</v>
      </c>
      <c r="B224" s="13">
        <v>223</v>
      </c>
      <c r="C224" s="13">
        <v>0.18179999999999999</v>
      </c>
      <c r="D224" s="13">
        <v>0.4</v>
      </c>
      <c r="E224" s="13">
        <v>0.28360000000000002</v>
      </c>
      <c r="F224" s="13">
        <v>4</v>
      </c>
      <c r="G224" s="13">
        <v>50</v>
      </c>
      <c r="H224" s="13">
        <v>54</v>
      </c>
      <c r="J224" t="str">
        <f t="shared" si="21"/>
        <v>Unique</v>
      </c>
      <c r="K224" t="str">
        <f t="shared" si="22"/>
        <v>Hot</v>
      </c>
      <c r="L224" t="str">
        <f t="shared" si="23"/>
        <v>Low</v>
      </c>
      <c r="M224" t="str">
        <f t="shared" si="24"/>
        <v>Medium Wind</v>
      </c>
      <c r="N224" t="str">
        <f t="shared" si="25"/>
        <v>Low</v>
      </c>
      <c r="O224" t="str">
        <f t="shared" si="26"/>
        <v>Low</v>
      </c>
      <c r="P224" t="str">
        <f t="shared" si="27"/>
        <v>Low Demand</v>
      </c>
    </row>
    <row r="225" spans="1:16" ht="13.8">
      <c r="A225" s="13">
        <v>223</v>
      </c>
      <c r="B225" s="13">
        <v>224</v>
      </c>
      <c r="C225" s="13">
        <v>0.19700000000000001</v>
      </c>
      <c r="D225" s="13">
        <v>0.4</v>
      </c>
      <c r="E225" s="13">
        <v>0.22389999999999999</v>
      </c>
      <c r="F225" s="13">
        <v>0</v>
      </c>
      <c r="G225" s="13">
        <v>47</v>
      </c>
      <c r="H225" s="13">
        <v>47</v>
      </c>
      <c r="J225" t="str">
        <f t="shared" si="21"/>
        <v>Unique</v>
      </c>
      <c r="K225" t="str">
        <f t="shared" si="22"/>
        <v>Hot</v>
      </c>
      <c r="L225" t="str">
        <f t="shared" si="23"/>
        <v>Low</v>
      </c>
      <c r="M225" t="str">
        <f t="shared" si="24"/>
        <v>Medium Wind</v>
      </c>
      <c r="N225" t="str">
        <f t="shared" si="25"/>
        <v>Low</v>
      </c>
      <c r="O225" t="str">
        <f t="shared" si="26"/>
        <v>Low</v>
      </c>
      <c r="P225" t="str">
        <f t="shared" si="27"/>
        <v>Low Demand</v>
      </c>
    </row>
    <row r="226" spans="1:16" ht="13.8">
      <c r="A226" s="13">
        <v>224</v>
      </c>
      <c r="B226" s="13">
        <v>225</v>
      </c>
      <c r="C226" s="13">
        <v>0.19700000000000001</v>
      </c>
      <c r="D226" s="13">
        <v>0.4</v>
      </c>
      <c r="E226" s="13">
        <v>0.22389999999999999</v>
      </c>
      <c r="F226" s="13">
        <v>2</v>
      </c>
      <c r="G226" s="13">
        <v>43</v>
      </c>
      <c r="H226" s="13">
        <v>45</v>
      </c>
      <c r="J226" t="str">
        <f t="shared" si="21"/>
        <v>Unique</v>
      </c>
      <c r="K226" t="str">
        <f t="shared" si="22"/>
        <v>Hot</v>
      </c>
      <c r="L226" t="str">
        <f t="shared" si="23"/>
        <v>Low</v>
      </c>
      <c r="M226" t="str">
        <f t="shared" si="24"/>
        <v>Medium Wind</v>
      </c>
      <c r="N226" t="str">
        <f t="shared" si="25"/>
        <v>Low</v>
      </c>
      <c r="O226" t="str">
        <f t="shared" si="26"/>
        <v>Low</v>
      </c>
      <c r="P226" t="str">
        <f t="shared" si="27"/>
        <v>Low Demand</v>
      </c>
    </row>
    <row r="227" spans="1:16" ht="13.8">
      <c r="A227" s="13">
        <v>225</v>
      </c>
      <c r="B227" s="13">
        <v>226</v>
      </c>
      <c r="C227" s="13">
        <v>0.21210000000000001</v>
      </c>
      <c r="D227" s="13">
        <v>0.4</v>
      </c>
      <c r="E227" s="13">
        <v>0.1343</v>
      </c>
      <c r="F227" s="13">
        <v>4</v>
      </c>
      <c r="G227" s="13">
        <v>70</v>
      </c>
      <c r="H227" s="13">
        <v>74</v>
      </c>
      <c r="J227" t="str">
        <f t="shared" si="21"/>
        <v>Unique</v>
      </c>
      <c r="K227" t="str">
        <f t="shared" si="22"/>
        <v>Hot</v>
      </c>
      <c r="L227" t="str">
        <f t="shared" si="23"/>
        <v>Low</v>
      </c>
      <c r="M227" t="str">
        <f t="shared" si="24"/>
        <v>Medium Wind</v>
      </c>
      <c r="N227" t="str">
        <f t="shared" si="25"/>
        <v>Low</v>
      </c>
      <c r="O227" t="str">
        <f t="shared" si="26"/>
        <v>Low</v>
      </c>
      <c r="P227" t="str">
        <f t="shared" si="27"/>
        <v>Low Demand</v>
      </c>
    </row>
    <row r="228" spans="1:16" ht="13.8">
      <c r="A228" s="13">
        <v>226</v>
      </c>
      <c r="B228" s="13">
        <v>227</v>
      </c>
      <c r="C228" s="13">
        <v>0.2273</v>
      </c>
      <c r="D228" s="13">
        <v>0.4</v>
      </c>
      <c r="E228" s="13">
        <v>0.1045</v>
      </c>
      <c r="F228" s="13">
        <v>4</v>
      </c>
      <c r="G228" s="13">
        <v>174</v>
      </c>
      <c r="H228" s="13">
        <v>178</v>
      </c>
      <c r="J228" t="str">
        <f t="shared" si="21"/>
        <v>Unique</v>
      </c>
      <c r="K228" t="str">
        <f t="shared" si="22"/>
        <v>Hot</v>
      </c>
      <c r="L228" t="str">
        <f t="shared" si="23"/>
        <v>Low</v>
      </c>
      <c r="M228" t="str">
        <f t="shared" si="24"/>
        <v>Medium Wind</v>
      </c>
      <c r="N228" t="str">
        <f t="shared" si="25"/>
        <v>Low</v>
      </c>
      <c r="O228" t="str">
        <f t="shared" si="26"/>
        <v>Low</v>
      </c>
      <c r="P228" t="str">
        <f t="shared" si="27"/>
        <v>Medium Demand</v>
      </c>
    </row>
    <row r="229" spans="1:16" ht="13.8">
      <c r="A229" s="13">
        <v>227</v>
      </c>
      <c r="B229" s="13">
        <v>228</v>
      </c>
      <c r="C229" s="13">
        <v>0.19700000000000001</v>
      </c>
      <c r="D229" s="13">
        <v>0.4</v>
      </c>
      <c r="E229" s="13">
        <v>0.22389999999999999</v>
      </c>
      <c r="F229" s="13">
        <v>1</v>
      </c>
      <c r="G229" s="13">
        <v>154</v>
      </c>
      <c r="H229" s="13">
        <v>155</v>
      </c>
      <c r="J229" t="str">
        <f t="shared" si="21"/>
        <v>Unique</v>
      </c>
      <c r="K229" t="str">
        <f t="shared" si="22"/>
        <v>Hot</v>
      </c>
      <c r="L229" t="str">
        <f t="shared" si="23"/>
        <v>Low</v>
      </c>
      <c r="M229" t="str">
        <f t="shared" si="24"/>
        <v>Medium Wind</v>
      </c>
      <c r="N229" t="str">
        <f t="shared" si="25"/>
        <v>Low</v>
      </c>
      <c r="O229" t="str">
        <f t="shared" si="26"/>
        <v>Low</v>
      </c>
      <c r="P229" t="str">
        <f t="shared" si="27"/>
        <v>Medium Demand</v>
      </c>
    </row>
    <row r="230" spans="1:16" ht="13.8">
      <c r="A230" s="13">
        <v>228</v>
      </c>
      <c r="B230" s="13">
        <v>229</v>
      </c>
      <c r="C230" s="13">
        <v>0.16669999999999999</v>
      </c>
      <c r="D230" s="13">
        <v>0.47</v>
      </c>
      <c r="E230" s="13">
        <v>0.16420000000000001</v>
      </c>
      <c r="F230" s="13">
        <v>3</v>
      </c>
      <c r="G230" s="13">
        <v>92</v>
      </c>
      <c r="H230" s="13">
        <v>95</v>
      </c>
      <c r="J230" t="str">
        <f t="shared" si="21"/>
        <v>Unique</v>
      </c>
      <c r="K230" t="str">
        <f t="shared" si="22"/>
        <v>Hot</v>
      </c>
      <c r="L230" t="str">
        <f t="shared" si="23"/>
        <v>Low</v>
      </c>
      <c r="M230" t="str">
        <f t="shared" si="24"/>
        <v>Medium Wind</v>
      </c>
      <c r="N230" t="str">
        <f t="shared" si="25"/>
        <v>Low</v>
      </c>
      <c r="O230" t="str">
        <f t="shared" si="26"/>
        <v>Low</v>
      </c>
      <c r="P230" t="str">
        <f t="shared" si="27"/>
        <v>Low Demand</v>
      </c>
    </row>
    <row r="231" spans="1:16" ht="13.8">
      <c r="A231" s="13">
        <v>229</v>
      </c>
      <c r="B231" s="13">
        <v>230</v>
      </c>
      <c r="C231" s="13">
        <v>0.16669999999999999</v>
      </c>
      <c r="D231" s="13">
        <v>0.5</v>
      </c>
      <c r="E231" s="13">
        <v>0.16420000000000001</v>
      </c>
      <c r="F231" s="13">
        <v>1</v>
      </c>
      <c r="G231" s="13">
        <v>73</v>
      </c>
      <c r="H231" s="13">
        <v>74</v>
      </c>
      <c r="J231" t="str">
        <f t="shared" si="21"/>
        <v>Unique</v>
      </c>
      <c r="K231" t="str">
        <f t="shared" si="22"/>
        <v>Hot</v>
      </c>
      <c r="L231" t="str">
        <f t="shared" si="23"/>
        <v>Low</v>
      </c>
      <c r="M231" t="str">
        <f t="shared" si="24"/>
        <v>High Wind</v>
      </c>
      <c r="N231" t="str">
        <f t="shared" si="25"/>
        <v>Low</v>
      </c>
      <c r="O231" t="str">
        <f t="shared" si="26"/>
        <v>Low</v>
      </c>
      <c r="P231" t="str">
        <f t="shared" si="27"/>
        <v>Low Demand</v>
      </c>
    </row>
    <row r="232" spans="1:16" ht="13.8">
      <c r="A232" s="13">
        <v>230</v>
      </c>
      <c r="B232" s="13">
        <v>231</v>
      </c>
      <c r="C232" s="13">
        <v>0.13639999999999999</v>
      </c>
      <c r="D232" s="13">
        <v>0.59</v>
      </c>
      <c r="E232" s="13">
        <v>0.19400000000000001</v>
      </c>
      <c r="F232" s="13">
        <v>1</v>
      </c>
      <c r="G232" s="13">
        <v>37</v>
      </c>
      <c r="H232" s="13">
        <v>38</v>
      </c>
      <c r="J232" t="str">
        <f t="shared" si="21"/>
        <v>Unique</v>
      </c>
      <c r="K232" t="str">
        <f t="shared" si="22"/>
        <v>Hot</v>
      </c>
      <c r="L232" t="str">
        <f t="shared" si="23"/>
        <v>Low</v>
      </c>
      <c r="M232" t="str">
        <f t="shared" si="24"/>
        <v>High Wind</v>
      </c>
      <c r="N232" t="str">
        <f t="shared" si="25"/>
        <v>Low</v>
      </c>
      <c r="O232" t="str">
        <f t="shared" si="26"/>
        <v>Low</v>
      </c>
      <c r="P232" t="str">
        <f t="shared" si="27"/>
        <v>Low Demand</v>
      </c>
    </row>
    <row r="233" spans="1:16" ht="13.8">
      <c r="A233" s="13">
        <v>231</v>
      </c>
      <c r="B233" s="13">
        <v>232</v>
      </c>
      <c r="C233" s="13">
        <v>0.1515</v>
      </c>
      <c r="D233" s="13">
        <v>0.59</v>
      </c>
      <c r="E233" s="13">
        <v>0.16420000000000001</v>
      </c>
      <c r="F233" s="13">
        <v>2</v>
      </c>
      <c r="G233" s="13">
        <v>22</v>
      </c>
      <c r="H233" s="13">
        <v>24</v>
      </c>
      <c r="J233" t="str">
        <f t="shared" si="21"/>
        <v>Unique</v>
      </c>
      <c r="K233" t="str">
        <f t="shared" si="22"/>
        <v>Hot</v>
      </c>
      <c r="L233" t="str">
        <f t="shared" si="23"/>
        <v>Low</v>
      </c>
      <c r="M233" t="str">
        <f t="shared" si="24"/>
        <v>High Wind</v>
      </c>
      <c r="N233" t="str">
        <f t="shared" si="25"/>
        <v>Low</v>
      </c>
      <c r="O233" t="str">
        <f t="shared" si="26"/>
        <v>Low</v>
      </c>
      <c r="P233" t="str">
        <f t="shared" si="27"/>
        <v>Low Demand</v>
      </c>
    </row>
    <row r="234" spans="1:16" ht="13.8">
      <c r="A234" s="13">
        <v>232</v>
      </c>
      <c r="B234" s="13">
        <v>233</v>
      </c>
      <c r="C234" s="13">
        <v>0.1515</v>
      </c>
      <c r="D234" s="13">
        <v>0.59</v>
      </c>
      <c r="E234" s="13">
        <v>0.16420000000000001</v>
      </c>
      <c r="F234" s="13">
        <v>0</v>
      </c>
      <c r="G234" s="13">
        <v>18</v>
      </c>
      <c r="H234" s="13">
        <v>18</v>
      </c>
      <c r="J234" t="str">
        <f t="shared" si="21"/>
        <v>Unique</v>
      </c>
      <c r="K234" t="str">
        <f t="shared" si="22"/>
        <v>Hot</v>
      </c>
      <c r="L234" t="str">
        <f t="shared" si="23"/>
        <v>Low</v>
      </c>
      <c r="M234" t="str">
        <f t="shared" si="24"/>
        <v>High Wind</v>
      </c>
      <c r="N234" t="str">
        <f t="shared" si="25"/>
        <v>Low</v>
      </c>
      <c r="O234" t="str">
        <f t="shared" si="26"/>
        <v>Low</v>
      </c>
      <c r="P234" t="str">
        <f t="shared" si="27"/>
        <v>Low Demand</v>
      </c>
    </row>
    <row r="235" spans="1:16" ht="13.8">
      <c r="A235" s="13">
        <v>233</v>
      </c>
      <c r="B235" s="13">
        <v>234</v>
      </c>
      <c r="C235" s="13">
        <v>0.16669999999999999</v>
      </c>
      <c r="D235" s="13">
        <v>0.59</v>
      </c>
      <c r="E235" s="13">
        <v>0.1045</v>
      </c>
      <c r="F235" s="13">
        <v>2</v>
      </c>
      <c r="G235" s="13">
        <v>10</v>
      </c>
      <c r="H235" s="13">
        <v>12</v>
      </c>
      <c r="J235" t="str">
        <f t="shared" si="21"/>
        <v>Unique</v>
      </c>
      <c r="K235" t="str">
        <f t="shared" si="22"/>
        <v>Hot</v>
      </c>
      <c r="L235" t="str">
        <f t="shared" si="23"/>
        <v>Low</v>
      </c>
      <c r="M235" t="str">
        <f t="shared" si="24"/>
        <v>High Wind</v>
      </c>
      <c r="N235" t="str">
        <f t="shared" si="25"/>
        <v>Low</v>
      </c>
      <c r="O235" t="str">
        <f t="shared" si="26"/>
        <v>Low</v>
      </c>
      <c r="P235" t="str">
        <f t="shared" si="27"/>
        <v>Low Demand</v>
      </c>
    </row>
    <row r="236" spans="1:16" ht="13.8">
      <c r="A236" s="13">
        <v>234</v>
      </c>
      <c r="B236" s="13">
        <v>235</v>
      </c>
      <c r="C236" s="13">
        <v>0.1515</v>
      </c>
      <c r="D236" s="13">
        <v>0.59</v>
      </c>
      <c r="E236" s="13">
        <v>0.16420000000000001</v>
      </c>
      <c r="F236" s="13">
        <v>0</v>
      </c>
      <c r="G236" s="13">
        <v>3</v>
      </c>
      <c r="H236" s="13">
        <v>3</v>
      </c>
      <c r="J236" t="str">
        <f t="shared" si="21"/>
        <v>Unique</v>
      </c>
      <c r="K236" t="str">
        <f t="shared" si="22"/>
        <v>Hot</v>
      </c>
      <c r="L236" t="str">
        <f t="shared" si="23"/>
        <v>Low</v>
      </c>
      <c r="M236" t="str">
        <f t="shared" si="24"/>
        <v>High Wind</v>
      </c>
      <c r="N236" t="str">
        <f t="shared" si="25"/>
        <v>Low</v>
      </c>
      <c r="O236" t="str">
        <f t="shared" si="26"/>
        <v>Low</v>
      </c>
      <c r="P236" t="str">
        <f t="shared" si="27"/>
        <v>Low Demand</v>
      </c>
    </row>
    <row r="237" spans="1:16" ht="13.8">
      <c r="A237" s="13">
        <v>235</v>
      </c>
      <c r="B237" s="13">
        <v>236</v>
      </c>
      <c r="C237" s="13">
        <v>0.1515</v>
      </c>
      <c r="D237" s="13">
        <v>0.55000000000000004</v>
      </c>
      <c r="E237" s="13">
        <v>0.19400000000000001</v>
      </c>
      <c r="F237" s="13">
        <v>0</v>
      </c>
      <c r="G237" s="13">
        <v>3</v>
      </c>
      <c r="H237" s="13">
        <v>3</v>
      </c>
      <c r="J237" t="str">
        <f t="shared" si="21"/>
        <v>Unique</v>
      </c>
      <c r="K237" t="str">
        <f t="shared" si="22"/>
        <v>Hot</v>
      </c>
      <c r="L237" t="str">
        <f t="shared" si="23"/>
        <v>Low</v>
      </c>
      <c r="M237" t="str">
        <f t="shared" si="24"/>
        <v>High Wind</v>
      </c>
      <c r="N237" t="str">
        <f t="shared" si="25"/>
        <v>Low</v>
      </c>
      <c r="O237" t="str">
        <f t="shared" si="26"/>
        <v>Low</v>
      </c>
      <c r="P237" t="str">
        <f t="shared" si="27"/>
        <v>Low Demand</v>
      </c>
    </row>
    <row r="238" spans="1:16" ht="13.8">
      <c r="A238" s="13">
        <v>236</v>
      </c>
      <c r="B238" s="13">
        <v>237</v>
      </c>
      <c r="C238" s="13">
        <v>0.18179999999999999</v>
      </c>
      <c r="D238" s="13">
        <v>0.55000000000000004</v>
      </c>
      <c r="E238" s="13">
        <v>0.1343</v>
      </c>
      <c r="F238" s="13">
        <v>0</v>
      </c>
      <c r="G238" s="13">
        <v>6</v>
      </c>
      <c r="H238" s="13">
        <v>6</v>
      </c>
      <c r="J238" t="str">
        <f t="shared" si="21"/>
        <v>Unique</v>
      </c>
      <c r="K238" t="str">
        <f t="shared" si="22"/>
        <v>Hot</v>
      </c>
      <c r="L238" t="str">
        <f t="shared" si="23"/>
        <v>Low</v>
      </c>
      <c r="M238" t="str">
        <f t="shared" si="24"/>
        <v>High Wind</v>
      </c>
      <c r="N238" t="str">
        <f t="shared" si="25"/>
        <v>Low</v>
      </c>
      <c r="O238" t="str">
        <f t="shared" si="26"/>
        <v>Low</v>
      </c>
      <c r="P238" t="str">
        <f t="shared" si="27"/>
        <v>Low Demand</v>
      </c>
    </row>
    <row r="239" spans="1:16" ht="13.8">
      <c r="A239" s="13">
        <v>237</v>
      </c>
      <c r="B239" s="13">
        <v>238</v>
      </c>
      <c r="C239" s="13">
        <v>0.18179999999999999</v>
      </c>
      <c r="D239" s="13">
        <v>0.55000000000000004</v>
      </c>
      <c r="E239" s="13">
        <v>0.1343</v>
      </c>
      <c r="F239" s="13">
        <v>0</v>
      </c>
      <c r="G239" s="13">
        <v>27</v>
      </c>
      <c r="H239" s="13">
        <v>27</v>
      </c>
      <c r="J239" t="str">
        <f t="shared" si="21"/>
        <v>Unique</v>
      </c>
      <c r="K239" t="str">
        <f t="shared" si="22"/>
        <v>Hot</v>
      </c>
      <c r="L239" t="str">
        <f t="shared" si="23"/>
        <v>Low</v>
      </c>
      <c r="M239" t="str">
        <f t="shared" si="24"/>
        <v>High Wind</v>
      </c>
      <c r="N239" t="str">
        <f t="shared" si="25"/>
        <v>Low</v>
      </c>
      <c r="O239" t="str">
        <f t="shared" si="26"/>
        <v>Low</v>
      </c>
      <c r="P239" t="str">
        <f t="shared" si="27"/>
        <v>Low Demand</v>
      </c>
    </row>
    <row r="240" spans="1:16" ht="13.8">
      <c r="A240" s="13">
        <v>238</v>
      </c>
      <c r="B240" s="13">
        <v>239</v>
      </c>
      <c r="C240" s="13">
        <v>0.2273</v>
      </c>
      <c r="D240" s="13">
        <v>0.55000000000000004</v>
      </c>
      <c r="E240" s="13">
        <v>0</v>
      </c>
      <c r="F240" s="13">
        <v>2</v>
      </c>
      <c r="G240" s="13">
        <v>97</v>
      </c>
      <c r="H240" s="13">
        <v>99</v>
      </c>
      <c r="J240" t="str">
        <f t="shared" si="21"/>
        <v>Unique</v>
      </c>
      <c r="K240" t="str">
        <f t="shared" si="22"/>
        <v>Hot</v>
      </c>
      <c r="L240" t="str">
        <f t="shared" si="23"/>
        <v>Low</v>
      </c>
      <c r="M240" t="str">
        <f t="shared" si="24"/>
        <v>High Wind</v>
      </c>
      <c r="N240" t="str">
        <f t="shared" si="25"/>
        <v>Low</v>
      </c>
      <c r="O240" t="str">
        <f t="shared" si="26"/>
        <v>Low</v>
      </c>
      <c r="P240" t="str">
        <f t="shared" si="27"/>
        <v>Low Demand</v>
      </c>
    </row>
    <row r="241" spans="1:16" ht="13.8">
      <c r="A241" s="13">
        <v>239</v>
      </c>
      <c r="B241" s="13">
        <v>240</v>
      </c>
      <c r="C241" s="13">
        <v>0.21210000000000001</v>
      </c>
      <c r="D241" s="13">
        <v>0.51</v>
      </c>
      <c r="E241" s="13">
        <v>8.9599999999999999E-2</v>
      </c>
      <c r="F241" s="13">
        <v>3</v>
      </c>
      <c r="G241" s="13">
        <v>214</v>
      </c>
      <c r="H241" s="13">
        <v>217</v>
      </c>
      <c r="J241" t="str">
        <f t="shared" si="21"/>
        <v>Unique</v>
      </c>
      <c r="K241" t="str">
        <f t="shared" si="22"/>
        <v>Hot</v>
      </c>
      <c r="L241" t="str">
        <f t="shared" si="23"/>
        <v>Low</v>
      </c>
      <c r="M241" t="str">
        <f t="shared" si="24"/>
        <v>High Wind</v>
      </c>
      <c r="N241" t="str">
        <f t="shared" si="25"/>
        <v>Low</v>
      </c>
      <c r="O241" t="str">
        <f t="shared" si="26"/>
        <v>Low</v>
      </c>
      <c r="P241" t="str">
        <f t="shared" si="27"/>
        <v>Medium Demand</v>
      </c>
    </row>
    <row r="242" spans="1:16" ht="13.8">
      <c r="A242" s="13">
        <v>240</v>
      </c>
      <c r="B242" s="13">
        <v>241</v>
      </c>
      <c r="C242" s="13">
        <v>0.19700000000000001</v>
      </c>
      <c r="D242" s="13">
        <v>0.51</v>
      </c>
      <c r="E242" s="13">
        <v>0.16420000000000001</v>
      </c>
      <c r="F242" s="13">
        <v>3</v>
      </c>
      <c r="G242" s="13">
        <v>127</v>
      </c>
      <c r="H242" s="13">
        <v>130</v>
      </c>
      <c r="J242" t="str">
        <f t="shared" si="21"/>
        <v>Unique</v>
      </c>
      <c r="K242" t="str">
        <f t="shared" si="22"/>
        <v>Hot</v>
      </c>
      <c r="L242" t="str">
        <f t="shared" si="23"/>
        <v>Low</v>
      </c>
      <c r="M242" t="str">
        <f t="shared" si="24"/>
        <v>High Wind</v>
      </c>
      <c r="N242" t="str">
        <f t="shared" si="25"/>
        <v>Low</v>
      </c>
      <c r="O242" t="str">
        <f t="shared" si="26"/>
        <v>Low</v>
      </c>
      <c r="P242" t="str">
        <f t="shared" si="27"/>
        <v>Medium Demand</v>
      </c>
    </row>
    <row r="243" spans="1:16" ht="13.8">
      <c r="A243" s="13">
        <v>241</v>
      </c>
      <c r="B243" s="13">
        <v>242</v>
      </c>
      <c r="C243" s="13">
        <v>0.21210000000000001</v>
      </c>
      <c r="D243" s="13">
        <v>0.51</v>
      </c>
      <c r="E243" s="13">
        <v>0.16420000000000001</v>
      </c>
      <c r="F243" s="13">
        <v>3</v>
      </c>
      <c r="G243" s="13">
        <v>51</v>
      </c>
      <c r="H243" s="13">
        <v>54</v>
      </c>
      <c r="J243" t="str">
        <f t="shared" si="21"/>
        <v>Unique</v>
      </c>
      <c r="K243" t="str">
        <f t="shared" si="22"/>
        <v>Hot</v>
      </c>
      <c r="L243" t="str">
        <f t="shared" si="23"/>
        <v>Low</v>
      </c>
      <c r="M243" t="str">
        <f t="shared" si="24"/>
        <v>High Wind</v>
      </c>
      <c r="N243" t="str">
        <f t="shared" si="25"/>
        <v>Low</v>
      </c>
      <c r="O243" t="str">
        <f t="shared" si="26"/>
        <v>Low</v>
      </c>
      <c r="P243" t="str">
        <f t="shared" si="27"/>
        <v>Low Demand</v>
      </c>
    </row>
    <row r="244" spans="1:16" ht="13.8">
      <c r="A244" s="13">
        <v>242</v>
      </c>
      <c r="B244" s="13">
        <v>243</v>
      </c>
      <c r="C244" s="13">
        <v>0.21210000000000001</v>
      </c>
      <c r="D244" s="13">
        <v>0.47</v>
      </c>
      <c r="E244" s="13">
        <v>0.1343</v>
      </c>
      <c r="F244" s="13">
        <v>4</v>
      </c>
      <c r="G244" s="13">
        <v>31</v>
      </c>
      <c r="H244" s="13">
        <v>35</v>
      </c>
      <c r="J244" t="str">
        <f t="shared" si="21"/>
        <v>Unique</v>
      </c>
      <c r="K244" t="str">
        <f t="shared" si="22"/>
        <v>Hot</v>
      </c>
      <c r="L244" t="str">
        <f t="shared" si="23"/>
        <v>Low</v>
      </c>
      <c r="M244" t="str">
        <f t="shared" si="24"/>
        <v>Medium Wind</v>
      </c>
      <c r="N244" t="str">
        <f t="shared" si="25"/>
        <v>Low</v>
      </c>
      <c r="O244" t="str">
        <f t="shared" si="26"/>
        <v>Low</v>
      </c>
      <c r="P244" t="str">
        <f t="shared" si="27"/>
        <v>Low Demand</v>
      </c>
    </row>
    <row r="245" spans="1:16" ht="13.8">
      <c r="A245" s="13">
        <v>243</v>
      </c>
      <c r="B245" s="13">
        <v>244</v>
      </c>
      <c r="C245" s="13">
        <v>0.2273</v>
      </c>
      <c r="D245" s="13">
        <v>0.51</v>
      </c>
      <c r="E245" s="13">
        <v>0.1045</v>
      </c>
      <c r="F245" s="13">
        <v>2</v>
      </c>
      <c r="G245" s="13">
        <v>55</v>
      </c>
      <c r="H245" s="13">
        <v>57</v>
      </c>
      <c r="J245" t="str">
        <f t="shared" si="21"/>
        <v>Unique</v>
      </c>
      <c r="K245" t="str">
        <f t="shared" si="22"/>
        <v>Hot</v>
      </c>
      <c r="L245" t="str">
        <f t="shared" si="23"/>
        <v>Low</v>
      </c>
      <c r="M245" t="str">
        <f t="shared" si="24"/>
        <v>High Wind</v>
      </c>
      <c r="N245" t="str">
        <f t="shared" si="25"/>
        <v>Low</v>
      </c>
      <c r="O245" t="str">
        <f t="shared" si="26"/>
        <v>Low</v>
      </c>
      <c r="P245" t="str">
        <f t="shared" si="27"/>
        <v>Low Demand</v>
      </c>
    </row>
    <row r="246" spans="1:16" ht="13.8">
      <c r="A246" s="13">
        <v>244</v>
      </c>
      <c r="B246" s="13">
        <v>245</v>
      </c>
      <c r="C246" s="13">
        <v>0.2273</v>
      </c>
      <c r="D246" s="13">
        <v>0.59</v>
      </c>
      <c r="E246" s="13">
        <v>8.9599999999999999E-2</v>
      </c>
      <c r="F246" s="13">
        <v>6</v>
      </c>
      <c r="G246" s="13">
        <v>46</v>
      </c>
      <c r="H246" s="13">
        <v>52</v>
      </c>
      <c r="J246" t="str">
        <f t="shared" si="21"/>
        <v>Unique</v>
      </c>
      <c r="K246" t="str">
        <f t="shared" si="22"/>
        <v>Hot</v>
      </c>
      <c r="L246" t="str">
        <f t="shared" si="23"/>
        <v>Low</v>
      </c>
      <c r="M246" t="str">
        <f t="shared" si="24"/>
        <v>High Wind</v>
      </c>
      <c r="N246" t="str">
        <f t="shared" si="25"/>
        <v>Low</v>
      </c>
      <c r="O246" t="str">
        <f t="shared" si="26"/>
        <v>Low</v>
      </c>
      <c r="P246" t="str">
        <f t="shared" si="27"/>
        <v>Low Demand</v>
      </c>
    </row>
    <row r="247" spans="1:16" ht="13.8">
      <c r="A247" s="13">
        <v>245</v>
      </c>
      <c r="B247" s="13">
        <v>246</v>
      </c>
      <c r="C247" s="13">
        <v>0.2273</v>
      </c>
      <c r="D247" s="13">
        <v>0.59</v>
      </c>
      <c r="E247" s="13">
        <v>8.9599999999999999E-2</v>
      </c>
      <c r="F247" s="13">
        <v>3</v>
      </c>
      <c r="G247" s="13">
        <v>60</v>
      </c>
      <c r="H247" s="13">
        <v>63</v>
      </c>
      <c r="J247" t="str">
        <f t="shared" si="21"/>
        <v>Unique</v>
      </c>
      <c r="K247" t="str">
        <f t="shared" si="22"/>
        <v>Hot</v>
      </c>
      <c r="L247" t="str">
        <f t="shared" si="23"/>
        <v>Low</v>
      </c>
      <c r="M247" t="str">
        <f t="shared" si="24"/>
        <v>High Wind</v>
      </c>
      <c r="N247" t="str">
        <f t="shared" si="25"/>
        <v>Low</v>
      </c>
      <c r="O247" t="str">
        <f t="shared" si="26"/>
        <v>Low</v>
      </c>
      <c r="P247" t="str">
        <f t="shared" si="27"/>
        <v>Low Demand</v>
      </c>
    </row>
    <row r="248" spans="1:16" ht="13.8">
      <c r="A248" s="13">
        <v>246</v>
      </c>
      <c r="B248" s="13">
        <v>247</v>
      </c>
      <c r="C248" s="13">
        <v>0.19700000000000001</v>
      </c>
      <c r="D248" s="13">
        <v>0.8</v>
      </c>
      <c r="E248" s="13">
        <v>8.9599999999999999E-2</v>
      </c>
      <c r="F248" s="13">
        <v>2</v>
      </c>
      <c r="G248" s="13">
        <v>45</v>
      </c>
      <c r="H248" s="13">
        <v>47</v>
      </c>
      <c r="J248" t="str">
        <f t="shared" si="21"/>
        <v>Unique</v>
      </c>
      <c r="K248" t="str">
        <f t="shared" si="22"/>
        <v>Hot</v>
      </c>
      <c r="L248" t="str">
        <f t="shared" si="23"/>
        <v>Low</v>
      </c>
      <c r="M248" t="str">
        <f t="shared" si="24"/>
        <v>High Wind</v>
      </c>
      <c r="N248" t="str">
        <f t="shared" si="25"/>
        <v>Low</v>
      </c>
      <c r="O248" t="str">
        <f t="shared" si="26"/>
        <v>Low</v>
      </c>
      <c r="P248" t="str">
        <f t="shared" si="27"/>
        <v>Low Demand</v>
      </c>
    </row>
    <row r="249" spans="1:16" ht="13.8">
      <c r="A249" s="13">
        <v>247</v>
      </c>
      <c r="B249" s="13">
        <v>248</v>
      </c>
      <c r="C249" s="13">
        <v>0.1515</v>
      </c>
      <c r="D249" s="13">
        <v>0.86</v>
      </c>
      <c r="E249" s="13">
        <v>0.22389999999999999</v>
      </c>
      <c r="F249" s="13">
        <v>4</v>
      </c>
      <c r="G249" s="13">
        <v>72</v>
      </c>
      <c r="H249" s="13">
        <v>76</v>
      </c>
      <c r="J249" t="str">
        <f t="shared" si="21"/>
        <v>Unique</v>
      </c>
      <c r="K249" t="str">
        <f t="shared" si="22"/>
        <v>Hot</v>
      </c>
      <c r="L249" t="str">
        <f t="shared" si="23"/>
        <v>Low</v>
      </c>
      <c r="M249" t="str">
        <f t="shared" si="24"/>
        <v>High Wind</v>
      </c>
      <c r="N249" t="str">
        <f t="shared" si="25"/>
        <v>Low</v>
      </c>
      <c r="O249" t="str">
        <f t="shared" si="26"/>
        <v>Low</v>
      </c>
      <c r="P249" t="str">
        <f t="shared" si="27"/>
        <v>Low Demand</v>
      </c>
    </row>
    <row r="250" spans="1:16" ht="13.8">
      <c r="A250" s="13">
        <v>248</v>
      </c>
      <c r="B250" s="13">
        <v>249</v>
      </c>
      <c r="C250" s="13">
        <v>0.1515</v>
      </c>
      <c r="D250" s="13">
        <v>0.86</v>
      </c>
      <c r="E250" s="13">
        <v>0.22389999999999999</v>
      </c>
      <c r="F250" s="13">
        <v>6</v>
      </c>
      <c r="G250" s="13">
        <v>130</v>
      </c>
      <c r="H250" s="13">
        <v>136</v>
      </c>
      <c r="J250" t="str">
        <f t="shared" si="21"/>
        <v>Unique</v>
      </c>
      <c r="K250" t="str">
        <f t="shared" si="22"/>
        <v>Hot</v>
      </c>
      <c r="L250" t="str">
        <f t="shared" si="23"/>
        <v>Low</v>
      </c>
      <c r="M250" t="str">
        <f t="shared" si="24"/>
        <v>High Wind</v>
      </c>
      <c r="N250" t="str">
        <f t="shared" si="25"/>
        <v>Low</v>
      </c>
      <c r="O250" t="str">
        <f t="shared" si="26"/>
        <v>Low</v>
      </c>
      <c r="P250" t="str">
        <f t="shared" si="27"/>
        <v>Medium Demand</v>
      </c>
    </row>
    <row r="251" spans="1:16" ht="13.8">
      <c r="A251" s="13">
        <v>249</v>
      </c>
      <c r="B251" s="13">
        <v>250</v>
      </c>
      <c r="C251" s="13">
        <v>0.18179999999999999</v>
      </c>
      <c r="D251" s="13">
        <v>0.93</v>
      </c>
      <c r="E251" s="13">
        <v>0.1045</v>
      </c>
      <c r="F251" s="13">
        <v>1</v>
      </c>
      <c r="G251" s="13">
        <v>94</v>
      </c>
      <c r="H251" s="13">
        <v>95</v>
      </c>
      <c r="J251" t="str">
        <f t="shared" si="21"/>
        <v>Unique</v>
      </c>
      <c r="K251" t="str">
        <f t="shared" si="22"/>
        <v>Hot</v>
      </c>
      <c r="L251" t="str">
        <f t="shared" si="23"/>
        <v>Low</v>
      </c>
      <c r="M251" t="str">
        <f t="shared" si="24"/>
        <v>High Wind</v>
      </c>
      <c r="N251" t="str">
        <f t="shared" si="25"/>
        <v>Low</v>
      </c>
      <c r="O251" t="str">
        <f t="shared" si="26"/>
        <v>Low</v>
      </c>
      <c r="P251" t="str">
        <f t="shared" si="27"/>
        <v>Low Demand</v>
      </c>
    </row>
    <row r="252" spans="1:16" ht="13.8">
      <c r="A252" s="13">
        <v>250</v>
      </c>
      <c r="B252" s="13">
        <v>251</v>
      </c>
      <c r="C252" s="13">
        <v>0.2273</v>
      </c>
      <c r="D252" s="13">
        <v>0.93</v>
      </c>
      <c r="E252" s="13">
        <v>0</v>
      </c>
      <c r="F252" s="13">
        <v>0</v>
      </c>
      <c r="G252" s="13">
        <v>51</v>
      </c>
      <c r="H252" s="13">
        <v>51</v>
      </c>
      <c r="J252" t="str">
        <f t="shared" si="21"/>
        <v>Unique</v>
      </c>
      <c r="K252" t="str">
        <f t="shared" si="22"/>
        <v>Hot</v>
      </c>
      <c r="L252" t="str">
        <f t="shared" si="23"/>
        <v>Low</v>
      </c>
      <c r="M252" t="str">
        <f t="shared" si="24"/>
        <v>High Wind</v>
      </c>
      <c r="N252" t="str">
        <f t="shared" si="25"/>
        <v>Low</v>
      </c>
      <c r="O252" t="str">
        <f t="shared" si="26"/>
        <v>Low</v>
      </c>
      <c r="P252" t="str">
        <f t="shared" si="27"/>
        <v>Low Demand</v>
      </c>
    </row>
    <row r="253" spans="1:16" ht="13.8">
      <c r="A253" s="13">
        <v>251</v>
      </c>
      <c r="B253" s="13">
        <v>252</v>
      </c>
      <c r="C253" s="13">
        <v>0.1515</v>
      </c>
      <c r="D253" s="13">
        <v>0.93</v>
      </c>
      <c r="E253" s="13">
        <v>0.19400000000000001</v>
      </c>
      <c r="F253" s="13">
        <v>0</v>
      </c>
      <c r="G253" s="13">
        <v>32</v>
      </c>
      <c r="H253" s="13">
        <v>32</v>
      </c>
      <c r="J253" t="str">
        <f t="shared" si="21"/>
        <v>Unique</v>
      </c>
      <c r="K253" t="str">
        <f t="shared" si="22"/>
        <v>Hot</v>
      </c>
      <c r="L253" t="str">
        <f t="shared" si="23"/>
        <v>Low</v>
      </c>
      <c r="M253" t="str">
        <f t="shared" si="24"/>
        <v>High Wind</v>
      </c>
      <c r="N253" t="str">
        <f t="shared" si="25"/>
        <v>Low</v>
      </c>
      <c r="O253" t="str">
        <f t="shared" si="26"/>
        <v>Low</v>
      </c>
      <c r="P253" t="str">
        <f t="shared" si="27"/>
        <v>Low Demand</v>
      </c>
    </row>
    <row r="254" spans="1:16" ht="13.8">
      <c r="A254" s="13">
        <v>252</v>
      </c>
      <c r="B254" s="13">
        <v>253</v>
      </c>
      <c r="C254" s="13">
        <v>0.19700000000000001</v>
      </c>
      <c r="D254" s="13">
        <v>0.86</v>
      </c>
      <c r="E254" s="13">
        <v>8.9599999999999999E-2</v>
      </c>
      <c r="F254" s="13">
        <v>0</v>
      </c>
      <c r="G254" s="13">
        <v>20</v>
      </c>
      <c r="H254" s="13">
        <v>20</v>
      </c>
      <c r="J254" t="str">
        <f t="shared" si="21"/>
        <v>Unique</v>
      </c>
      <c r="K254" t="str">
        <f t="shared" si="22"/>
        <v>Hot</v>
      </c>
      <c r="L254" t="str">
        <f t="shared" si="23"/>
        <v>Low</v>
      </c>
      <c r="M254" t="str">
        <f t="shared" si="24"/>
        <v>High Wind</v>
      </c>
      <c r="N254" t="str">
        <f t="shared" si="25"/>
        <v>Low</v>
      </c>
      <c r="O254" t="str">
        <f t="shared" si="26"/>
        <v>Low</v>
      </c>
      <c r="P254" t="str">
        <f t="shared" si="27"/>
        <v>Low Demand</v>
      </c>
    </row>
    <row r="255" spans="1:16" ht="13.8">
      <c r="A255" s="13">
        <v>253</v>
      </c>
      <c r="B255" s="13">
        <v>254</v>
      </c>
      <c r="C255" s="13">
        <v>0.18179999999999999</v>
      </c>
      <c r="D255" s="13">
        <v>0.93</v>
      </c>
      <c r="E255" s="13">
        <v>0.1045</v>
      </c>
      <c r="F255" s="13">
        <v>1</v>
      </c>
      <c r="G255" s="13">
        <v>28</v>
      </c>
      <c r="H255" s="13">
        <v>29</v>
      </c>
      <c r="J255" t="str">
        <f t="shared" si="21"/>
        <v>Unique</v>
      </c>
      <c r="K255" t="str">
        <f t="shared" si="22"/>
        <v>Hot</v>
      </c>
      <c r="L255" t="str">
        <f t="shared" si="23"/>
        <v>Low</v>
      </c>
      <c r="M255" t="str">
        <f t="shared" si="24"/>
        <v>High Wind</v>
      </c>
      <c r="N255" t="str">
        <f t="shared" si="25"/>
        <v>Low</v>
      </c>
      <c r="O255" t="str">
        <f t="shared" si="26"/>
        <v>Low</v>
      </c>
      <c r="P255" t="str">
        <f t="shared" si="27"/>
        <v>Low Demand</v>
      </c>
    </row>
    <row r="256" spans="1:16" ht="13.8">
      <c r="A256" s="13">
        <v>254</v>
      </c>
      <c r="B256" s="13">
        <v>255</v>
      </c>
      <c r="C256" s="13">
        <v>0.19700000000000001</v>
      </c>
      <c r="D256" s="13">
        <v>0.93</v>
      </c>
      <c r="E256" s="13">
        <v>8.9599999999999999E-2</v>
      </c>
      <c r="F256" s="13">
        <v>1</v>
      </c>
      <c r="G256" s="13">
        <v>18</v>
      </c>
      <c r="H256" s="13">
        <v>19</v>
      </c>
      <c r="J256" t="str">
        <f t="shared" si="21"/>
        <v>Unique</v>
      </c>
      <c r="K256" t="str">
        <f t="shared" si="22"/>
        <v>Hot</v>
      </c>
      <c r="L256" t="str">
        <f t="shared" si="23"/>
        <v>Low</v>
      </c>
      <c r="M256" t="str">
        <f t="shared" si="24"/>
        <v>High Wind</v>
      </c>
      <c r="N256" t="str">
        <f t="shared" si="25"/>
        <v>Low</v>
      </c>
      <c r="O256" t="str">
        <f t="shared" si="26"/>
        <v>Low</v>
      </c>
      <c r="P256" t="str">
        <f t="shared" si="27"/>
        <v>Low Demand</v>
      </c>
    </row>
    <row r="257" spans="1:16" ht="13.8">
      <c r="A257" s="13">
        <v>255</v>
      </c>
      <c r="B257" s="13">
        <v>256</v>
      </c>
      <c r="C257" s="13">
        <v>0.19700000000000001</v>
      </c>
      <c r="D257" s="13">
        <v>0.86</v>
      </c>
      <c r="E257" s="13">
        <v>8.9599999999999999E-2</v>
      </c>
      <c r="F257" s="13">
        <v>0</v>
      </c>
      <c r="G257" s="13">
        <v>7</v>
      </c>
      <c r="H257" s="13">
        <v>7</v>
      </c>
      <c r="J257" t="str">
        <f t="shared" si="21"/>
        <v>Unique</v>
      </c>
      <c r="K257" t="str">
        <f t="shared" si="22"/>
        <v>Hot</v>
      </c>
      <c r="L257" t="str">
        <f t="shared" si="23"/>
        <v>Low</v>
      </c>
      <c r="M257" t="str">
        <f t="shared" si="24"/>
        <v>High Wind</v>
      </c>
      <c r="N257" t="str">
        <f t="shared" si="25"/>
        <v>Low</v>
      </c>
      <c r="O257" t="str">
        <f t="shared" si="26"/>
        <v>Low</v>
      </c>
      <c r="P257" t="str">
        <f t="shared" si="27"/>
        <v>Low Demand</v>
      </c>
    </row>
    <row r="258" spans="1:16" ht="13.8">
      <c r="A258" s="13">
        <v>256</v>
      </c>
      <c r="B258" s="13">
        <v>257</v>
      </c>
      <c r="C258" s="13">
        <v>0.18179999999999999</v>
      </c>
      <c r="D258" s="13">
        <v>0.86</v>
      </c>
      <c r="E258" s="13">
        <v>0.1045</v>
      </c>
      <c r="F258" s="13">
        <v>0</v>
      </c>
      <c r="G258" s="13">
        <v>6</v>
      </c>
      <c r="H258" s="13">
        <v>6</v>
      </c>
      <c r="J258" t="str">
        <f t="shared" si="21"/>
        <v>Unique</v>
      </c>
      <c r="K258" t="str">
        <f t="shared" si="22"/>
        <v>Hot</v>
      </c>
      <c r="L258" t="str">
        <f t="shared" si="23"/>
        <v>Low</v>
      </c>
      <c r="M258" t="str">
        <f t="shared" si="24"/>
        <v>High Wind</v>
      </c>
      <c r="N258" t="str">
        <f t="shared" si="25"/>
        <v>Low</v>
      </c>
      <c r="O258" t="str">
        <f t="shared" si="26"/>
        <v>Low</v>
      </c>
      <c r="P258" t="str">
        <f t="shared" si="27"/>
        <v>Low Demand</v>
      </c>
    </row>
    <row r="259" spans="1:16" ht="13.8">
      <c r="A259" s="13">
        <v>257</v>
      </c>
      <c r="B259" s="13">
        <v>258</v>
      </c>
      <c r="C259" s="13">
        <v>0.1515</v>
      </c>
      <c r="D259" s="13">
        <v>0.86</v>
      </c>
      <c r="E259" s="13">
        <v>0.1343</v>
      </c>
      <c r="F259" s="13">
        <v>0</v>
      </c>
      <c r="G259" s="13">
        <v>1</v>
      </c>
      <c r="H259" s="13">
        <v>1</v>
      </c>
      <c r="J259" t="str">
        <f t="shared" ref="J259:J322" si="28">IF(COUNTIF(A:A,A259)&gt;1,"Duplicate","Unique")</f>
        <v>Unique</v>
      </c>
      <c r="K259" t="str">
        <f t="shared" ref="K259:K322" si="29">IF(B259&lt;0.3,"Cold",IF(B259&lt;0.6,"Normal","Hot"))</f>
        <v>Hot</v>
      </c>
      <c r="L259" t="str">
        <f t="shared" ref="L259:L322" si="30">IF(C259&lt;0.4,"Low",IF(C259&lt;0.7,"Medium","High"))</f>
        <v>Low</v>
      </c>
      <c r="M259" t="str">
        <f t="shared" ref="M259:M322" si="31">IF(D259&lt;0.2,"Low Wind",IF(D259&lt;0.5,"Medium Wind","High Wind"))</f>
        <v>High Wind</v>
      </c>
      <c r="N259" t="str">
        <f t="shared" ref="N259:N322" si="32">IF(E259&lt;50,"Low",IF(E259&lt;150,"Medium","High"))</f>
        <v>Low</v>
      </c>
      <c r="O259" t="str">
        <f t="shared" ref="O259:O322" si="33">IF(F259&lt;100,"Low",IF(F259&lt;300,"Medium","High"))</f>
        <v>Low</v>
      </c>
      <c r="P259" t="str">
        <f t="shared" ref="P259:P322" si="34">IF(G259&lt;100,"Low Demand",IF(G259&lt;300,"Medium Demand","High Demand"))</f>
        <v>Low Demand</v>
      </c>
    </row>
    <row r="260" spans="1:16" ht="13.8">
      <c r="A260" s="13">
        <v>258</v>
      </c>
      <c r="B260" s="13">
        <v>259</v>
      </c>
      <c r="C260" s="13">
        <v>0.1515</v>
      </c>
      <c r="D260" s="13">
        <v>0.86</v>
      </c>
      <c r="E260" s="13">
        <v>0.16420000000000001</v>
      </c>
      <c r="F260" s="13">
        <v>0</v>
      </c>
      <c r="G260" s="13">
        <v>5</v>
      </c>
      <c r="H260" s="13">
        <v>5</v>
      </c>
      <c r="J260" t="str">
        <f t="shared" si="28"/>
        <v>Unique</v>
      </c>
      <c r="K260" t="str">
        <f t="shared" si="29"/>
        <v>Hot</v>
      </c>
      <c r="L260" t="str">
        <f t="shared" si="30"/>
        <v>Low</v>
      </c>
      <c r="M260" t="str">
        <f t="shared" si="31"/>
        <v>High Wind</v>
      </c>
      <c r="N260" t="str">
        <f t="shared" si="32"/>
        <v>Low</v>
      </c>
      <c r="O260" t="str">
        <f t="shared" si="33"/>
        <v>Low</v>
      </c>
      <c r="P260" t="str">
        <f t="shared" si="34"/>
        <v>Low Demand</v>
      </c>
    </row>
    <row r="261" spans="1:16" ht="13.8">
      <c r="A261" s="13">
        <v>259</v>
      </c>
      <c r="B261" s="13">
        <v>260</v>
      </c>
      <c r="C261" s="13">
        <v>0.1515</v>
      </c>
      <c r="D261" s="13">
        <v>0.93</v>
      </c>
      <c r="E261" s="13">
        <v>0.1343</v>
      </c>
      <c r="F261" s="13">
        <v>0</v>
      </c>
      <c r="G261" s="13">
        <v>16</v>
      </c>
      <c r="H261" s="13">
        <v>16</v>
      </c>
      <c r="J261" t="str">
        <f t="shared" si="28"/>
        <v>Unique</v>
      </c>
      <c r="K261" t="str">
        <f t="shared" si="29"/>
        <v>Hot</v>
      </c>
      <c r="L261" t="str">
        <f t="shared" si="30"/>
        <v>Low</v>
      </c>
      <c r="M261" t="str">
        <f t="shared" si="31"/>
        <v>High Wind</v>
      </c>
      <c r="N261" t="str">
        <f t="shared" si="32"/>
        <v>Low</v>
      </c>
      <c r="O261" t="str">
        <f t="shared" si="33"/>
        <v>Low</v>
      </c>
      <c r="P261" t="str">
        <f t="shared" si="34"/>
        <v>Low Demand</v>
      </c>
    </row>
    <row r="262" spans="1:16" ht="13.8">
      <c r="A262" s="13">
        <v>260</v>
      </c>
      <c r="B262" s="13">
        <v>261</v>
      </c>
      <c r="C262" s="13">
        <v>0.1515</v>
      </c>
      <c r="D262" s="13">
        <v>0.69</v>
      </c>
      <c r="E262" s="13">
        <v>0.1343</v>
      </c>
      <c r="F262" s="13">
        <v>0</v>
      </c>
      <c r="G262" s="13">
        <v>54</v>
      </c>
      <c r="H262" s="13">
        <v>54</v>
      </c>
      <c r="J262" t="str">
        <f t="shared" si="28"/>
        <v>Unique</v>
      </c>
      <c r="K262" t="str">
        <f t="shared" si="29"/>
        <v>Hot</v>
      </c>
      <c r="L262" t="str">
        <f t="shared" si="30"/>
        <v>Low</v>
      </c>
      <c r="M262" t="str">
        <f t="shared" si="31"/>
        <v>High Wind</v>
      </c>
      <c r="N262" t="str">
        <f t="shared" si="32"/>
        <v>Low</v>
      </c>
      <c r="O262" t="str">
        <f t="shared" si="33"/>
        <v>Low</v>
      </c>
      <c r="P262" t="str">
        <f t="shared" si="34"/>
        <v>Low Demand</v>
      </c>
    </row>
    <row r="263" spans="1:16" ht="13.8">
      <c r="A263" s="13">
        <v>261</v>
      </c>
      <c r="B263" s="13">
        <v>262</v>
      </c>
      <c r="C263" s="13">
        <v>0.16669999999999999</v>
      </c>
      <c r="D263" s="13">
        <v>0.59</v>
      </c>
      <c r="E263" s="13">
        <v>0.16420000000000001</v>
      </c>
      <c r="F263" s="13">
        <v>3</v>
      </c>
      <c r="G263" s="13">
        <v>125</v>
      </c>
      <c r="H263" s="13">
        <v>128</v>
      </c>
      <c r="J263" t="str">
        <f t="shared" si="28"/>
        <v>Unique</v>
      </c>
      <c r="K263" t="str">
        <f t="shared" si="29"/>
        <v>Hot</v>
      </c>
      <c r="L263" t="str">
        <f t="shared" si="30"/>
        <v>Low</v>
      </c>
      <c r="M263" t="str">
        <f t="shared" si="31"/>
        <v>High Wind</v>
      </c>
      <c r="N263" t="str">
        <f t="shared" si="32"/>
        <v>Low</v>
      </c>
      <c r="O263" t="str">
        <f t="shared" si="33"/>
        <v>Low</v>
      </c>
      <c r="P263" t="str">
        <f t="shared" si="34"/>
        <v>Medium Demand</v>
      </c>
    </row>
    <row r="264" spans="1:16" ht="13.8">
      <c r="A264" s="13">
        <v>262</v>
      </c>
      <c r="B264" s="13">
        <v>263</v>
      </c>
      <c r="C264" s="13">
        <v>0.13639999999999999</v>
      </c>
      <c r="D264" s="13">
        <v>0.59</v>
      </c>
      <c r="E264" s="13">
        <v>0.32840000000000003</v>
      </c>
      <c r="F264" s="13">
        <v>3</v>
      </c>
      <c r="G264" s="13">
        <v>78</v>
      </c>
      <c r="H264" s="13">
        <v>81</v>
      </c>
      <c r="J264" t="str">
        <f t="shared" si="28"/>
        <v>Unique</v>
      </c>
      <c r="K264" t="str">
        <f t="shared" si="29"/>
        <v>Hot</v>
      </c>
      <c r="L264" t="str">
        <f t="shared" si="30"/>
        <v>Low</v>
      </c>
      <c r="M264" t="str">
        <f t="shared" si="31"/>
        <v>High Wind</v>
      </c>
      <c r="N264" t="str">
        <f t="shared" si="32"/>
        <v>Low</v>
      </c>
      <c r="O264" t="str">
        <f t="shared" si="33"/>
        <v>Low</v>
      </c>
      <c r="P264" t="str">
        <f t="shared" si="34"/>
        <v>Low Demand</v>
      </c>
    </row>
    <row r="265" spans="1:16" ht="13.8">
      <c r="A265" s="13">
        <v>263</v>
      </c>
      <c r="B265" s="13">
        <v>264</v>
      </c>
      <c r="C265" s="13">
        <v>0.18179999999999999</v>
      </c>
      <c r="D265" s="13">
        <v>0.55000000000000004</v>
      </c>
      <c r="E265" s="13">
        <v>0.22389999999999999</v>
      </c>
      <c r="F265" s="13">
        <v>0</v>
      </c>
      <c r="G265" s="13">
        <v>39</v>
      </c>
      <c r="H265" s="13">
        <v>39</v>
      </c>
      <c r="J265" t="str">
        <f t="shared" si="28"/>
        <v>Unique</v>
      </c>
      <c r="K265" t="str">
        <f t="shared" si="29"/>
        <v>Hot</v>
      </c>
      <c r="L265" t="str">
        <f t="shared" si="30"/>
        <v>Low</v>
      </c>
      <c r="M265" t="str">
        <f t="shared" si="31"/>
        <v>High Wind</v>
      </c>
      <c r="N265" t="str">
        <f t="shared" si="32"/>
        <v>Low</v>
      </c>
      <c r="O265" t="str">
        <f t="shared" si="33"/>
        <v>Low</v>
      </c>
      <c r="P265" t="str">
        <f t="shared" si="34"/>
        <v>Low Demand</v>
      </c>
    </row>
    <row r="266" spans="1:16" ht="13.8">
      <c r="A266" s="13">
        <v>264</v>
      </c>
      <c r="B266" s="13">
        <v>265</v>
      </c>
      <c r="C266" s="13">
        <v>0.18179999999999999</v>
      </c>
      <c r="D266" s="13">
        <v>0.51</v>
      </c>
      <c r="E266" s="13">
        <v>0.3881</v>
      </c>
      <c r="F266" s="13">
        <v>3</v>
      </c>
      <c r="G266" s="13">
        <v>32</v>
      </c>
      <c r="H266" s="13">
        <v>35</v>
      </c>
      <c r="J266" t="str">
        <f t="shared" si="28"/>
        <v>Unique</v>
      </c>
      <c r="K266" t="str">
        <f t="shared" si="29"/>
        <v>Hot</v>
      </c>
      <c r="L266" t="str">
        <f t="shared" si="30"/>
        <v>Low</v>
      </c>
      <c r="M266" t="str">
        <f t="shared" si="31"/>
        <v>High Wind</v>
      </c>
      <c r="N266" t="str">
        <f t="shared" si="32"/>
        <v>Low</v>
      </c>
      <c r="O266" t="str">
        <f t="shared" si="33"/>
        <v>Low</v>
      </c>
      <c r="P266" t="str">
        <f t="shared" si="34"/>
        <v>Low Demand</v>
      </c>
    </row>
    <row r="267" spans="1:16" ht="13.8">
      <c r="A267" s="13">
        <v>265</v>
      </c>
      <c r="B267" s="13">
        <v>266</v>
      </c>
      <c r="C267" s="13">
        <v>0.1515</v>
      </c>
      <c r="D267" s="13">
        <v>0.47</v>
      </c>
      <c r="E267" s="13">
        <v>0.58209999999999995</v>
      </c>
      <c r="F267" s="13">
        <v>3</v>
      </c>
      <c r="G267" s="13">
        <v>52</v>
      </c>
      <c r="H267" s="13">
        <v>55</v>
      </c>
      <c r="J267" t="str">
        <f t="shared" si="28"/>
        <v>Unique</v>
      </c>
      <c r="K267" t="str">
        <f t="shared" si="29"/>
        <v>Hot</v>
      </c>
      <c r="L267" t="str">
        <f t="shared" si="30"/>
        <v>Low</v>
      </c>
      <c r="M267" t="str">
        <f t="shared" si="31"/>
        <v>Medium Wind</v>
      </c>
      <c r="N267" t="str">
        <f t="shared" si="32"/>
        <v>Low</v>
      </c>
      <c r="O267" t="str">
        <f t="shared" si="33"/>
        <v>Low</v>
      </c>
      <c r="P267" t="str">
        <f t="shared" si="34"/>
        <v>Low Demand</v>
      </c>
    </row>
    <row r="268" spans="1:16" ht="13.8">
      <c r="A268" s="13">
        <v>266</v>
      </c>
      <c r="B268" s="13">
        <v>267</v>
      </c>
      <c r="C268" s="13">
        <v>0.19700000000000001</v>
      </c>
      <c r="D268" s="13">
        <v>0.44</v>
      </c>
      <c r="E268" s="13">
        <v>0.35820000000000002</v>
      </c>
      <c r="F268" s="13">
        <v>0</v>
      </c>
      <c r="G268" s="13">
        <v>49</v>
      </c>
      <c r="H268" s="13">
        <v>49</v>
      </c>
      <c r="J268" t="str">
        <f t="shared" si="28"/>
        <v>Unique</v>
      </c>
      <c r="K268" t="str">
        <f t="shared" si="29"/>
        <v>Hot</v>
      </c>
      <c r="L268" t="str">
        <f t="shared" si="30"/>
        <v>Low</v>
      </c>
      <c r="M268" t="str">
        <f t="shared" si="31"/>
        <v>Medium Wind</v>
      </c>
      <c r="N268" t="str">
        <f t="shared" si="32"/>
        <v>Low</v>
      </c>
      <c r="O268" t="str">
        <f t="shared" si="33"/>
        <v>Low</v>
      </c>
      <c r="P268" t="str">
        <f t="shared" si="34"/>
        <v>Low Demand</v>
      </c>
    </row>
    <row r="269" spans="1:16" ht="13.8">
      <c r="A269" s="13">
        <v>267</v>
      </c>
      <c r="B269" s="13">
        <v>268</v>
      </c>
      <c r="C269" s="13">
        <v>0.18179999999999999</v>
      </c>
      <c r="D269" s="13">
        <v>0.47</v>
      </c>
      <c r="E269" s="13">
        <v>0.32840000000000003</v>
      </c>
      <c r="F269" s="13">
        <v>0</v>
      </c>
      <c r="G269" s="13">
        <v>44</v>
      </c>
      <c r="H269" s="13">
        <v>44</v>
      </c>
      <c r="J269" t="str">
        <f t="shared" si="28"/>
        <v>Unique</v>
      </c>
      <c r="K269" t="str">
        <f t="shared" si="29"/>
        <v>Hot</v>
      </c>
      <c r="L269" t="str">
        <f t="shared" si="30"/>
        <v>Low</v>
      </c>
      <c r="M269" t="str">
        <f t="shared" si="31"/>
        <v>Medium Wind</v>
      </c>
      <c r="N269" t="str">
        <f t="shared" si="32"/>
        <v>Low</v>
      </c>
      <c r="O269" t="str">
        <f t="shared" si="33"/>
        <v>Low</v>
      </c>
      <c r="P269" t="str">
        <f t="shared" si="34"/>
        <v>Low Demand</v>
      </c>
    </row>
    <row r="270" spans="1:16" ht="13.8">
      <c r="A270" s="13">
        <v>268</v>
      </c>
      <c r="B270" s="13">
        <v>269</v>
      </c>
      <c r="C270" s="13">
        <v>0.16669999999999999</v>
      </c>
      <c r="D270" s="13">
        <v>0.47</v>
      </c>
      <c r="E270" s="13">
        <v>0.41789999999999999</v>
      </c>
      <c r="F270" s="13">
        <v>1</v>
      </c>
      <c r="G270" s="13">
        <v>48</v>
      </c>
      <c r="H270" s="13">
        <v>49</v>
      </c>
      <c r="J270" t="str">
        <f t="shared" si="28"/>
        <v>Unique</v>
      </c>
      <c r="K270" t="str">
        <f t="shared" si="29"/>
        <v>Hot</v>
      </c>
      <c r="L270" t="str">
        <f t="shared" si="30"/>
        <v>Low</v>
      </c>
      <c r="M270" t="str">
        <f t="shared" si="31"/>
        <v>Medium Wind</v>
      </c>
      <c r="N270" t="str">
        <f t="shared" si="32"/>
        <v>Low</v>
      </c>
      <c r="O270" t="str">
        <f t="shared" si="33"/>
        <v>Low</v>
      </c>
      <c r="P270" t="str">
        <f t="shared" si="34"/>
        <v>Low Demand</v>
      </c>
    </row>
    <row r="271" spans="1:16" ht="13.8">
      <c r="A271" s="13">
        <v>269</v>
      </c>
      <c r="B271" s="13">
        <v>270</v>
      </c>
      <c r="C271" s="13">
        <v>0.19700000000000001</v>
      </c>
      <c r="D271" s="13">
        <v>0.44</v>
      </c>
      <c r="E271" s="13">
        <v>0.32840000000000003</v>
      </c>
      <c r="F271" s="13">
        <v>5</v>
      </c>
      <c r="G271" s="13">
        <v>63</v>
      </c>
      <c r="H271" s="13">
        <v>68</v>
      </c>
      <c r="J271" t="str">
        <f t="shared" si="28"/>
        <v>Unique</v>
      </c>
      <c r="K271" t="str">
        <f t="shared" si="29"/>
        <v>Hot</v>
      </c>
      <c r="L271" t="str">
        <f t="shared" si="30"/>
        <v>Low</v>
      </c>
      <c r="M271" t="str">
        <f t="shared" si="31"/>
        <v>Medium Wind</v>
      </c>
      <c r="N271" t="str">
        <f t="shared" si="32"/>
        <v>Low</v>
      </c>
      <c r="O271" t="str">
        <f t="shared" si="33"/>
        <v>Low</v>
      </c>
      <c r="P271" t="str">
        <f t="shared" si="34"/>
        <v>Low Demand</v>
      </c>
    </row>
    <row r="272" spans="1:16" ht="13.8">
      <c r="A272" s="13">
        <v>270</v>
      </c>
      <c r="B272" s="13">
        <v>271</v>
      </c>
      <c r="C272" s="13">
        <v>0.18179999999999999</v>
      </c>
      <c r="D272" s="13">
        <v>0.47</v>
      </c>
      <c r="E272" s="13">
        <v>0.35820000000000002</v>
      </c>
      <c r="F272" s="13">
        <v>0</v>
      </c>
      <c r="G272" s="13">
        <v>139</v>
      </c>
      <c r="H272" s="13">
        <v>139</v>
      </c>
      <c r="J272" t="str">
        <f t="shared" si="28"/>
        <v>Unique</v>
      </c>
      <c r="K272" t="str">
        <f t="shared" si="29"/>
        <v>Hot</v>
      </c>
      <c r="L272" t="str">
        <f t="shared" si="30"/>
        <v>Low</v>
      </c>
      <c r="M272" t="str">
        <f t="shared" si="31"/>
        <v>Medium Wind</v>
      </c>
      <c r="N272" t="str">
        <f t="shared" si="32"/>
        <v>Low</v>
      </c>
      <c r="O272" t="str">
        <f t="shared" si="33"/>
        <v>Low</v>
      </c>
      <c r="P272" t="str">
        <f t="shared" si="34"/>
        <v>Medium Demand</v>
      </c>
    </row>
    <row r="273" spans="1:16" ht="13.8">
      <c r="A273" s="13">
        <v>271</v>
      </c>
      <c r="B273" s="13">
        <v>272</v>
      </c>
      <c r="C273" s="13">
        <v>0.1515</v>
      </c>
      <c r="D273" s="13">
        <v>0.47</v>
      </c>
      <c r="E273" s="13">
        <v>0.52239999999999998</v>
      </c>
      <c r="F273" s="13">
        <v>2</v>
      </c>
      <c r="G273" s="13">
        <v>135</v>
      </c>
      <c r="H273" s="13">
        <v>137</v>
      </c>
      <c r="J273" t="str">
        <f t="shared" si="28"/>
        <v>Unique</v>
      </c>
      <c r="K273" t="str">
        <f t="shared" si="29"/>
        <v>Hot</v>
      </c>
      <c r="L273" t="str">
        <f t="shared" si="30"/>
        <v>Low</v>
      </c>
      <c r="M273" t="str">
        <f t="shared" si="31"/>
        <v>Medium Wind</v>
      </c>
      <c r="N273" t="str">
        <f t="shared" si="32"/>
        <v>Low</v>
      </c>
      <c r="O273" t="str">
        <f t="shared" si="33"/>
        <v>Low</v>
      </c>
      <c r="P273" t="str">
        <f t="shared" si="34"/>
        <v>Medium Demand</v>
      </c>
    </row>
    <row r="274" spans="1:16" ht="13.8">
      <c r="A274" s="13">
        <v>272</v>
      </c>
      <c r="B274" s="13">
        <v>273</v>
      </c>
      <c r="C274" s="13">
        <v>0.1515</v>
      </c>
      <c r="D274" s="13">
        <v>0.47</v>
      </c>
      <c r="E274" s="13">
        <v>0.41789999999999999</v>
      </c>
      <c r="F274" s="13">
        <v>1</v>
      </c>
      <c r="G274" s="13">
        <v>82</v>
      </c>
      <c r="H274" s="13">
        <v>83</v>
      </c>
      <c r="J274" t="str">
        <f t="shared" si="28"/>
        <v>Unique</v>
      </c>
      <c r="K274" t="str">
        <f t="shared" si="29"/>
        <v>Hot</v>
      </c>
      <c r="L274" t="str">
        <f t="shared" si="30"/>
        <v>Low</v>
      </c>
      <c r="M274" t="str">
        <f t="shared" si="31"/>
        <v>Medium Wind</v>
      </c>
      <c r="N274" t="str">
        <f t="shared" si="32"/>
        <v>Low</v>
      </c>
      <c r="O274" t="str">
        <f t="shared" si="33"/>
        <v>Low</v>
      </c>
      <c r="P274" t="str">
        <f t="shared" si="34"/>
        <v>Low Demand</v>
      </c>
    </row>
    <row r="275" spans="1:16" ht="13.8">
      <c r="A275" s="13">
        <v>273</v>
      </c>
      <c r="B275" s="13">
        <v>274</v>
      </c>
      <c r="C275" s="13">
        <v>0.13639999999999999</v>
      </c>
      <c r="D275" s="13">
        <v>0.5</v>
      </c>
      <c r="E275" s="13">
        <v>0.32840000000000003</v>
      </c>
      <c r="F275" s="13">
        <v>2</v>
      </c>
      <c r="G275" s="13">
        <v>54</v>
      </c>
      <c r="H275" s="13">
        <v>56</v>
      </c>
      <c r="J275" t="str">
        <f t="shared" si="28"/>
        <v>Unique</v>
      </c>
      <c r="K275" t="str">
        <f t="shared" si="29"/>
        <v>Hot</v>
      </c>
      <c r="L275" t="str">
        <f t="shared" si="30"/>
        <v>Low</v>
      </c>
      <c r="M275" t="str">
        <f t="shared" si="31"/>
        <v>High Wind</v>
      </c>
      <c r="N275" t="str">
        <f t="shared" si="32"/>
        <v>Low</v>
      </c>
      <c r="O275" t="str">
        <f t="shared" si="33"/>
        <v>Low</v>
      </c>
      <c r="P275" t="str">
        <f t="shared" si="34"/>
        <v>Low Demand</v>
      </c>
    </row>
    <row r="276" spans="1:16" ht="13.8">
      <c r="A276" s="13">
        <v>274</v>
      </c>
      <c r="B276" s="13">
        <v>275</v>
      </c>
      <c r="C276" s="13">
        <v>0.13639999999999999</v>
      </c>
      <c r="D276" s="13">
        <v>0.55000000000000004</v>
      </c>
      <c r="E276" s="13">
        <v>0.32840000000000003</v>
      </c>
      <c r="F276" s="13">
        <v>0</v>
      </c>
      <c r="G276" s="13">
        <v>57</v>
      </c>
      <c r="H276" s="13">
        <v>57</v>
      </c>
      <c r="J276" t="str">
        <f t="shared" si="28"/>
        <v>Unique</v>
      </c>
      <c r="K276" t="str">
        <f t="shared" si="29"/>
        <v>Hot</v>
      </c>
      <c r="L276" t="str">
        <f t="shared" si="30"/>
        <v>Low</v>
      </c>
      <c r="M276" t="str">
        <f t="shared" si="31"/>
        <v>High Wind</v>
      </c>
      <c r="N276" t="str">
        <f t="shared" si="32"/>
        <v>Low</v>
      </c>
      <c r="O276" t="str">
        <f t="shared" si="33"/>
        <v>Low</v>
      </c>
      <c r="P276" t="str">
        <f t="shared" si="34"/>
        <v>Low Demand</v>
      </c>
    </row>
    <row r="277" spans="1:16" ht="13.8">
      <c r="A277" s="13">
        <v>275</v>
      </c>
      <c r="B277" s="13">
        <v>276</v>
      </c>
      <c r="C277" s="13">
        <v>0.1212</v>
      </c>
      <c r="D277" s="13">
        <v>0.55000000000000004</v>
      </c>
      <c r="E277" s="13">
        <v>0.44779999999999998</v>
      </c>
      <c r="F277" s="13">
        <v>1</v>
      </c>
      <c r="G277" s="13">
        <v>32</v>
      </c>
      <c r="H277" s="13">
        <v>33</v>
      </c>
      <c r="J277" t="str">
        <f t="shared" si="28"/>
        <v>Unique</v>
      </c>
      <c r="K277" t="str">
        <f t="shared" si="29"/>
        <v>Hot</v>
      </c>
      <c r="L277" t="str">
        <f t="shared" si="30"/>
        <v>Low</v>
      </c>
      <c r="M277" t="str">
        <f t="shared" si="31"/>
        <v>High Wind</v>
      </c>
      <c r="N277" t="str">
        <f t="shared" si="32"/>
        <v>Low</v>
      </c>
      <c r="O277" t="str">
        <f t="shared" si="33"/>
        <v>Low</v>
      </c>
      <c r="P277" t="str">
        <f t="shared" si="34"/>
        <v>Low Demand</v>
      </c>
    </row>
    <row r="278" spans="1:16" ht="13.8">
      <c r="A278" s="13">
        <v>276</v>
      </c>
      <c r="B278" s="13">
        <v>277</v>
      </c>
      <c r="C278" s="13">
        <v>0.1061</v>
      </c>
      <c r="D278" s="13">
        <v>0.59</v>
      </c>
      <c r="E278" s="13">
        <v>0.41789999999999999</v>
      </c>
      <c r="F278" s="13">
        <v>1</v>
      </c>
      <c r="G278" s="13">
        <v>19</v>
      </c>
      <c r="H278" s="13">
        <v>20</v>
      </c>
      <c r="J278" t="str">
        <f t="shared" si="28"/>
        <v>Unique</v>
      </c>
      <c r="K278" t="str">
        <f t="shared" si="29"/>
        <v>Hot</v>
      </c>
      <c r="L278" t="str">
        <f t="shared" si="30"/>
        <v>Low</v>
      </c>
      <c r="M278" t="str">
        <f t="shared" si="31"/>
        <v>High Wind</v>
      </c>
      <c r="N278" t="str">
        <f t="shared" si="32"/>
        <v>Low</v>
      </c>
      <c r="O278" t="str">
        <f t="shared" si="33"/>
        <v>Low</v>
      </c>
      <c r="P278" t="str">
        <f t="shared" si="34"/>
        <v>Low Demand</v>
      </c>
    </row>
    <row r="279" spans="1:16" ht="13.8">
      <c r="A279" s="13">
        <v>277</v>
      </c>
      <c r="B279" s="13">
        <v>278</v>
      </c>
      <c r="C279" s="13">
        <v>0.1212</v>
      </c>
      <c r="D279" s="13">
        <v>0.59</v>
      </c>
      <c r="E279" s="13">
        <v>0.28360000000000002</v>
      </c>
      <c r="F279" s="13">
        <v>1</v>
      </c>
      <c r="G279" s="13">
        <v>6</v>
      </c>
      <c r="H279" s="13">
        <v>7</v>
      </c>
      <c r="J279" t="str">
        <f t="shared" si="28"/>
        <v>Unique</v>
      </c>
      <c r="K279" t="str">
        <f t="shared" si="29"/>
        <v>Hot</v>
      </c>
      <c r="L279" t="str">
        <f t="shared" si="30"/>
        <v>Low</v>
      </c>
      <c r="M279" t="str">
        <f t="shared" si="31"/>
        <v>High Wind</v>
      </c>
      <c r="N279" t="str">
        <f t="shared" si="32"/>
        <v>Low</v>
      </c>
      <c r="O279" t="str">
        <f t="shared" si="33"/>
        <v>Low</v>
      </c>
      <c r="P279" t="str">
        <f t="shared" si="34"/>
        <v>Low Demand</v>
      </c>
    </row>
    <row r="280" spans="1:16" ht="13.8">
      <c r="A280" s="13">
        <v>278</v>
      </c>
      <c r="B280" s="13">
        <v>279</v>
      </c>
      <c r="C280" s="13">
        <v>0.1212</v>
      </c>
      <c r="D280" s="13">
        <v>0.5</v>
      </c>
      <c r="E280" s="13">
        <v>0.28360000000000002</v>
      </c>
      <c r="F280" s="13">
        <v>0</v>
      </c>
      <c r="G280" s="13">
        <v>2</v>
      </c>
      <c r="H280" s="13">
        <v>2</v>
      </c>
      <c r="J280" t="str">
        <f t="shared" si="28"/>
        <v>Unique</v>
      </c>
      <c r="K280" t="str">
        <f t="shared" si="29"/>
        <v>Hot</v>
      </c>
      <c r="L280" t="str">
        <f t="shared" si="30"/>
        <v>Low</v>
      </c>
      <c r="M280" t="str">
        <f t="shared" si="31"/>
        <v>High Wind</v>
      </c>
      <c r="N280" t="str">
        <f t="shared" si="32"/>
        <v>Low</v>
      </c>
      <c r="O280" t="str">
        <f t="shared" si="33"/>
        <v>Low</v>
      </c>
      <c r="P280" t="str">
        <f t="shared" si="34"/>
        <v>Low Demand</v>
      </c>
    </row>
    <row r="281" spans="1:16" ht="13.8">
      <c r="A281" s="13">
        <v>279</v>
      </c>
      <c r="B281" s="13">
        <v>280</v>
      </c>
      <c r="C281" s="13">
        <v>0.1212</v>
      </c>
      <c r="D281" s="13">
        <v>0.5</v>
      </c>
      <c r="E281" s="13">
        <v>0.35820000000000002</v>
      </c>
      <c r="F281" s="13">
        <v>0</v>
      </c>
      <c r="G281" s="13">
        <v>2</v>
      </c>
      <c r="H281" s="13">
        <v>2</v>
      </c>
      <c r="J281" t="str">
        <f t="shared" si="28"/>
        <v>Unique</v>
      </c>
      <c r="K281" t="str">
        <f t="shared" si="29"/>
        <v>Hot</v>
      </c>
      <c r="L281" t="str">
        <f t="shared" si="30"/>
        <v>Low</v>
      </c>
      <c r="M281" t="str">
        <f t="shared" si="31"/>
        <v>High Wind</v>
      </c>
      <c r="N281" t="str">
        <f t="shared" si="32"/>
        <v>Low</v>
      </c>
      <c r="O281" t="str">
        <f t="shared" si="33"/>
        <v>Low</v>
      </c>
      <c r="P281" t="str">
        <f t="shared" si="34"/>
        <v>Low Demand</v>
      </c>
    </row>
    <row r="282" spans="1:16" ht="13.8">
      <c r="A282" s="13">
        <v>280</v>
      </c>
      <c r="B282" s="13">
        <v>281</v>
      </c>
      <c r="C282" s="13">
        <v>0.1212</v>
      </c>
      <c r="D282" s="13">
        <v>0.5</v>
      </c>
      <c r="E282" s="13">
        <v>0.32840000000000003</v>
      </c>
      <c r="F282" s="13">
        <v>0</v>
      </c>
      <c r="G282" s="13">
        <v>3</v>
      </c>
      <c r="H282" s="13">
        <v>3</v>
      </c>
      <c r="J282" t="str">
        <f t="shared" si="28"/>
        <v>Unique</v>
      </c>
      <c r="K282" t="str">
        <f t="shared" si="29"/>
        <v>Hot</v>
      </c>
      <c r="L282" t="str">
        <f t="shared" si="30"/>
        <v>Low</v>
      </c>
      <c r="M282" t="str">
        <f t="shared" si="31"/>
        <v>High Wind</v>
      </c>
      <c r="N282" t="str">
        <f t="shared" si="32"/>
        <v>Low</v>
      </c>
      <c r="O282" t="str">
        <f t="shared" si="33"/>
        <v>Low</v>
      </c>
      <c r="P282" t="str">
        <f t="shared" si="34"/>
        <v>Low Demand</v>
      </c>
    </row>
    <row r="283" spans="1:16" ht="13.8">
      <c r="A283" s="13">
        <v>281</v>
      </c>
      <c r="B283" s="13">
        <v>282</v>
      </c>
      <c r="C283" s="13">
        <v>0.1212</v>
      </c>
      <c r="D283" s="13">
        <v>0.5</v>
      </c>
      <c r="E283" s="13">
        <v>0.25369999999999998</v>
      </c>
      <c r="F283" s="13">
        <v>0</v>
      </c>
      <c r="G283" s="13">
        <v>4</v>
      </c>
      <c r="H283" s="13">
        <v>4</v>
      </c>
      <c r="J283" t="str">
        <f t="shared" si="28"/>
        <v>Unique</v>
      </c>
      <c r="K283" t="str">
        <f t="shared" si="29"/>
        <v>Hot</v>
      </c>
      <c r="L283" t="str">
        <f t="shared" si="30"/>
        <v>Low</v>
      </c>
      <c r="M283" t="str">
        <f t="shared" si="31"/>
        <v>High Wind</v>
      </c>
      <c r="N283" t="str">
        <f t="shared" si="32"/>
        <v>Low</v>
      </c>
      <c r="O283" t="str">
        <f t="shared" si="33"/>
        <v>Low</v>
      </c>
      <c r="P283" t="str">
        <f t="shared" si="34"/>
        <v>Low Demand</v>
      </c>
    </row>
    <row r="284" spans="1:16" ht="13.8">
      <c r="A284" s="13">
        <v>282</v>
      </c>
      <c r="B284" s="13">
        <v>283</v>
      </c>
      <c r="C284" s="13">
        <v>0.1212</v>
      </c>
      <c r="D284" s="13">
        <v>0.5</v>
      </c>
      <c r="E284" s="13">
        <v>0.29849999999999999</v>
      </c>
      <c r="F284" s="13">
        <v>0</v>
      </c>
      <c r="G284" s="13">
        <v>3</v>
      </c>
      <c r="H284" s="13">
        <v>3</v>
      </c>
      <c r="J284" t="str">
        <f t="shared" si="28"/>
        <v>Unique</v>
      </c>
      <c r="K284" t="str">
        <f t="shared" si="29"/>
        <v>Hot</v>
      </c>
      <c r="L284" t="str">
        <f t="shared" si="30"/>
        <v>Low</v>
      </c>
      <c r="M284" t="str">
        <f t="shared" si="31"/>
        <v>High Wind</v>
      </c>
      <c r="N284" t="str">
        <f t="shared" si="32"/>
        <v>Low</v>
      </c>
      <c r="O284" t="str">
        <f t="shared" si="33"/>
        <v>Low</v>
      </c>
      <c r="P284" t="str">
        <f t="shared" si="34"/>
        <v>Low Demand</v>
      </c>
    </row>
    <row r="285" spans="1:16" ht="13.8">
      <c r="A285" s="13">
        <v>283</v>
      </c>
      <c r="B285" s="13">
        <v>284</v>
      </c>
      <c r="C285" s="13">
        <v>0.1515</v>
      </c>
      <c r="D285" s="13">
        <v>0.54</v>
      </c>
      <c r="E285" s="13">
        <v>0.1343</v>
      </c>
      <c r="F285" s="13">
        <v>0</v>
      </c>
      <c r="G285" s="13">
        <v>28</v>
      </c>
      <c r="H285" s="13">
        <v>28</v>
      </c>
      <c r="J285" t="str">
        <f t="shared" si="28"/>
        <v>Unique</v>
      </c>
      <c r="K285" t="str">
        <f t="shared" si="29"/>
        <v>Hot</v>
      </c>
      <c r="L285" t="str">
        <f t="shared" si="30"/>
        <v>Low</v>
      </c>
      <c r="M285" t="str">
        <f t="shared" si="31"/>
        <v>High Wind</v>
      </c>
      <c r="N285" t="str">
        <f t="shared" si="32"/>
        <v>Low</v>
      </c>
      <c r="O285" t="str">
        <f t="shared" si="33"/>
        <v>Low</v>
      </c>
      <c r="P285" t="str">
        <f t="shared" si="34"/>
        <v>Low Demand</v>
      </c>
    </row>
    <row r="286" spans="1:16" ht="13.8">
      <c r="A286" s="13">
        <v>284</v>
      </c>
      <c r="B286" s="13">
        <v>285</v>
      </c>
      <c r="C286" s="13">
        <v>0.1515</v>
      </c>
      <c r="D286" s="13">
        <v>0.54</v>
      </c>
      <c r="E286" s="13">
        <v>0.1343</v>
      </c>
      <c r="F286" s="13">
        <v>0</v>
      </c>
      <c r="G286" s="13">
        <v>72</v>
      </c>
      <c r="H286" s="13">
        <v>72</v>
      </c>
      <c r="J286" t="str">
        <f t="shared" si="28"/>
        <v>Unique</v>
      </c>
      <c r="K286" t="str">
        <f t="shared" si="29"/>
        <v>Hot</v>
      </c>
      <c r="L286" t="str">
        <f t="shared" si="30"/>
        <v>Low</v>
      </c>
      <c r="M286" t="str">
        <f t="shared" si="31"/>
        <v>High Wind</v>
      </c>
      <c r="N286" t="str">
        <f t="shared" si="32"/>
        <v>Low</v>
      </c>
      <c r="O286" t="str">
        <f t="shared" si="33"/>
        <v>Low</v>
      </c>
      <c r="P286" t="str">
        <f t="shared" si="34"/>
        <v>Low Demand</v>
      </c>
    </row>
    <row r="287" spans="1:16" ht="13.8">
      <c r="A287" s="13">
        <v>285</v>
      </c>
      <c r="B287" s="13">
        <v>286</v>
      </c>
      <c r="C287" s="13">
        <v>0.13639999999999999</v>
      </c>
      <c r="D287" s="13">
        <v>0.5</v>
      </c>
      <c r="E287" s="13">
        <v>0.19400000000000001</v>
      </c>
      <c r="F287" s="13">
        <v>5</v>
      </c>
      <c r="G287" s="13">
        <v>197</v>
      </c>
      <c r="H287" s="13">
        <v>202</v>
      </c>
      <c r="J287" t="str">
        <f t="shared" si="28"/>
        <v>Unique</v>
      </c>
      <c r="K287" t="str">
        <f t="shared" si="29"/>
        <v>Hot</v>
      </c>
      <c r="L287" t="str">
        <f t="shared" si="30"/>
        <v>Low</v>
      </c>
      <c r="M287" t="str">
        <f t="shared" si="31"/>
        <v>High Wind</v>
      </c>
      <c r="N287" t="str">
        <f t="shared" si="32"/>
        <v>Low</v>
      </c>
      <c r="O287" t="str">
        <f t="shared" si="33"/>
        <v>Low</v>
      </c>
      <c r="P287" t="str">
        <f t="shared" si="34"/>
        <v>Medium Demand</v>
      </c>
    </row>
    <row r="288" spans="1:16" ht="13.8">
      <c r="A288" s="13">
        <v>286</v>
      </c>
      <c r="B288" s="13">
        <v>287</v>
      </c>
      <c r="C288" s="13">
        <v>0.1212</v>
      </c>
      <c r="D288" s="13">
        <v>0.5</v>
      </c>
      <c r="E288" s="13">
        <v>0.32840000000000003</v>
      </c>
      <c r="F288" s="13">
        <v>2</v>
      </c>
      <c r="G288" s="13">
        <v>137</v>
      </c>
      <c r="H288" s="13">
        <v>139</v>
      </c>
      <c r="J288" t="str">
        <f t="shared" si="28"/>
        <v>Unique</v>
      </c>
      <c r="K288" t="str">
        <f t="shared" si="29"/>
        <v>Hot</v>
      </c>
      <c r="L288" t="str">
        <f t="shared" si="30"/>
        <v>Low</v>
      </c>
      <c r="M288" t="str">
        <f t="shared" si="31"/>
        <v>High Wind</v>
      </c>
      <c r="N288" t="str">
        <f t="shared" si="32"/>
        <v>Low</v>
      </c>
      <c r="O288" t="str">
        <f t="shared" si="33"/>
        <v>Low</v>
      </c>
      <c r="P288" t="str">
        <f t="shared" si="34"/>
        <v>Medium Demand</v>
      </c>
    </row>
    <row r="289" spans="1:16" ht="13.8">
      <c r="A289" s="13">
        <v>287</v>
      </c>
      <c r="B289" s="13">
        <v>288</v>
      </c>
      <c r="C289" s="13">
        <v>0.13639999999999999</v>
      </c>
      <c r="D289" s="13">
        <v>0.5</v>
      </c>
      <c r="E289" s="13">
        <v>0.35820000000000002</v>
      </c>
      <c r="F289" s="13">
        <v>2</v>
      </c>
      <c r="G289" s="13">
        <v>36</v>
      </c>
      <c r="H289" s="13">
        <v>38</v>
      </c>
      <c r="J289" t="str">
        <f t="shared" si="28"/>
        <v>Unique</v>
      </c>
      <c r="K289" t="str">
        <f t="shared" si="29"/>
        <v>Hot</v>
      </c>
      <c r="L289" t="str">
        <f t="shared" si="30"/>
        <v>Low</v>
      </c>
      <c r="M289" t="str">
        <f t="shared" si="31"/>
        <v>High Wind</v>
      </c>
      <c r="N289" t="str">
        <f t="shared" si="32"/>
        <v>Low</v>
      </c>
      <c r="O289" t="str">
        <f t="shared" si="33"/>
        <v>Low</v>
      </c>
      <c r="P289" t="str">
        <f t="shared" si="34"/>
        <v>Low Demand</v>
      </c>
    </row>
    <row r="290" spans="1:16" ht="13.8">
      <c r="A290" s="13">
        <v>288</v>
      </c>
      <c r="B290" s="13">
        <v>289</v>
      </c>
      <c r="C290" s="13">
        <v>0.16669999999999999</v>
      </c>
      <c r="D290" s="13">
        <v>0.44</v>
      </c>
      <c r="E290" s="13">
        <v>0.44779999999999998</v>
      </c>
      <c r="F290" s="13">
        <v>4</v>
      </c>
      <c r="G290" s="13">
        <v>33</v>
      </c>
      <c r="H290" s="13">
        <v>37</v>
      </c>
      <c r="J290" t="str">
        <f t="shared" si="28"/>
        <v>Unique</v>
      </c>
      <c r="K290" t="str">
        <f t="shared" si="29"/>
        <v>Hot</v>
      </c>
      <c r="L290" t="str">
        <f t="shared" si="30"/>
        <v>Low</v>
      </c>
      <c r="M290" t="str">
        <f t="shared" si="31"/>
        <v>Medium Wind</v>
      </c>
      <c r="N290" t="str">
        <f t="shared" si="32"/>
        <v>Low</v>
      </c>
      <c r="O290" t="str">
        <f t="shared" si="33"/>
        <v>Low</v>
      </c>
      <c r="P290" t="str">
        <f t="shared" si="34"/>
        <v>Low Demand</v>
      </c>
    </row>
    <row r="291" spans="1:16" ht="13.8">
      <c r="A291" s="13">
        <v>289</v>
      </c>
      <c r="B291" s="13">
        <v>290</v>
      </c>
      <c r="C291" s="13">
        <v>0.16669999999999999</v>
      </c>
      <c r="D291" s="13">
        <v>0.44</v>
      </c>
      <c r="E291" s="13">
        <v>0.41789999999999999</v>
      </c>
      <c r="F291" s="13">
        <v>3</v>
      </c>
      <c r="G291" s="13">
        <v>49</v>
      </c>
      <c r="H291" s="13">
        <v>52</v>
      </c>
      <c r="J291" t="str">
        <f t="shared" si="28"/>
        <v>Unique</v>
      </c>
      <c r="K291" t="str">
        <f t="shared" si="29"/>
        <v>Hot</v>
      </c>
      <c r="L291" t="str">
        <f t="shared" si="30"/>
        <v>Low</v>
      </c>
      <c r="M291" t="str">
        <f t="shared" si="31"/>
        <v>Medium Wind</v>
      </c>
      <c r="N291" t="str">
        <f t="shared" si="32"/>
        <v>Low</v>
      </c>
      <c r="O291" t="str">
        <f t="shared" si="33"/>
        <v>Low</v>
      </c>
      <c r="P291" t="str">
        <f t="shared" si="34"/>
        <v>Low Demand</v>
      </c>
    </row>
    <row r="292" spans="1:16" ht="13.8">
      <c r="A292" s="13">
        <v>290</v>
      </c>
      <c r="B292" s="13">
        <v>291</v>
      </c>
      <c r="C292" s="13">
        <v>0.19700000000000001</v>
      </c>
      <c r="D292" s="13">
        <v>0.41</v>
      </c>
      <c r="E292" s="13">
        <v>0.44779999999999998</v>
      </c>
      <c r="F292" s="13">
        <v>2</v>
      </c>
      <c r="G292" s="13">
        <v>81</v>
      </c>
      <c r="H292" s="13">
        <v>83</v>
      </c>
      <c r="J292" t="str">
        <f t="shared" si="28"/>
        <v>Unique</v>
      </c>
      <c r="K292" t="str">
        <f t="shared" si="29"/>
        <v>Hot</v>
      </c>
      <c r="L292" t="str">
        <f t="shared" si="30"/>
        <v>Low</v>
      </c>
      <c r="M292" t="str">
        <f t="shared" si="31"/>
        <v>Medium Wind</v>
      </c>
      <c r="N292" t="str">
        <f t="shared" si="32"/>
        <v>Low</v>
      </c>
      <c r="O292" t="str">
        <f t="shared" si="33"/>
        <v>Low</v>
      </c>
      <c r="P292" t="str">
        <f t="shared" si="34"/>
        <v>Low Demand</v>
      </c>
    </row>
    <row r="293" spans="1:16" ht="13.8">
      <c r="A293" s="13">
        <v>291</v>
      </c>
      <c r="B293" s="13">
        <v>292</v>
      </c>
      <c r="C293" s="13">
        <v>0.19700000000000001</v>
      </c>
      <c r="D293" s="13">
        <v>0.41</v>
      </c>
      <c r="E293" s="13">
        <v>0.3881</v>
      </c>
      <c r="F293" s="13">
        <v>3</v>
      </c>
      <c r="G293" s="13">
        <v>39</v>
      </c>
      <c r="H293" s="13">
        <v>42</v>
      </c>
      <c r="J293" t="str">
        <f t="shared" si="28"/>
        <v>Unique</v>
      </c>
      <c r="K293" t="str">
        <f t="shared" si="29"/>
        <v>Hot</v>
      </c>
      <c r="L293" t="str">
        <f t="shared" si="30"/>
        <v>Low</v>
      </c>
      <c r="M293" t="str">
        <f t="shared" si="31"/>
        <v>Medium Wind</v>
      </c>
      <c r="N293" t="str">
        <f t="shared" si="32"/>
        <v>Low</v>
      </c>
      <c r="O293" t="str">
        <f t="shared" si="33"/>
        <v>Low</v>
      </c>
      <c r="P293" t="str">
        <f t="shared" si="34"/>
        <v>Low Demand</v>
      </c>
    </row>
    <row r="294" spans="1:16" ht="13.8">
      <c r="A294" s="13">
        <v>292</v>
      </c>
      <c r="B294" s="13">
        <v>293</v>
      </c>
      <c r="C294" s="13">
        <v>0.21210000000000001</v>
      </c>
      <c r="D294" s="13">
        <v>0.38</v>
      </c>
      <c r="E294" s="13">
        <v>0.29849999999999999</v>
      </c>
      <c r="F294" s="13">
        <v>5</v>
      </c>
      <c r="G294" s="13">
        <v>55</v>
      </c>
      <c r="H294" s="13">
        <v>60</v>
      </c>
      <c r="J294" t="str">
        <f t="shared" si="28"/>
        <v>Unique</v>
      </c>
      <c r="K294" t="str">
        <f t="shared" si="29"/>
        <v>Hot</v>
      </c>
      <c r="L294" t="str">
        <f t="shared" si="30"/>
        <v>Low</v>
      </c>
      <c r="M294" t="str">
        <f t="shared" si="31"/>
        <v>Medium Wind</v>
      </c>
      <c r="N294" t="str">
        <f t="shared" si="32"/>
        <v>Low</v>
      </c>
      <c r="O294" t="str">
        <f t="shared" si="33"/>
        <v>Low</v>
      </c>
      <c r="P294" t="str">
        <f t="shared" si="34"/>
        <v>Low Demand</v>
      </c>
    </row>
    <row r="295" spans="1:16" ht="13.8">
      <c r="A295" s="13">
        <v>293</v>
      </c>
      <c r="B295" s="13">
        <v>294</v>
      </c>
      <c r="C295" s="13">
        <v>0.21210000000000001</v>
      </c>
      <c r="D295" s="13">
        <v>0.38</v>
      </c>
      <c r="E295" s="13">
        <v>0.35820000000000002</v>
      </c>
      <c r="F295" s="13">
        <v>2</v>
      </c>
      <c r="G295" s="13">
        <v>76</v>
      </c>
      <c r="H295" s="13">
        <v>78</v>
      </c>
      <c r="J295" t="str">
        <f t="shared" si="28"/>
        <v>Unique</v>
      </c>
      <c r="K295" t="str">
        <f t="shared" si="29"/>
        <v>Hot</v>
      </c>
      <c r="L295" t="str">
        <f t="shared" si="30"/>
        <v>Low</v>
      </c>
      <c r="M295" t="str">
        <f t="shared" si="31"/>
        <v>Medium Wind</v>
      </c>
      <c r="N295" t="str">
        <f t="shared" si="32"/>
        <v>Low</v>
      </c>
      <c r="O295" t="str">
        <f t="shared" si="33"/>
        <v>Low</v>
      </c>
      <c r="P295" t="str">
        <f t="shared" si="34"/>
        <v>Low Demand</v>
      </c>
    </row>
    <row r="296" spans="1:16" ht="13.8">
      <c r="A296" s="13">
        <v>294</v>
      </c>
      <c r="B296" s="13">
        <v>295</v>
      </c>
      <c r="C296" s="13">
        <v>0.18179999999999999</v>
      </c>
      <c r="D296" s="13">
        <v>0.4</v>
      </c>
      <c r="E296" s="13">
        <v>0.28360000000000002</v>
      </c>
      <c r="F296" s="13">
        <v>4</v>
      </c>
      <c r="G296" s="13">
        <v>158</v>
      </c>
      <c r="H296" s="13">
        <v>162</v>
      </c>
      <c r="J296" t="str">
        <f t="shared" si="28"/>
        <v>Unique</v>
      </c>
      <c r="K296" t="str">
        <f t="shared" si="29"/>
        <v>Hot</v>
      </c>
      <c r="L296" t="str">
        <f t="shared" si="30"/>
        <v>Low</v>
      </c>
      <c r="M296" t="str">
        <f t="shared" si="31"/>
        <v>Medium Wind</v>
      </c>
      <c r="N296" t="str">
        <f t="shared" si="32"/>
        <v>Low</v>
      </c>
      <c r="O296" t="str">
        <f t="shared" si="33"/>
        <v>Low</v>
      </c>
      <c r="P296" t="str">
        <f t="shared" si="34"/>
        <v>Medium Demand</v>
      </c>
    </row>
    <row r="297" spans="1:16" ht="13.8">
      <c r="A297" s="13">
        <v>295</v>
      </c>
      <c r="B297" s="13">
        <v>296</v>
      </c>
      <c r="C297" s="13">
        <v>0.18179999999999999</v>
      </c>
      <c r="D297" s="13">
        <v>0.4</v>
      </c>
      <c r="E297" s="13">
        <v>0.32840000000000003</v>
      </c>
      <c r="F297" s="13">
        <v>3</v>
      </c>
      <c r="G297" s="13">
        <v>141</v>
      </c>
      <c r="H297" s="13">
        <v>144</v>
      </c>
      <c r="J297" t="str">
        <f t="shared" si="28"/>
        <v>Unique</v>
      </c>
      <c r="K297" t="str">
        <f t="shared" si="29"/>
        <v>Hot</v>
      </c>
      <c r="L297" t="str">
        <f t="shared" si="30"/>
        <v>Low</v>
      </c>
      <c r="M297" t="str">
        <f t="shared" si="31"/>
        <v>Medium Wind</v>
      </c>
      <c r="N297" t="str">
        <f t="shared" si="32"/>
        <v>Low</v>
      </c>
      <c r="O297" t="str">
        <f t="shared" si="33"/>
        <v>Low</v>
      </c>
      <c r="P297" t="str">
        <f t="shared" si="34"/>
        <v>Medium Demand</v>
      </c>
    </row>
    <row r="298" spans="1:16" ht="13.8">
      <c r="A298" s="13">
        <v>296</v>
      </c>
      <c r="B298" s="13">
        <v>297</v>
      </c>
      <c r="C298" s="13">
        <v>0.1515</v>
      </c>
      <c r="D298" s="13">
        <v>0.47</v>
      </c>
      <c r="E298" s="13">
        <v>0.25369999999999998</v>
      </c>
      <c r="F298" s="13">
        <v>1</v>
      </c>
      <c r="G298" s="13">
        <v>98</v>
      </c>
      <c r="H298" s="13">
        <v>99</v>
      </c>
      <c r="J298" t="str">
        <f t="shared" si="28"/>
        <v>Unique</v>
      </c>
      <c r="K298" t="str">
        <f t="shared" si="29"/>
        <v>Hot</v>
      </c>
      <c r="L298" t="str">
        <f t="shared" si="30"/>
        <v>Low</v>
      </c>
      <c r="M298" t="str">
        <f t="shared" si="31"/>
        <v>Medium Wind</v>
      </c>
      <c r="N298" t="str">
        <f t="shared" si="32"/>
        <v>Low</v>
      </c>
      <c r="O298" t="str">
        <f t="shared" si="33"/>
        <v>Low</v>
      </c>
      <c r="P298" t="str">
        <f t="shared" si="34"/>
        <v>Low Demand</v>
      </c>
    </row>
    <row r="299" spans="1:16" ht="13.8">
      <c r="A299" s="13">
        <v>297</v>
      </c>
      <c r="B299" s="13">
        <v>298</v>
      </c>
      <c r="C299" s="13">
        <v>0.1515</v>
      </c>
      <c r="D299" s="13">
        <v>0.47</v>
      </c>
      <c r="E299" s="13">
        <v>0.22389999999999999</v>
      </c>
      <c r="F299" s="13">
        <v>0</v>
      </c>
      <c r="G299" s="13">
        <v>64</v>
      </c>
      <c r="H299" s="13">
        <v>64</v>
      </c>
      <c r="J299" t="str">
        <f t="shared" si="28"/>
        <v>Unique</v>
      </c>
      <c r="K299" t="str">
        <f t="shared" si="29"/>
        <v>Hot</v>
      </c>
      <c r="L299" t="str">
        <f t="shared" si="30"/>
        <v>Low</v>
      </c>
      <c r="M299" t="str">
        <f t="shared" si="31"/>
        <v>Medium Wind</v>
      </c>
      <c r="N299" t="str">
        <f t="shared" si="32"/>
        <v>Low</v>
      </c>
      <c r="O299" t="str">
        <f t="shared" si="33"/>
        <v>Low</v>
      </c>
      <c r="P299" t="str">
        <f t="shared" si="34"/>
        <v>Low Demand</v>
      </c>
    </row>
    <row r="300" spans="1:16" ht="13.8">
      <c r="A300" s="13">
        <v>298</v>
      </c>
      <c r="B300" s="13">
        <v>299</v>
      </c>
      <c r="C300" s="13">
        <v>0.1212</v>
      </c>
      <c r="D300" s="13">
        <v>0.46</v>
      </c>
      <c r="E300" s="13">
        <v>0.29849999999999999</v>
      </c>
      <c r="F300" s="13">
        <v>0</v>
      </c>
      <c r="G300" s="13">
        <v>40</v>
      </c>
      <c r="H300" s="13">
        <v>40</v>
      </c>
      <c r="J300" t="str">
        <f t="shared" si="28"/>
        <v>Unique</v>
      </c>
      <c r="K300" t="str">
        <f t="shared" si="29"/>
        <v>Hot</v>
      </c>
      <c r="L300" t="str">
        <f t="shared" si="30"/>
        <v>Low</v>
      </c>
      <c r="M300" t="str">
        <f t="shared" si="31"/>
        <v>Medium Wind</v>
      </c>
      <c r="N300" t="str">
        <f t="shared" si="32"/>
        <v>Low</v>
      </c>
      <c r="O300" t="str">
        <f t="shared" si="33"/>
        <v>Low</v>
      </c>
      <c r="P300" t="str">
        <f t="shared" si="34"/>
        <v>Low Demand</v>
      </c>
    </row>
    <row r="301" spans="1:16" ht="13.8">
      <c r="A301" s="13">
        <v>299</v>
      </c>
      <c r="B301" s="13">
        <v>300</v>
      </c>
      <c r="C301" s="13">
        <v>0.1212</v>
      </c>
      <c r="D301" s="13">
        <v>0.46</v>
      </c>
      <c r="E301" s="13">
        <v>0.32840000000000003</v>
      </c>
      <c r="F301" s="13">
        <v>0</v>
      </c>
      <c r="G301" s="13">
        <v>30</v>
      </c>
      <c r="H301" s="13">
        <v>30</v>
      </c>
      <c r="J301" t="str">
        <f t="shared" si="28"/>
        <v>Unique</v>
      </c>
      <c r="K301" t="str">
        <f t="shared" si="29"/>
        <v>Hot</v>
      </c>
      <c r="L301" t="str">
        <f t="shared" si="30"/>
        <v>Low</v>
      </c>
      <c r="M301" t="str">
        <f t="shared" si="31"/>
        <v>Medium Wind</v>
      </c>
      <c r="N301" t="str">
        <f t="shared" si="32"/>
        <v>Low</v>
      </c>
      <c r="O301" t="str">
        <f t="shared" si="33"/>
        <v>Low</v>
      </c>
      <c r="P301" t="str">
        <f t="shared" si="34"/>
        <v>Low Demand</v>
      </c>
    </row>
    <row r="302" spans="1:16" ht="13.8">
      <c r="A302" s="13">
        <v>300</v>
      </c>
      <c r="B302" s="13">
        <v>301</v>
      </c>
      <c r="C302" s="13">
        <v>0.13639999999999999</v>
      </c>
      <c r="D302" s="13">
        <v>0.5</v>
      </c>
      <c r="E302" s="13">
        <v>0.19400000000000001</v>
      </c>
      <c r="F302" s="13">
        <v>1</v>
      </c>
      <c r="G302" s="13">
        <v>14</v>
      </c>
      <c r="H302" s="13">
        <v>15</v>
      </c>
      <c r="J302" t="str">
        <f t="shared" si="28"/>
        <v>Unique</v>
      </c>
      <c r="K302" t="str">
        <f t="shared" si="29"/>
        <v>Hot</v>
      </c>
      <c r="L302" t="str">
        <f t="shared" si="30"/>
        <v>Low</v>
      </c>
      <c r="M302" t="str">
        <f t="shared" si="31"/>
        <v>High Wind</v>
      </c>
      <c r="N302" t="str">
        <f t="shared" si="32"/>
        <v>Low</v>
      </c>
      <c r="O302" t="str">
        <f t="shared" si="33"/>
        <v>Low</v>
      </c>
      <c r="P302" t="str">
        <f t="shared" si="34"/>
        <v>Low Demand</v>
      </c>
    </row>
    <row r="303" spans="1:16" ht="13.8">
      <c r="A303" s="13">
        <v>301</v>
      </c>
      <c r="B303" s="13">
        <v>302</v>
      </c>
      <c r="C303" s="13">
        <v>0.13639999999999999</v>
      </c>
      <c r="D303" s="13">
        <v>0.5</v>
      </c>
      <c r="E303" s="13">
        <v>0.19400000000000001</v>
      </c>
      <c r="F303" s="13">
        <v>0</v>
      </c>
      <c r="G303" s="13">
        <v>14</v>
      </c>
      <c r="H303" s="13">
        <v>14</v>
      </c>
      <c r="J303" t="str">
        <f t="shared" si="28"/>
        <v>Unique</v>
      </c>
      <c r="K303" t="str">
        <f t="shared" si="29"/>
        <v>Hot</v>
      </c>
      <c r="L303" t="str">
        <f t="shared" si="30"/>
        <v>Low</v>
      </c>
      <c r="M303" t="str">
        <f t="shared" si="31"/>
        <v>High Wind</v>
      </c>
      <c r="N303" t="str">
        <f t="shared" si="32"/>
        <v>Low</v>
      </c>
      <c r="O303" t="str">
        <f t="shared" si="33"/>
        <v>Low</v>
      </c>
      <c r="P303" t="str">
        <f t="shared" si="34"/>
        <v>Low Demand</v>
      </c>
    </row>
    <row r="304" spans="1:16" ht="13.8">
      <c r="A304" s="13">
        <v>302</v>
      </c>
      <c r="B304" s="13">
        <v>303</v>
      </c>
      <c r="C304" s="13">
        <v>0.1212</v>
      </c>
      <c r="D304" s="13">
        <v>0.54</v>
      </c>
      <c r="E304" s="13">
        <v>0.16420000000000001</v>
      </c>
      <c r="F304" s="13">
        <v>0</v>
      </c>
      <c r="G304" s="13">
        <v>5</v>
      </c>
      <c r="H304" s="13">
        <v>5</v>
      </c>
      <c r="J304" t="str">
        <f t="shared" si="28"/>
        <v>Unique</v>
      </c>
      <c r="K304" t="str">
        <f t="shared" si="29"/>
        <v>Hot</v>
      </c>
      <c r="L304" t="str">
        <f t="shared" si="30"/>
        <v>Low</v>
      </c>
      <c r="M304" t="str">
        <f t="shared" si="31"/>
        <v>High Wind</v>
      </c>
      <c r="N304" t="str">
        <f t="shared" si="32"/>
        <v>Low</v>
      </c>
      <c r="O304" t="str">
        <f t="shared" si="33"/>
        <v>Low</v>
      </c>
      <c r="P304" t="str">
        <f t="shared" si="34"/>
        <v>Low Demand</v>
      </c>
    </row>
    <row r="305" spans="1:16" ht="13.8">
      <c r="A305" s="13">
        <v>303</v>
      </c>
      <c r="B305" s="13">
        <v>304</v>
      </c>
      <c r="C305" s="13">
        <v>0.1212</v>
      </c>
      <c r="D305" s="13">
        <v>0.54</v>
      </c>
      <c r="E305" s="13">
        <v>0.1343</v>
      </c>
      <c r="F305" s="13">
        <v>0</v>
      </c>
      <c r="G305" s="13">
        <v>1</v>
      </c>
      <c r="H305" s="13">
        <v>1</v>
      </c>
      <c r="J305" t="str">
        <f t="shared" si="28"/>
        <v>Unique</v>
      </c>
      <c r="K305" t="str">
        <f t="shared" si="29"/>
        <v>Hot</v>
      </c>
      <c r="L305" t="str">
        <f t="shared" si="30"/>
        <v>Low</v>
      </c>
      <c r="M305" t="str">
        <f t="shared" si="31"/>
        <v>High Wind</v>
      </c>
      <c r="N305" t="str">
        <f t="shared" si="32"/>
        <v>Low</v>
      </c>
      <c r="O305" t="str">
        <f t="shared" si="33"/>
        <v>Low</v>
      </c>
      <c r="P305" t="str">
        <f t="shared" si="34"/>
        <v>Low Demand</v>
      </c>
    </row>
    <row r="306" spans="1:16" ht="13.8">
      <c r="A306" s="13">
        <v>304</v>
      </c>
      <c r="B306" s="13">
        <v>305</v>
      </c>
      <c r="C306" s="13">
        <v>0.13639999999999999</v>
      </c>
      <c r="D306" s="13">
        <v>0.54</v>
      </c>
      <c r="E306" s="13">
        <v>0.1045</v>
      </c>
      <c r="F306" s="13">
        <v>0</v>
      </c>
      <c r="G306" s="13">
        <v>1</v>
      </c>
      <c r="H306" s="13">
        <v>1</v>
      </c>
      <c r="J306" t="str">
        <f t="shared" si="28"/>
        <v>Unique</v>
      </c>
      <c r="K306" t="str">
        <f t="shared" si="29"/>
        <v>Hot</v>
      </c>
      <c r="L306" t="str">
        <f t="shared" si="30"/>
        <v>Low</v>
      </c>
      <c r="M306" t="str">
        <f t="shared" si="31"/>
        <v>High Wind</v>
      </c>
      <c r="N306" t="str">
        <f t="shared" si="32"/>
        <v>Low</v>
      </c>
      <c r="O306" t="str">
        <f t="shared" si="33"/>
        <v>Low</v>
      </c>
      <c r="P306" t="str">
        <f t="shared" si="34"/>
        <v>Low Demand</v>
      </c>
    </row>
    <row r="307" spans="1:16" ht="13.8">
      <c r="A307" s="13">
        <v>305</v>
      </c>
      <c r="B307" s="13">
        <v>306</v>
      </c>
      <c r="C307" s="13">
        <v>0.13639999999999999</v>
      </c>
      <c r="D307" s="13">
        <v>0.54</v>
      </c>
      <c r="E307" s="13">
        <v>8.9599999999999999E-2</v>
      </c>
      <c r="F307" s="13">
        <v>0</v>
      </c>
      <c r="G307" s="13">
        <v>8</v>
      </c>
      <c r="H307" s="13">
        <v>8</v>
      </c>
      <c r="J307" t="str">
        <f t="shared" si="28"/>
        <v>Unique</v>
      </c>
      <c r="K307" t="str">
        <f t="shared" si="29"/>
        <v>Hot</v>
      </c>
      <c r="L307" t="str">
        <f t="shared" si="30"/>
        <v>Low</v>
      </c>
      <c r="M307" t="str">
        <f t="shared" si="31"/>
        <v>High Wind</v>
      </c>
      <c r="N307" t="str">
        <f t="shared" si="32"/>
        <v>Low</v>
      </c>
      <c r="O307" t="str">
        <f t="shared" si="33"/>
        <v>Low</v>
      </c>
      <c r="P307" t="str">
        <f t="shared" si="34"/>
        <v>Low Demand</v>
      </c>
    </row>
    <row r="308" spans="1:16" ht="13.8">
      <c r="A308" s="13">
        <v>306</v>
      </c>
      <c r="B308" s="13">
        <v>307</v>
      </c>
      <c r="C308" s="13">
        <v>0.18179999999999999</v>
      </c>
      <c r="D308" s="13">
        <v>0.54</v>
      </c>
      <c r="E308" s="13">
        <v>0</v>
      </c>
      <c r="F308" s="13">
        <v>0</v>
      </c>
      <c r="G308" s="13">
        <v>17</v>
      </c>
      <c r="H308" s="13">
        <v>17</v>
      </c>
      <c r="J308" t="str">
        <f t="shared" si="28"/>
        <v>Unique</v>
      </c>
      <c r="K308" t="str">
        <f t="shared" si="29"/>
        <v>Hot</v>
      </c>
      <c r="L308" t="str">
        <f t="shared" si="30"/>
        <v>Low</v>
      </c>
      <c r="M308" t="str">
        <f t="shared" si="31"/>
        <v>High Wind</v>
      </c>
      <c r="N308" t="str">
        <f t="shared" si="32"/>
        <v>Low</v>
      </c>
      <c r="O308" t="str">
        <f t="shared" si="33"/>
        <v>Low</v>
      </c>
      <c r="P308" t="str">
        <f t="shared" si="34"/>
        <v>Low Demand</v>
      </c>
    </row>
    <row r="309" spans="1:16" ht="13.8">
      <c r="A309" s="13">
        <v>307</v>
      </c>
      <c r="B309" s="13">
        <v>308</v>
      </c>
      <c r="C309" s="13">
        <v>0.1212</v>
      </c>
      <c r="D309" s="13">
        <v>0.74</v>
      </c>
      <c r="E309" s="13">
        <v>0.16420000000000001</v>
      </c>
      <c r="F309" s="13">
        <v>0</v>
      </c>
      <c r="G309" s="13">
        <v>70</v>
      </c>
      <c r="H309" s="13">
        <v>70</v>
      </c>
      <c r="J309" t="str">
        <f t="shared" si="28"/>
        <v>Unique</v>
      </c>
      <c r="K309" t="str">
        <f t="shared" si="29"/>
        <v>Hot</v>
      </c>
      <c r="L309" t="str">
        <f t="shared" si="30"/>
        <v>Low</v>
      </c>
      <c r="M309" t="str">
        <f t="shared" si="31"/>
        <v>High Wind</v>
      </c>
      <c r="N309" t="str">
        <f t="shared" si="32"/>
        <v>Low</v>
      </c>
      <c r="O309" t="str">
        <f t="shared" si="33"/>
        <v>Low</v>
      </c>
      <c r="P309" t="str">
        <f t="shared" si="34"/>
        <v>Low Demand</v>
      </c>
    </row>
    <row r="310" spans="1:16" ht="13.8">
      <c r="A310" s="13">
        <v>308</v>
      </c>
      <c r="B310" s="13">
        <v>309</v>
      </c>
      <c r="C310" s="13">
        <v>0.16669999999999999</v>
      </c>
      <c r="D310" s="13">
        <v>0.68</v>
      </c>
      <c r="E310" s="13">
        <v>0</v>
      </c>
      <c r="F310" s="13">
        <v>2</v>
      </c>
      <c r="G310" s="13">
        <v>156</v>
      </c>
      <c r="H310" s="13">
        <v>158</v>
      </c>
      <c r="J310" t="str">
        <f t="shared" si="28"/>
        <v>Unique</v>
      </c>
      <c r="K310" t="str">
        <f t="shared" si="29"/>
        <v>Hot</v>
      </c>
      <c r="L310" t="str">
        <f t="shared" si="30"/>
        <v>Low</v>
      </c>
      <c r="M310" t="str">
        <f t="shared" si="31"/>
        <v>High Wind</v>
      </c>
      <c r="N310" t="str">
        <f t="shared" si="32"/>
        <v>Low</v>
      </c>
      <c r="O310" t="str">
        <f t="shared" si="33"/>
        <v>Low</v>
      </c>
      <c r="P310" t="str">
        <f t="shared" si="34"/>
        <v>Medium Demand</v>
      </c>
    </row>
    <row r="311" spans="1:16" ht="13.8">
      <c r="A311" s="13">
        <v>309</v>
      </c>
      <c r="B311" s="13">
        <v>310</v>
      </c>
      <c r="C311" s="13">
        <v>0.1515</v>
      </c>
      <c r="D311" s="13">
        <v>0.69</v>
      </c>
      <c r="E311" s="13">
        <v>0.1343</v>
      </c>
      <c r="F311" s="13">
        <v>0</v>
      </c>
      <c r="G311" s="13">
        <v>117</v>
      </c>
      <c r="H311" s="13">
        <v>117</v>
      </c>
      <c r="J311" t="str">
        <f t="shared" si="28"/>
        <v>Unique</v>
      </c>
      <c r="K311" t="str">
        <f t="shared" si="29"/>
        <v>Hot</v>
      </c>
      <c r="L311" t="str">
        <f t="shared" si="30"/>
        <v>Low</v>
      </c>
      <c r="M311" t="str">
        <f t="shared" si="31"/>
        <v>High Wind</v>
      </c>
      <c r="N311" t="str">
        <f t="shared" si="32"/>
        <v>Low</v>
      </c>
      <c r="O311" t="str">
        <f t="shared" si="33"/>
        <v>Low</v>
      </c>
      <c r="P311" t="str">
        <f t="shared" si="34"/>
        <v>Medium Demand</v>
      </c>
    </row>
    <row r="312" spans="1:16" ht="13.8">
      <c r="A312" s="13">
        <v>310</v>
      </c>
      <c r="B312" s="13">
        <v>311</v>
      </c>
      <c r="C312" s="13">
        <v>0.18179999999999999</v>
      </c>
      <c r="D312" s="13">
        <v>0.55000000000000004</v>
      </c>
      <c r="E312" s="13">
        <v>0.19400000000000001</v>
      </c>
      <c r="F312" s="13">
        <v>4</v>
      </c>
      <c r="G312" s="13">
        <v>40</v>
      </c>
      <c r="H312" s="13">
        <v>44</v>
      </c>
      <c r="J312" t="str">
        <f t="shared" si="28"/>
        <v>Unique</v>
      </c>
      <c r="K312" t="str">
        <f t="shared" si="29"/>
        <v>Hot</v>
      </c>
      <c r="L312" t="str">
        <f t="shared" si="30"/>
        <v>Low</v>
      </c>
      <c r="M312" t="str">
        <f t="shared" si="31"/>
        <v>High Wind</v>
      </c>
      <c r="N312" t="str">
        <f t="shared" si="32"/>
        <v>Low</v>
      </c>
      <c r="O312" t="str">
        <f t="shared" si="33"/>
        <v>Low</v>
      </c>
      <c r="P312" t="str">
        <f t="shared" si="34"/>
        <v>Low Demand</v>
      </c>
    </row>
    <row r="313" spans="1:16" ht="13.8">
      <c r="A313" s="13">
        <v>311</v>
      </c>
      <c r="B313" s="13">
        <v>312</v>
      </c>
      <c r="C313" s="13">
        <v>0.16669999999999999</v>
      </c>
      <c r="D313" s="13">
        <v>0.51</v>
      </c>
      <c r="E313" s="13">
        <v>0.28360000000000002</v>
      </c>
      <c r="F313" s="13">
        <v>6</v>
      </c>
      <c r="G313" s="13">
        <v>47</v>
      </c>
      <c r="H313" s="13">
        <v>53</v>
      </c>
      <c r="J313" t="str">
        <f t="shared" si="28"/>
        <v>Unique</v>
      </c>
      <c r="K313" t="str">
        <f t="shared" si="29"/>
        <v>Hot</v>
      </c>
      <c r="L313" t="str">
        <f t="shared" si="30"/>
        <v>Low</v>
      </c>
      <c r="M313" t="str">
        <f t="shared" si="31"/>
        <v>High Wind</v>
      </c>
      <c r="N313" t="str">
        <f t="shared" si="32"/>
        <v>Low</v>
      </c>
      <c r="O313" t="str">
        <f t="shared" si="33"/>
        <v>Low</v>
      </c>
      <c r="P313" t="str">
        <f t="shared" si="34"/>
        <v>Low Demand</v>
      </c>
    </row>
    <row r="314" spans="1:16" ht="13.8">
      <c r="A314" s="13">
        <v>312</v>
      </c>
      <c r="B314" s="13">
        <v>313</v>
      </c>
      <c r="C314" s="13">
        <v>0.19700000000000001</v>
      </c>
      <c r="D314" s="13">
        <v>0.44</v>
      </c>
      <c r="E314" s="13">
        <v>0.25369999999999998</v>
      </c>
      <c r="F314" s="13">
        <v>2</v>
      </c>
      <c r="G314" s="13">
        <v>59</v>
      </c>
      <c r="H314" s="13">
        <v>61</v>
      </c>
      <c r="J314" t="str">
        <f t="shared" si="28"/>
        <v>Unique</v>
      </c>
      <c r="K314" t="str">
        <f t="shared" si="29"/>
        <v>Hot</v>
      </c>
      <c r="L314" t="str">
        <f t="shared" si="30"/>
        <v>Low</v>
      </c>
      <c r="M314" t="str">
        <f t="shared" si="31"/>
        <v>Medium Wind</v>
      </c>
      <c r="N314" t="str">
        <f t="shared" si="32"/>
        <v>Low</v>
      </c>
      <c r="O314" t="str">
        <f t="shared" si="33"/>
        <v>Low</v>
      </c>
      <c r="P314" t="str">
        <f t="shared" si="34"/>
        <v>Low Demand</v>
      </c>
    </row>
    <row r="315" spans="1:16" ht="13.8">
      <c r="A315" s="13">
        <v>313</v>
      </c>
      <c r="B315" s="13">
        <v>314</v>
      </c>
      <c r="C315" s="13">
        <v>0.19700000000000001</v>
      </c>
      <c r="D315" s="13">
        <v>0.37</v>
      </c>
      <c r="E315" s="13">
        <v>0.3881</v>
      </c>
      <c r="F315" s="13">
        <v>4</v>
      </c>
      <c r="G315" s="13">
        <v>73</v>
      </c>
      <c r="H315" s="13">
        <v>77</v>
      </c>
      <c r="J315" t="str">
        <f t="shared" si="28"/>
        <v>Unique</v>
      </c>
      <c r="K315" t="str">
        <f t="shared" si="29"/>
        <v>Hot</v>
      </c>
      <c r="L315" t="str">
        <f t="shared" si="30"/>
        <v>Low</v>
      </c>
      <c r="M315" t="str">
        <f t="shared" si="31"/>
        <v>Medium Wind</v>
      </c>
      <c r="N315" t="str">
        <f t="shared" si="32"/>
        <v>Low</v>
      </c>
      <c r="O315" t="str">
        <f t="shared" si="33"/>
        <v>Low</v>
      </c>
      <c r="P315" t="str">
        <f t="shared" si="34"/>
        <v>Low Demand</v>
      </c>
    </row>
    <row r="316" spans="1:16" ht="13.8">
      <c r="A316" s="13">
        <v>314</v>
      </c>
      <c r="B316" s="13">
        <v>315</v>
      </c>
      <c r="C316" s="13">
        <v>0.21210000000000001</v>
      </c>
      <c r="D316" s="13">
        <v>0.41</v>
      </c>
      <c r="E316" s="13">
        <v>0.28360000000000002</v>
      </c>
      <c r="F316" s="13">
        <v>5</v>
      </c>
      <c r="G316" s="13">
        <v>59</v>
      </c>
      <c r="H316" s="13">
        <v>64</v>
      </c>
      <c r="J316" t="str">
        <f t="shared" si="28"/>
        <v>Unique</v>
      </c>
      <c r="K316" t="str">
        <f t="shared" si="29"/>
        <v>Hot</v>
      </c>
      <c r="L316" t="str">
        <f t="shared" si="30"/>
        <v>Low</v>
      </c>
      <c r="M316" t="str">
        <f t="shared" si="31"/>
        <v>Medium Wind</v>
      </c>
      <c r="N316" t="str">
        <f t="shared" si="32"/>
        <v>Low</v>
      </c>
      <c r="O316" t="str">
        <f t="shared" si="33"/>
        <v>Low</v>
      </c>
      <c r="P316" t="str">
        <f t="shared" si="34"/>
        <v>Low Demand</v>
      </c>
    </row>
    <row r="317" spans="1:16" ht="13.8">
      <c r="A317" s="13">
        <v>315</v>
      </c>
      <c r="B317" s="13">
        <v>316</v>
      </c>
      <c r="C317" s="13">
        <v>0.2424</v>
      </c>
      <c r="D317" s="13">
        <v>0.38</v>
      </c>
      <c r="E317" s="13">
        <v>0.16420000000000001</v>
      </c>
      <c r="F317" s="13">
        <v>9</v>
      </c>
      <c r="G317" s="13">
        <v>59</v>
      </c>
      <c r="H317" s="13">
        <v>68</v>
      </c>
      <c r="J317" t="str">
        <f t="shared" si="28"/>
        <v>Unique</v>
      </c>
      <c r="K317" t="str">
        <f t="shared" si="29"/>
        <v>Hot</v>
      </c>
      <c r="L317" t="str">
        <f t="shared" si="30"/>
        <v>Low</v>
      </c>
      <c r="M317" t="str">
        <f t="shared" si="31"/>
        <v>Medium Wind</v>
      </c>
      <c r="N317" t="str">
        <f t="shared" si="32"/>
        <v>Low</v>
      </c>
      <c r="O317" t="str">
        <f t="shared" si="33"/>
        <v>Low</v>
      </c>
      <c r="P317" t="str">
        <f t="shared" si="34"/>
        <v>Low Demand</v>
      </c>
    </row>
    <row r="318" spans="1:16" ht="13.8">
      <c r="A318" s="13">
        <v>316</v>
      </c>
      <c r="B318" s="13">
        <v>317</v>
      </c>
      <c r="C318" s="13">
        <v>0.2424</v>
      </c>
      <c r="D318" s="13">
        <v>0.41</v>
      </c>
      <c r="E318" s="13">
        <v>0.1045</v>
      </c>
      <c r="F318" s="13">
        <v>3</v>
      </c>
      <c r="G318" s="13">
        <v>87</v>
      </c>
      <c r="H318" s="13">
        <v>90</v>
      </c>
      <c r="J318" t="str">
        <f t="shared" si="28"/>
        <v>Unique</v>
      </c>
      <c r="K318" t="str">
        <f t="shared" si="29"/>
        <v>Hot</v>
      </c>
      <c r="L318" t="str">
        <f t="shared" si="30"/>
        <v>Low</v>
      </c>
      <c r="M318" t="str">
        <f t="shared" si="31"/>
        <v>Medium Wind</v>
      </c>
      <c r="N318" t="str">
        <f t="shared" si="32"/>
        <v>Low</v>
      </c>
      <c r="O318" t="str">
        <f t="shared" si="33"/>
        <v>Low</v>
      </c>
      <c r="P318" t="str">
        <f t="shared" si="34"/>
        <v>Low Demand</v>
      </c>
    </row>
    <row r="319" spans="1:16" ht="13.8">
      <c r="A319" s="13">
        <v>317</v>
      </c>
      <c r="B319" s="13">
        <v>318</v>
      </c>
      <c r="C319" s="13">
        <v>0.2273</v>
      </c>
      <c r="D319" s="13">
        <v>0.41</v>
      </c>
      <c r="E319" s="13">
        <v>0.16420000000000001</v>
      </c>
      <c r="F319" s="13">
        <v>4</v>
      </c>
      <c r="G319" s="13">
        <v>155</v>
      </c>
      <c r="H319" s="13">
        <v>159</v>
      </c>
      <c r="J319" t="str">
        <f t="shared" si="28"/>
        <v>Unique</v>
      </c>
      <c r="K319" t="str">
        <f t="shared" si="29"/>
        <v>Hot</v>
      </c>
      <c r="L319" t="str">
        <f t="shared" si="30"/>
        <v>Low</v>
      </c>
      <c r="M319" t="str">
        <f t="shared" si="31"/>
        <v>Medium Wind</v>
      </c>
      <c r="N319" t="str">
        <f t="shared" si="32"/>
        <v>Low</v>
      </c>
      <c r="O319" t="str">
        <f t="shared" si="33"/>
        <v>Low</v>
      </c>
      <c r="P319" t="str">
        <f t="shared" si="34"/>
        <v>Medium Demand</v>
      </c>
    </row>
    <row r="320" spans="1:16" ht="13.8">
      <c r="A320" s="13">
        <v>318</v>
      </c>
      <c r="B320" s="13">
        <v>319</v>
      </c>
      <c r="C320" s="13">
        <v>0.2576</v>
      </c>
      <c r="D320" s="13">
        <v>0.47</v>
      </c>
      <c r="E320" s="13">
        <v>0</v>
      </c>
      <c r="F320" s="13">
        <v>5</v>
      </c>
      <c r="G320" s="13">
        <v>134</v>
      </c>
      <c r="H320" s="13">
        <v>139</v>
      </c>
      <c r="J320" t="str">
        <f t="shared" si="28"/>
        <v>Unique</v>
      </c>
      <c r="K320" t="str">
        <f t="shared" si="29"/>
        <v>Hot</v>
      </c>
      <c r="L320" t="str">
        <f t="shared" si="30"/>
        <v>Low</v>
      </c>
      <c r="M320" t="str">
        <f t="shared" si="31"/>
        <v>Medium Wind</v>
      </c>
      <c r="N320" t="str">
        <f t="shared" si="32"/>
        <v>Low</v>
      </c>
      <c r="O320" t="str">
        <f t="shared" si="33"/>
        <v>Low</v>
      </c>
      <c r="P320" t="str">
        <f t="shared" si="34"/>
        <v>Medium Demand</v>
      </c>
    </row>
    <row r="321" spans="1:16" ht="13.8">
      <c r="A321" s="13">
        <v>319</v>
      </c>
      <c r="B321" s="13">
        <v>320</v>
      </c>
      <c r="C321" s="13">
        <v>0.19700000000000001</v>
      </c>
      <c r="D321" s="13">
        <v>0.59</v>
      </c>
      <c r="E321" s="13">
        <v>8.9599999999999999E-2</v>
      </c>
      <c r="F321" s="13">
        <v>3</v>
      </c>
      <c r="G321" s="13">
        <v>89</v>
      </c>
      <c r="H321" s="13">
        <v>92</v>
      </c>
      <c r="J321" t="str">
        <f t="shared" si="28"/>
        <v>Unique</v>
      </c>
      <c r="K321" t="str">
        <f t="shared" si="29"/>
        <v>Hot</v>
      </c>
      <c r="L321" t="str">
        <f t="shared" si="30"/>
        <v>Low</v>
      </c>
      <c r="M321" t="str">
        <f t="shared" si="31"/>
        <v>High Wind</v>
      </c>
      <c r="N321" t="str">
        <f t="shared" si="32"/>
        <v>Low</v>
      </c>
      <c r="O321" t="str">
        <f t="shared" si="33"/>
        <v>Low</v>
      </c>
      <c r="P321" t="str">
        <f t="shared" si="34"/>
        <v>Low Demand</v>
      </c>
    </row>
    <row r="322" spans="1:16" ht="13.8">
      <c r="A322" s="13">
        <v>320</v>
      </c>
      <c r="B322" s="13">
        <v>321</v>
      </c>
      <c r="C322" s="13">
        <v>0.2424</v>
      </c>
      <c r="D322" s="13">
        <v>0.59</v>
      </c>
      <c r="E322" s="13">
        <v>0</v>
      </c>
      <c r="F322" s="13">
        <v>0</v>
      </c>
      <c r="G322" s="13">
        <v>68</v>
      </c>
      <c r="H322" s="13">
        <v>68</v>
      </c>
      <c r="J322" t="str">
        <f t="shared" si="28"/>
        <v>Unique</v>
      </c>
      <c r="K322" t="str">
        <f t="shared" si="29"/>
        <v>Hot</v>
      </c>
      <c r="L322" t="str">
        <f t="shared" si="30"/>
        <v>Low</v>
      </c>
      <c r="M322" t="str">
        <f t="shared" si="31"/>
        <v>High Wind</v>
      </c>
      <c r="N322" t="str">
        <f t="shared" si="32"/>
        <v>Low</v>
      </c>
      <c r="O322" t="str">
        <f t="shared" si="33"/>
        <v>Low</v>
      </c>
      <c r="P322" t="str">
        <f t="shared" si="34"/>
        <v>Low Demand</v>
      </c>
    </row>
    <row r="323" spans="1:16" ht="13.8">
      <c r="A323" s="13">
        <v>321</v>
      </c>
      <c r="B323" s="13">
        <v>322</v>
      </c>
      <c r="C323" s="13">
        <v>0.2273</v>
      </c>
      <c r="D323" s="13">
        <v>0.69</v>
      </c>
      <c r="E323" s="13">
        <v>0</v>
      </c>
      <c r="F323" s="13">
        <v>4</v>
      </c>
      <c r="G323" s="13">
        <v>48</v>
      </c>
      <c r="H323" s="13">
        <v>52</v>
      </c>
      <c r="J323" t="str">
        <f t="shared" ref="J323:J386" si="35">IF(COUNTIF(A:A,A323)&gt;1,"Duplicate","Unique")</f>
        <v>Unique</v>
      </c>
      <c r="K323" t="str">
        <f t="shared" ref="K323:K386" si="36">IF(B323&lt;0.3,"Cold",IF(B323&lt;0.6,"Normal","Hot"))</f>
        <v>Hot</v>
      </c>
      <c r="L323" t="str">
        <f t="shared" ref="L323:L386" si="37">IF(C323&lt;0.4,"Low",IF(C323&lt;0.7,"Medium","High"))</f>
        <v>Low</v>
      </c>
      <c r="M323" t="str">
        <f t="shared" ref="M323:M386" si="38">IF(D323&lt;0.2,"Low Wind",IF(D323&lt;0.5,"Medium Wind","High Wind"))</f>
        <v>High Wind</v>
      </c>
      <c r="N323" t="str">
        <f t="shared" ref="N323:N386" si="39">IF(E323&lt;50,"Low",IF(E323&lt;150,"Medium","High"))</f>
        <v>Low</v>
      </c>
      <c r="O323" t="str">
        <f t="shared" ref="O323:O386" si="40">IF(F323&lt;100,"Low",IF(F323&lt;300,"Medium","High"))</f>
        <v>Low</v>
      </c>
      <c r="P323" t="str">
        <f t="shared" ref="P323:P386" si="41">IF(G323&lt;100,"Low Demand",IF(G323&lt;300,"Medium Demand","High Demand"))</f>
        <v>Low Demand</v>
      </c>
    </row>
    <row r="324" spans="1:16" ht="13.8">
      <c r="A324" s="13">
        <v>322</v>
      </c>
      <c r="B324" s="13">
        <v>323</v>
      </c>
      <c r="C324" s="13">
        <v>0.2273</v>
      </c>
      <c r="D324" s="13">
        <v>0.69</v>
      </c>
      <c r="E324" s="13">
        <v>0</v>
      </c>
      <c r="F324" s="13">
        <v>2</v>
      </c>
      <c r="G324" s="13">
        <v>34</v>
      </c>
      <c r="H324" s="13">
        <v>36</v>
      </c>
      <c r="J324" t="str">
        <f t="shared" si="35"/>
        <v>Unique</v>
      </c>
      <c r="K324" t="str">
        <f t="shared" si="36"/>
        <v>Hot</v>
      </c>
      <c r="L324" t="str">
        <f t="shared" si="37"/>
        <v>Low</v>
      </c>
      <c r="M324" t="str">
        <f t="shared" si="38"/>
        <v>High Wind</v>
      </c>
      <c r="N324" t="str">
        <f t="shared" si="39"/>
        <v>Low</v>
      </c>
      <c r="O324" t="str">
        <f t="shared" si="40"/>
        <v>Low</v>
      </c>
      <c r="P324" t="str">
        <f t="shared" si="41"/>
        <v>Low Demand</v>
      </c>
    </row>
    <row r="325" spans="1:16" ht="13.8">
      <c r="A325" s="13">
        <v>323</v>
      </c>
      <c r="B325" s="13">
        <v>324</v>
      </c>
      <c r="C325" s="13">
        <v>0.2424</v>
      </c>
      <c r="D325" s="13">
        <v>0.55000000000000004</v>
      </c>
      <c r="E325" s="13">
        <v>0</v>
      </c>
      <c r="F325" s="13">
        <v>1</v>
      </c>
      <c r="G325" s="13">
        <v>26</v>
      </c>
      <c r="H325" s="13">
        <v>27</v>
      </c>
      <c r="J325" t="str">
        <f t="shared" si="35"/>
        <v>Unique</v>
      </c>
      <c r="K325" t="str">
        <f t="shared" si="36"/>
        <v>Hot</v>
      </c>
      <c r="L325" t="str">
        <f t="shared" si="37"/>
        <v>Low</v>
      </c>
      <c r="M325" t="str">
        <f t="shared" si="38"/>
        <v>High Wind</v>
      </c>
      <c r="N325" t="str">
        <f t="shared" si="39"/>
        <v>Low</v>
      </c>
      <c r="O325" t="str">
        <f t="shared" si="40"/>
        <v>Low</v>
      </c>
      <c r="P325" t="str">
        <f t="shared" si="41"/>
        <v>Low Demand</v>
      </c>
    </row>
    <row r="326" spans="1:16" ht="13.8">
      <c r="A326" s="13">
        <v>324</v>
      </c>
      <c r="B326" s="13">
        <v>325</v>
      </c>
      <c r="C326" s="13">
        <v>0.2424</v>
      </c>
      <c r="D326" s="13">
        <v>0.55000000000000004</v>
      </c>
      <c r="E326" s="13">
        <v>0</v>
      </c>
      <c r="F326" s="13">
        <v>3</v>
      </c>
      <c r="G326" s="13">
        <v>25</v>
      </c>
      <c r="H326" s="13">
        <v>28</v>
      </c>
      <c r="J326" t="str">
        <f t="shared" si="35"/>
        <v>Unique</v>
      </c>
      <c r="K326" t="str">
        <f t="shared" si="36"/>
        <v>Hot</v>
      </c>
      <c r="L326" t="str">
        <f t="shared" si="37"/>
        <v>Low</v>
      </c>
      <c r="M326" t="str">
        <f t="shared" si="38"/>
        <v>High Wind</v>
      </c>
      <c r="N326" t="str">
        <f t="shared" si="39"/>
        <v>Low</v>
      </c>
      <c r="O326" t="str">
        <f t="shared" si="40"/>
        <v>Low</v>
      </c>
      <c r="P326" t="str">
        <f t="shared" si="41"/>
        <v>Low Demand</v>
      </c>
    </row>
    <row r="327" spans="1:16" ht="13.8">
      <c r="A327" s="13">
        <v>325</v>
      </c>
      <c r="B327" s="13">
        <v>326</v>
      </c>
      <c r="C327" s="13">
        <v>0.19700000000000001</v>
      </c>
      <c r="D327" s="13">
        <v>0.59</v>
      </c>
      <c r="E327" s="13">
        <v>8.9599999999999999E-2</v>
      </c>
      <c r="F327" s="13">
        <v>2</v>
      </c>
      <c r="G327" s="13">
        <v>18</v>
      </c>
      <c r="H327" s="13">
        <v>20</v>
      </c>
      <c r="J327" t="str">
        <f t="shared" si="35"/>
        <v>Unique</v>
      </c>
      <c r="K327" t="str">
        <f t="shared" si="36"/>
        <v>Hot</v>
      </c>
      <c r="L327" t="str">
        <f t="shared" si="37"/>
        <v>Low</v>
      </c>
      <c r="M327" t="str">
        <f t="shared" si="38"/>
        <v>High Wind</v>
      </c>
      <c r="N327" t="str">
        <f t="shared" si="39"/>
        <v>Low</v>
      </c>
      <c r="O327" t="str">
        <f t="shared" si="40"/>
        <v>Low</v>
      </c>
      <c r="P327" t="str">
        <f t="shared" si="41"/>
        <v>Low Demand</v>
      </c>
    </row>
    <row r="328" spans="1:16" ht="13.8">
      <c r="A328" s="13">
        <v>326</v>
      </c>
      <c r="B328" s="13">
        <v>327</v>
      </c>
      <c r="C328" s="13">
        <v>0.19700000000000001</v>
      </c>
      <c r="D328" s="13">
        <v>0.59</v>
      </c>
      <c r="E328" s="13">
        <v>8.9599999999999999E-2</v>
      </c>
      <c r="F328" s="13">
        <v>0</v>
      </c>
      <c r="G328" s="13">
        <v>12</v>
      </c>
      <c r="H328" s="13">
        <v>12</v>
      </c>
      <c r="J328" t="str">
        <f t="shared" si="35"/>
        <v>Unique</v>
      </c>
      <c r="K328" t="str">
        <f t="shared" si="36"/>
        <v>Hot</v>
      </c>
      <c r="L328" t="str">
        <f t="shared" si="37"/>
        <v>Low</v>
      </c>
      <c r="M328" t="str">
        <f t="shared" si="38"/>
        <v>High Wind</v>
      </c>
      <c r="N328" t="str">
        <f t="shared" si="39"/>
        <v>Low</v>
      </c>
      <c r="O328" t="str">
        <f t="shared" si="40"/>
        <v>Low</v>
      </c>
      <c r="P328" t="str">
        <f t="shared" si="41"/>
        <v>Low Demand</v>
      </c>
    </row>
    <row r="329" spans="1:16" ht="13.8">
      <c r="A329" s="13">
        <v>327</v>
      </c>
      <c r="B329" s="13">
        <v>328</v>
      </c>
      <c r="C329" s="13">
        <v>0.2273</v>
      </c>
      <c r="D329" s="13">
        <v>0.59</v>
      </c>
      <c r="E329" s="13">
        <v>0</v>
      </c>
      <c r="F329" s="13">
        <v>1</v>
      </c>
      <c r="G329" s="13">
        <v>7</v>
      </c>
      <c r="H329" s="13">
        <v>8</v>
      </c>
      <c r="J329" t="str">
        <f t="shared" si="35"/>
        <v>Unique</v>
      </c>
      <c r="K329" t="str">
        <f t="shared" si="36"/>
        <v>Hot</v>
      </c>
      <c r="L329" t="str">
        <f t="shared" si="37"/>
        <v>Low</v>
      </c>
      <c r="M329" t="str">
        <f t="shared" si="38"/>
        <v>High Wind</v>
      </c>
      <c r="N329" t="str">
        <f t="shared" si="39"/>
        <v>Low</v>
      </c>
      <c r="O329" t="str">
        <f t="shared" si="40"/>
        <v>Low</v>
      </c>
      <c r="P329" t="str">
        <f t="shared" si="41"/>
        <v>Low Demand</v>
      </c>
    </row>
    <row r="330" spans="1:16" ht="13.8">
      <c r="A330" s="13">
        <v>328</v>
      </c>
      <c r="B330" s="13">
        <v>329</v>
      </c>
      <c r="C330" s="13">
        <v>0.2273</v>
      </c>
      <c r="D330" s="13">
        <v>0.59</v>
      </c>
      <c r="E330" s="13">
        <v>0</v>
      </c>
      <c r="F330" s="13">
        <v>0</v>
      </c>
      <c r="G330" s="13">
        <v>5</v>
      </c>
      <c r="H330" s="13">
        <v>5</v>
      </c>
      <c r="J330" t="str">
        <f t="shared" si="35"/>
        <v>Unique</v>
      </c>
      <c r="K330" t="str">
        <f t="shared" si="36"/>
        <v>Hot</v>
      </c>
      <c r="L330" t="str">
        <f t="shared" si="37"/>
        <v>Low</v>
      </c>
      <c r="M330" t="str">
        <f t="shared" si="38"/>
        <v>High Wind</v>
      </c>
      <c r="N330" t="str">
        <f t="shared" si="39"/>
        <v>Low</v>
      </c>
      <c r="O330" t="str">
        <f t="shared" si="40"/>
        <v>Low</v>
      </c>
      <c r="P330" t="str">
        <f t="shared" si="41"/>
        <v>Low Demand</v>
      </c>
    </row>
    <row r="331" spans="1:16" ht="13.8">
      <c r="A331" s="13">
        <v>329</v>
      </c>
      <c r="B331" s="13">
        <v>330</v>
      </c>
      <c r="C331" s="13">
        <v>0.2273</v>
      </c>
      <c r="D331" s="13">
        <v>0.59</v>
      </c>
      <c r="E331" s="13">
        <v>0</v>
      </c>
      <c r="F331" s="13">
        <v>0</v>
      </c>
      <c r="G331" s="13">
        <v>1</v>
      </c>
      <c r="H331" s="13">
        <v>1</v>
      </c>
      <c r="J331" t="str">
        <f t="shared" si="35"/>
        <v>Unique</v>
      </c>
      <c r="K331" t="str">
        <f t="shared" si="36"/>
        <v>Hot</v>
      </c>
      <c r="L331" t="str">
        <f t="shared" si="37"/>
        <v>Low</v>
      </c>
      <c r="M331" t="str">
        <f t="shared" si="38"/>
        <v>High Wind</v>
      </c>
      <c r="N331" t="str">
        <f t="shared" si="39"/>
        <v>Low</v>
      </c>
      <c r="O331" t="str">
        <f t="shared" si="40"/>
        <v>Low</v>
      </c>
      <c r="P331" t="str">
        <f t="shared" si="41"/>
        <v>Low Demand</v>
      </c>
    </row>
    <row r="332" spans="1:16" ht="13.8">
      <c r="A332" s="13">
        <v>330</v>
      </c>
      <c r="B332" s="13">
        <v>331</v>
      </c>
      <c r="C332" s="13">
        <v>0.16669999999999999</v>
      </c>
      <c r="D332" s="13">
        <v>0.63</v>
      </c>
      <c r="E332" s="13">
        <v>0.1045</v>
      </c>
      <c r="F332" s="13">
        <v>1</v>
      </c>
      <c r="G332" s="13">
        <v>2</v>
      </c>
      <c r="H332" s="13">
        <v>3</v>
      </c>
      <c r="J332" t="str">
        <f t="shared" si="35"/>
        <v>Unique</v>
      </c>
      <c r="K332" t="str">
        <f t="shared" si="36"/>
        <v>Hot</v>
      </c>
      <c r="L332" t="str">
        <f t="shared" si="37"/>
        <v>Low</v>
      </c>
      <c r="M332" t="str">
        <f t="shared" si="38"/>
        <v>High Wind</v>
      </c>
      <c r="N332" t="str">
        <f t="shared" si="39"/>
        <v>Low</v>
      </c>
      <c r="O332" t="str">
        <f t="shared" si="40"/>
        <v>Low</v>
      </c>
      <c r="P332" t="str">
        <f t="shared" si="41"/>
        <v>Low Demand</v>
      </c>
    </row>
    <row r="333" spans="1:16" ht="13.8">
      <c r="A333" s="13">
        <v>331</v>
      </c>
      <c r="B333" s="13">
        <v>332</v>
      </c>
      <c r="C333" s="13">
        <v>0.21210000000000001</v>
      </c>
      <c r="D333" s="13">
        <v>0.63</v>
      </c>
      <c r="E333" s="13">
        <v>0</v>
      </c>
      <c r="F333" s="13">
        <v>1</v>
      </c>
      <c r="G333" s="13">
        <v>9</v>
      </c>
      <c r="H333" s="13">
        <v>10</v>
      </c>
      <c r="J333" t="str">
        <f t="shared" si="35"/>
        <v>Unique</v>
      </c>
      <c r="K333" t="str">
        <f t="shared" si="36"/>
        <v>Hot</v>
      </c>
      <c r="L333" t="str">
        <f t="shared" si="37"/>
        <v>Low</v>
      </c>
      <c r="M333" t="str">
        <f t="shared" si="38"/>
        <v>High Wind</v>
      </c>
      <c r="N333" t="str">
        <f t="shared" si="39"/>
        <v>Low</v>
      </c>
      <c r="O333" t="str">
        <f t="shared" si="40"/>
        <v>Low</v>
      </c>
      <c r="P333" t="str">
        <f t="shared" si="41"/>
        <v>Low Demand</v>
      </c>
    </row>
    <row r="334" spans="1:16" ht="13.8">
      <c r="A334" s="13">
        <v>332</v>
      </c>
      <c r="B334" s="13">
        <v>333</v>
      </c>
      <c r="C334" s="13">
        <v>0.1515</v>
      </c>
      <c r="D334" s="13">
        <v>0.63</v>
      </c>
      <c r="E334" s="13">
        <v>0.1343</v>
      </c>
      <c r="F334" s="13">
        <v>1</v>
      </c>
      <c r="G334" s="13">
        <v>22</v>
      </c>
      <c r="H334" s="13">
        <v>23</v>
      </c>
      <c r="J334" t="str">
        <f t="shared" si="35"/>
        <v>Unique</v>
      </c>
      <c r="K334" t="str">
        <f t="shared" si="36"/>
        <v>Hot</v>
      </c>
      <c r="L334" t="str">
        <f t="shared" si="37"/>
        <v>Low</v>
      </c>
      <c r="M334" t="str">
        <f t="shared" si="38"/>
        <v>High Wind</v>
      </c>
      <c r="N334" t="str">
        <f t="shared" si="39"/>
        <v>Low</v>
      </c>
      <c r="O334" t="str">
        <f t="shared" si="40"/>
        <v>Low</v>
      </c>
      <c r="P334" t="str">
        <f t="shared" si="41"/>
        <v>Low Demand</v>
      </c>
    </row>
    <row r="335" spans="1:16" ht="13.8">
      <c r="A335" s="13">
        <v>333</v>
      </c>
      <c r="B335" s="13">
        <v>334</v>
      </c>
      <c r="C335" s="13">
        <v>0.18179999999999999</v>
      </c>
      <c r="D335" s="13">
        <v>0.64</v>
      </c>
      <c r="E335" s="13">
        <v>0.1343</v>
      </c>
      <c r="F335" s="13">
        <v>2</v>
      </c>
      <c r="G335" s="13">
        <v>31</v>
      </c>
      <c r="H335" s="13">
        <v>33</v>
      </c>
      <c r="J335" t="str">
        <f t="shared" si="35"/>
        <v>Unique</v>
      </c>
      <c r="K335" t="str">
        <f t="shared" si="36"/>
        <v>Hot</v>
      </c>
      <c r="L335" t="str">
        <f t="shared" si="37"/>
        <v>Low</v>
      </c>
      <c r="M335" t="str">
        <f t="shared" si="38"/>
        <v>High Wind</v>
      </c>
      <c r="N335" t="str">
        <f t="shared" si="39"/>
        <v>Low</v>
      </c>
      <c r="O335" t="str">
        <f t="shared" si="40"/>
        <v>Low</v>
      </c>
      <c r="P335" t="str">
        <f t="shared" si="41"/>
        <v>Low Demand</v>
      </c>
    </row>
    <row r="336" spans="1:16" ht="13.8">
      <c r="A336" s="13">
        <v>334</v>
      </c>
      <c r="B336" s="13">
        <v>335</v>
      </c>
      <c r="C336" s="13">
        <v>0.19700000000000001</v>
      </c>
      <c r="D336" s="13">
        <v>0.59</v>
      </c>
      <c r="E336" s="13">
        <v>0.16420000000000001</v>
      </c>
      <c r="F336" s="13">
        <v>2</v>
      </c>
      <c r="G336" s="13">
        <v>57</v>
      </c>
      <c r="H336" s="13">
        <v>59</v>
      </c>
      <c r="J336" t="str">
        <f t="shared" si="35"/>
        <v>Unique</v>
      </c>
      <c r="K336" t="str">
        <f t="shared" si="36"/>
        <v>Hot</v>
      </c>
      <c r="L336" t="str">
        <f t="shared" si="37"/>
        <v>Low</v>
      </c>
      <c r="M336" t="str">
        <f t="shared" si="38"/>
        <v>High Wind</v>
      </c>
      <c r="N336" t="str">
        <f t="shared" si="39"/>
        <v>Low</v>
      </c>
      <c r="O336" t="str">
        <f t="shared" si="40"/>
        <v>Low</v>
      </c>
      <c r="P336" t="str">
        <f t="shared" si="41"/>
        <v>Low Demand</v>
      </c>
    </row>
    <row r="337" spans="1:16" ht="13.8">
      <c r="A337" s="13">
        <v>335</v>
      </c>
      <c r="B337" s="13">
        <v>336</v>
      </c>
      <c r="C337" s="13">
        <v>0.19700000000000001</v>
      </c>
      <c r="D337" s="13">
        <v>0.55000000000000004</v>
      </c>
      <c r="E337" s="13">
        <v>0.22389999999999999</v>
      </c>
      <c r="F337" s="13">
        <v>18</v>
      </c>
      <c r="G337" s="13">
        <v>54</v>
      </c>
      <c r="H337" s="13">
        <v>72</v>
      </c>
      <c r="J337" t="str">
        <f t="shared" si="35"/>
        <v>Unique</v>
      </c>
      <c r="K337" t="str">
        <f t="shared" si="36"/>
        <v>Hot</v>
      </c>
      <c r="L337" t="str">
        <f t="shared" si="37"/>
        <v>Low</v>
      </c>
      <c r="M337" t="str">
        <f t="shared" si="38"/>
        <v>High Wind</v>
      </c>
      <c r="N337" t="str">
        <f t="shared" si="39"/>
        <v>Low</v>
      </c>
      <c r="O337" t="str">
        <f t="shared" si="40"/>
        <v>Low</v>
      </c>
      <c r="P337" t="str">
        <f t="shared" si="41"/>
        <v>Low Demand</v>
      </c>
    </row>
    <row r="338" spans="1:16" ht="13.8">
      <c r="A338" s="13">
        <v>336</v>
      </c>
      <c r="B338" s="13">
        <v>337</v>
      </c>
      <c r="C338" s="13">
        <v>0.2273</v>
      </c>
      <c r="D338" s="13">
        <v>0.48</v>
      </c>
      <c r="E338" s="13">
        <v>0.22389999999999999</v>
      </c>
      <c r="F338" s="13">
        <v>15</v>
      </c>
      <c r="G338" s="13">
        <v>74</v>
      </c>
      <c r="H338" s="13">
        <v>89</v>
      </c>
      <c r="J338" t="str">
        <f t="shared" si="35"/>
        <v>Unique</v>
      </c>
      <c r="K338" t="str">
        <f t="shared" si="36"/>
        <v>Hot</v>
      </c>
      <c r="L338" t="str">
        <f t="shared" si="37"/>
        <v>Low</v>
      </c>
      <c r="M338" t="str">
        <f t="shared" si="38"/>
        <v>Medium Wind</v>
      </c>
      <c r="N338" t="str">
        <f t="shared" si="39"/>
        <v>Low</v>
      </c>
      <c r="O338" t="str">
        <f t="shared" si="40"/>
        <v>Low</v>
      </c>
      <c r="P338" t="str">
        <f t="shared" si="41"/>
        <v>Low Demand</v>
      </c>
    </row>
    <row r="339" spans="1:16" ht="13.8">
      <c r="A339" s="13">
        <v>337</v>
      </c>
      <c r="B339" s="13">
        <v>338</v>
      </c>
      <c r="C339" s="13">
        <v>0.2576</v>
      </c>
      <c r="D339" s="13">
        <v>0.38</v>
      </c>
      <c r="E339" s="13">
        <v>0.29849999999999999</v>
      </c>
      <c r="F339" s="13">
        <v>21</v>
      </c>
      <c r="G339" s="13">
        <v>80</v>
      </c>
      <c r="H339" s="13">
        <v>101</v>
      </c>
      <c r="J339" t="str">
        <f t="shared" si="35"/>
        <v>Unique</v>
      </c>
      <c r="K339" t="str">
        <f t="shared" si="36"/>
        <v>Hot</v>
      </c>
      <c r="L339" t="str">
        <f t="shared" si="37"/>
        <v>Low</v>
      </c>
      <c r="M339" t="str">
        <f t="shared" si="38"/>
        <v>Medium Wind</v>
      </c>
      <c r="N339" t="str">
        <f t="shared" si="39"/>
        <v>Low</v>
      </c>
      <c r="O339" t="str">
        <f t="shared" si="40"/>
        <v>Low</v>
      </c>
      <c r="P339" t="str">
        <f t="shared" si="41"/>
        <v>Low Demand</v>
      </c>
    </row>
    <row r="340" spans="1:16" ht="13.8">
      <c r="A340" s="13">
        <v>338</v>
      </c>
      <c r="B340" s="13">
        <v>339</v>
      </c>
      <c r="C340" s="13">
        <v>0.28789999999999999</v>
      </c>
      <c r="D340" s="13">
        <v>0.39</v>
      </c>
      <c r="E340" s="13">
        <v>0.28360000000000002</v>
      </c>
      <c r="F340" s="13">
        <v>26</v>
      </c>
      <c r="G340" s="13">
        <v>92</v>
      </c>
      <c r="H340" s="13">
        <v>118</v>
      </c>
      <c r="J340" t="str">
        <f t="shared" si="35"/>
        <v>Unique</v>
      </c>
      <c r="K340" t="str">
        <f t="shared" si="36"/>
        <v>Hot</v>
      </c>
      <c r="L340" t="str">
        <f t="shared" si="37"/>
        <v>Low</v>
      </c>
      <c r="M340" t="str">
        <f t="shared" si="38"/>
        <v>Medium Wind</v>
      </c>
      <c r="N340" t="str">
        <f t="shared" si="39"/>
        <v>Low</v>
      </c>
      <c r="O340" t="str">
        <f t="shared" si="40"/>
        <v>Low</v>
      </c>
      <c r="P340" t="str">
        <f t="shared" si="41"/>
        <v>Low Demand</v>
      </c>
    </row>
    <row r="341" spans="1:16" ht="13.8">
      <c r="A341" s="13">
        <v>339</v>
      </c>
      <c r="B341" s="13">
        <v>340</v>
      </c>
      <c r="C341" s="13">
        <v>0.31819999999999998</v>
      </c>
      <c r="D341" s="13">
        <v>0.36</v>
      </c>
      <c r="E341" s="13">
        <v>0.19400000000000001</v>
      </c>
      <c r="F341" s="13">
        <v>21</v>
      </c>
      <c r="G341" s="13">
        <v>108</v>
      </c>
      <c r="H341" s="13">
        <v>129</v>
      </c>
      <c r="J341" t="str">
        <f t="shared" si="35"/>
        <v>Unique</v>
      </c>
      <c r="K341" t="str">
        <f t="shared" si="36"/>
        <v>Hot</v>
      </c>
      <c r="L341" t="str">
        <f t="shared" si="37"/>
        <v>Low</v>
      </c>
      <c r="M341" t="str">
        <f t="shared" si="38"/>
        <v>Medium Wind</v>
      </c>
      <c r="N341" t="str">
        <f t="shared" si="39"/>
        <v>Low</v>
      </c>
      <c r="O341" t="str">
        <f t="shared" si="40"/>
        <v>Low</v>
      </c>
      <c r="P341" t="str">
        <f t="shared" si="41"/>
        <v>Medium Demand</v>
      </c>
    </row>
    <row r="342" spans="1:16" ht="13.8">
      <c r="A342" s="13">
        <v>340</v>
      </c>
      <c r="B342" s="13">
        <v>341</v>
      </c>
      <c r="C342" s="13">
        <v>0.33329999999999999</v>
      </c>
      <c r="D342" s="13">
        <v>0.34</v>
      </c>
      <c r="E342" s="13">
        <v>0.19400000000000001</v>
      </c>
      <c r="F342" s="13">
        <v>33</v>
      </c>
      <c r="G342" s="13">
        <v>95</v>
      </c>
      <c r="H342" s="13">
        <v>128</v>
      </c>
      <c r="J342" t="str">
        <f t="shared" si="35"/>
        <v>Unique</v>
      </c>
      <c r="K342" t="str">
        <f t="shared" si="36"/>
        <v>Hot</v>
      </c>
      <c r="L342" t="str">
        <f t="shared" si="37"/>
        <v>Low</v>
      </c>
      <c r="M342" t="str">
        <f t="shared" si="38"/>
        <v>Medium Wind</v>
      </c>
      <c r="N342" t="str">
        <f t="shared" si="39"/>
        <v>Low</v>
      </c>
      <c r="O342" t="str">
        <f t="shared" si="40"/>
        <v>Low</v>
      </c>
      <c r="P342" t="str">
        <f t="shared" si="41"/>
        <v>Low Demand</v>
      </c>
    </row>
    <row r="343" spans="1:16" ht="13.8">
      <c r="A343" s="13">
        <v>341</v>
      </c>
      <c r="B343" s="13">
        <v>342</v>
      </c>
      <c r="C343" s="13">
        <v>0.30299999999999999</v>
      </c>
      <c r="D343" s="13">
        <v>0.36</v>
      </c>
      <c r="E343" s="13">
        <v>0.28360000000000002</v>
      </c>
      <c r="F343" s="13">
        <v>29</v>
      </c>
      <c r="G343" s="13">
        <v>54</v>
      </c>
      <c r="H343" s="13">
        <v>83</v>
      </c>
      <c r="J343" t="str">
        <f t="shared" si="35"/>
        <v>Unique</v>
      </c>
      <c r="K343" t="str">
        <f t="shared" si="36"/>
        <v>Hot</v>
      </c>
      <c r="L343" t="str">
        <f t="shared" si="37"/>
        <v>Low</v>
      </c>
      <c r="M343" t="str">
        <f t="shared" si="38"/>
        <v>Medium Wind</v>
      </c>
      <c r="N343" t="str">
        <f t="shared" si="39"/>
        <v>Low</v>
      </c>
      <c r="O343" t="str">
        <f t="shared" si="40"/>
        <v>Low</v>
      </c>
      <c r="P343" t="str">
        <f t="shared" si="41"/>
        <v>Low Demand</v>
      </c>
    </row>
    <row r="344" spans="1:16" ht="13.8">
      <c r="A344" s="13">
        <v>342</v>
      </c>
      <c r="B344" s="13">
        <v>343</v>
      </c>
      <c r="C344" s="13">
        <v>0.28789999999999999</v>
      </c>
      <c r="D344" s="13">
        <v>0.45</v>
      </c>
      <c r="E344" s="13">
        <v>0.25369999999999998</v>
      </c>
      <c r="F344" s="13">
        <v>15</v>
      </c>
      <c r="G344" s="13">
        <v>69</v>
      </c>
      <c r="H344" s="13">
        <v>84</v>
      </c>
      <c r="J344" t="str">
        <f t="shared" si="35"/>
        <v>Unique</v>
      </c>
      <c r="K344" t="str">
        <f t="shared" si="36"/>
        <v>Hot</v>
      </c>
      <c r="L344" t="str">
        <f t="shared" si="37"/>
        <v>Low</v>
      </c>
      <c r="M344" t="str">
        <f t="shared" si="38"/>
        <v>Medium Wind</v>
      </c>
      <c r="N344" t="str">
        <f t="shared" si="39"/>
        <v>Low</v>
      </c>
      <c r="O344" t="str">
        <f t="shared" si="40"/>
        <v>Low</v>
      </c>
      <c r="P344" t="str">
        <f t="shared" si="41"/>
        <v>Low Demand</v>
      </c>
    </row>
    <row r="345" spans="1:16" ht="13.8">
      <c r="A345" s="13">
        <v>343</v>
      </c>
      <c r="B345" s="13">
        <v>344</v>
      </c>
      <c r="C345" s="13">
        <v>0.30299999999999999</v>
      </c>
      <c r="D345" s="13">
        <v>0.39</v>
      </c>
      <c r="E345" s="13">
        <v>0.25369999999999998</v>
      </c>
      <c r="F345" s="13">
        <v>14</v>
      </c>
      <c r="G345" s="13">
        <v>60</v>
      </c>
      <c r="H345" s="13">
        <v>74</v>
      </c>
      <c r="J345" t="str">
        <f t="shared" si="35"/>
        <v>Unique</v>
      </c>
      <c r="K345" t="str">
        <f t="shared" si="36"/>
        <v>Hot</v>
      </c>
      <c r="L345" t="str">
        <f t="shared" si="37"/>
        <v>Low</v>
      </c>
      <c r="M345" t="str">
        <f t="shared" si="38"/>
        <v>Medium Wind</v>
      </c>
      <c r="N345" t="str">
        <f t="shared" si="39"/>
        <v>Low</v>
      </c>
      <c r="O345" t="str">
        <f t="shared" si="40"/>
        <v>Low</v>
      </c>
      <c r="P345" t="str">
        <f t="shared" si="41"/>
        <v>Low Demand</v>
      </c>
    </row>
    <row r="346" spans="1:16" ht="13.8">
      <c r="A346" s="13">
        <v>344</v>
      </c>
      <c r="B346" s="13">
        <v>345</v>
      </c>
      <c r="C346" s="13">
        <v>0.30299999999999999</v>
      </c>
      <c r="D346" s="13">
        <v>0.39</v>
      </c>
      <c r="E346" s="13">
        <v>0.25369999999999998</v>
      </c>
      <c r="F346" s="13">
        <v>6</v>
      </c>
      <c r="G346" s="13">
        <v>35</v>
      </c>
      <c r="H346" s="13">
        <v>41</v>
      </c>
      <c r="J346" t="str">
        <f t="shared" si="35"/>
        <v>Unique</v>
      </c>
      <c r="K346" t="str">
        <f t="shared" si="36"/>
        <v>Hot</v>
      </c>
      <c r="L346" t="str">
        <f t="shared" si="37"/>
        <v>Low</v>
      </c>
      <c r="M346" t="str">
        <f t="shared" si="38"/>
        <v>Medium Wind</v>
      </c>
      <c r="N346" t="str">
        <f t="shared" si="39"/>
        <v>Low</v>
      </c>
      <c r="O346" t="str">
        <f t="shared" si="40"/>
        <v>Low</v>
      </c>
      <c r="P346" t="str">
        <f t="shared" si="41"/>
        <v>Low Demand</v>
      </c>
    </row>
    <row r="347" spans="1:16" ht="13.8">
      <c r="A347" s="13">
        <v>345</v>
      </c>
      <c r="B347" s="13">
        <v>346</v>
      </c>
      <c r="C347" s="13">
        <v>0.30299999999999999</v>
      </c>
      <c r="D347" s="13">
        <v>0.39</v>
      </c>
      <c r="E347" s="13">
        <v>0.22389999999999999</v>
      </c>
      <c r="F347" s="13">
        <v>6</v>
      </c>
      <c r="G347" s="13">
        <v>51</v>
      </c>
      <c r="H347" s="13">
        <v>57</v>
      </c>
      <c r="J347" t="str">
        <f t="shared" si="35"/>
        <v>Unique</v>
      </c>
      <c r="K347" t="str">
        <f t="shared" si="36"/>
        <v>Hot</v>
      </c>
      <c r="L347" t="str">
        <f t="shared" si="37"/>
        <v>Low</v>
      </c>
      <c r="M347" t="str">
        <f t="shared" si="38"/>
        <v>Medium Wind</v>
      </c>
      <c r="N347" t="str">
        <f t="shared" si="39"/>
        <v>Low</v>
      </c>
      <c r="O347" t="str">
        <f t="shared" si="40"/>
        <v>Low</v>
      </c>
      <c r="P347" t="str">
        <f t="shared" si="41"/>
        <v>Low Demand</v>
      </c>
    </row>
    <row r="348" spans="1:16" ht="13.8">
      <c r="A348" s="13">
        <v>346</v>
      </c>
      <c r="B348" s="13">
        <v>347</v>
      </c>
      <c r="C348" s="13">
        <v>0.31819999999999998</v>
      </c>
      <c r="D348" s="13">
        <v>0.42</v>
      </c>
      <c r="E348" s="13">
        <v>0.1045</v>
      </c>
      <c r="F348" s="13">
        <v>0</v>
      </c>
      <c r="G348" s="13">
        <v>26</v>
      </c>
      <c r="H348" s="13">
        <v>26</v>
      </c>
      <c r="J348" t="str">
        <f t="shared" si="35"/>
        <v>Unique</v>
      </c>
      <c r="K348" t="str">
        <f t="shared" si="36"/>
        <v>Hot</v>
      </c>
      <c r="L348" t="str">
        <f t="shared" si="37"/>
        <v>Low</v>
      </c>
      <c r="M348" t="str">
        <f t="shared" si="38"/>
        <v>Medium Wind</v>
      </c>
      <c r="N348" t="str">
        <f t="shared" si="39"/>
        <v>Low</v>
      </c>
      <c r="O348" t="str">
        <f t="shared" si="40"/>
        <v>Low</v>
      </c>
      <c r="P348" t="str">
        <f t="shared" si="41"/>
        <v>Low Demand</v>
      </c>
    </row>
    <row r="349" spans="1:16" ht="13.8">
      <c r="A349" s="13">
        <v>347</v>
      </c>
      <c r="B349" s="13">
        <v>348</v>
      </c>
      <c r="C349" s="13">
        <v>0.28789999999999999</v>
      </c>
      <c r="D349" s="13">
        <v>0.45</v>
      </c>
      <c r="E349" s="13">
        <v>0.28360000000000002</v>
      </c>
      <c r="F349" s="13">
        <v>5</v>
      </c>
      <c r="G349" s="13">
        <v>39</v>
      </c>
      <c r="H349" s="13">
        <v>44</v>
      </c>
      <c r="J349" t="str">
        <f t="shared" si="35"/>
        <v>Unique</v>
      </c>
      <c r="K349" t="str">
        <f t="shared" si="36"/>
        <v>Hot</v>
      </c>
      <c r="L349" t="str">
        <f t="shared" si="37"/>
        <v>Low</v>
      </c>
      <c r="M349" t="str">
        <f t="shared" si="38"/>
        <v>Medium Wind</v>
      </c>
      <c r="N349" t="str">
        <f t="shared" si="39"/>
        <v>Low</v>
      </c>
      <c r="O349" t="str">
        <f t="shared" si="40"/>
        <v>Low</v>
      </c>
      <c r="P349" t="str">
        <f t="shared" si="41"/>
        <v>Low Demand</v>
      </c>
    </row>
    <row r="350" spans="1:16" ht="13.8">
      <c r="A350" s="13">
        <v>348</v>
      </c>
      <c r="B350" s="13">
        <v>349</v>
      </c>
      <c r="C350" s="13">
        <v>0.30299999999999999</v>
      </c>
      <c r="D350" s="13">
        <v>0.56000000000000005</v>
      </c>
      <c r="E350" s="13">
        <v>0</v>
      </c>
      <c r="F350" s="13">
        <v>6</v>
      </c>
      <c r="G350" s="13">
        <v>33</v>
      </c>
      <c r="H350" s="13">
        <v>39</v>
      </c>
      <c r="J350" t="str">
        <f t="shared" si="35"/>
        <v>Unique</v>
      </c>
      <c r="K350" t="str">
        <f t="shared" si="36"/>
        <v>Hot</v>
      </c>
      <c r="L350" t="str">
        <f t="shared" si="37"/>
        <v>Low</v>
      </c>
      <c r="M350" t="str">
        <f t="shared" si="38"/>
        <v>High Wind</v>
      </c>
      <c r="N350" t="str">
        <f t="shared" si="39"/>
        <v>Low</v>
      </c>
      <c r="O350" t="str">
        <f t="shared" si="40"/>
        <v>Low</v>
      </c>
      <c r="P350" t="str">
        <f t="shared" si="41"/>
        <v>Low Demand</v>
      </c>
    </row>
    <row r="351" spans="1:16" ht="13.8">
      <c r="A351" s="13">
        <v>349</v>
      </c>
      <c r="B351" s="13">
        <v>350</v>
      </c>
      <c r="C351" s="13">
        <v>0.2727</v>
      </c>
      <c r="D351" s="13">
        <v>0.56000000000000005</v>
      </c>
      <c r="E351" s="13">
        <v>0.1343</v>
      </c>
      <c r="F351" s="13">
        <v>4</v>
      </c>
      <c r="G351" s="13">
        <v>19</v>
      </c>
      <c r="H351" s="13">
        <v>23</v>
      </c>
      <c r="J351" t="str">
        <f t="shared" si="35"/>
        <v>Unique</v>
      </c>
      <c r="K351" t="str">
        <f t="shared" si="36"/>
        <v>Hot</v>
      </c>
      <c r="L351" t="str">
        <f t="shared" si="37"/>
        <v>Low</v>
      </c>
      <c r="M351" t="str">
        <f t="shared" si="38"/>
        <v>High Wind</v>
      </c>
      <c r="N351" t="str">
        <f t="shared" si="39"/>
        <v>Low</v>
      </c>
      <c r="O351" t="str">
        <f t="shared" si="40"/>
        <v>Low</v>
      </c>
      <c r="P351" t="str">
        <f t="shared" si="41"/>
        <v>Low Demand</v>
      </c>
    </row>
    <row r="352" spans="1:16" ht="13.8">
      <c r="A352" s="13">
        <v>350</v>
      </c>
      <c r="B352" s="13">
        <v>351</v>
      </c>
      <c r="C352" s="13">
        <v>0.28789999999999999</v>
      </c>
      <c r="D352" s="13">
        <v>0.56000000000000005</v>
      </c>
      <c r="E352" s="13">
        <v>8.9599999999999999E-2</v>
      </c>
      <c r="F352" s="13">
        <v>3</v>
      </c>
      <c r="G352" s="13">
        <v>13</v>
      </c>
      <c r="H352" s="13">
        <v>16</v>
      </c>
      <c r="J352" t="str">
        <f t="shared" si="35"/>
        <v>Unique</v>
      </c>
      <c r="K352" t="str">
        <f t="shared" si="36"/>
        <v>Hot</v>
      </c>
      <c r="L352" t="str">
        <f t="shared" si="37"/>
        <v>Low</v>
      </c>
      <c r="M352" t="str">
        <f t="shared" si="38"/>
        <v>High Wind</v>
      </c>
      <c r="N352" t="str">
        <f t="shared" si="39"/>
        <v>Low</v>
      </c>
      <c r="O352" t="str">
        <f t="shared" si="40"/>
        <v>Low</v>
      </c>
      <c r="P352" t="str">
        <f t="shared" si="41"/>
        <v>Low Demand</v>
      </c>
    </row>
    <row r="353" spans="1:16" ht="13.8">
      <c r="A353" s="13">
        <v>351</v>
      </c>
      <c r="B353" s="13">
        <v>352</v>
      </c>
      <c r="C353" s="13">
        <v>0.2727</v>
      </c>
      <c r="D353" s="13">
        <v>0.69</v>
      </c>
      <c r="E353" s="13">
        <v>0</v>
      </c>
      <c r="F353" s="13">
        <v>9</v>
      </c>
      <c r="G353" s="13">
        <v>6</v>
      </c>
      <c r="H353" s="13">
        <v>15</v>
      </c>
      <c r="J353" t="str">
        <f t="shared" si="35"/>
        <v>Unique</v>
      </c>
      <c r="K353" t="str">
        <f t="shared" si="36"/>
        <v>Hot</v>
      </c>
      <c r="L353" t="str">
        <f t="shared" si="37"/>
        <v>Low</v>
      </c>
      <c r="M353" t="str">
        <f t="shared" si="38"/>
        <v>High Wind</v>
      </c>
      <c r="N353" t="str">
        <f t="shared" si="39"/>
        <v>Low</v>
      </c>
      <c r="O353" t="str">
        <f t="shared" si="40"/>
        <v>Low</v>
      </c>
      <c r="P353" t="str">
        <f t="shared" si="41"/>
        <v>Low Demand</v>
      </c>
    </row>
    <row r="354" spans="1:16" ht="13.8">
      <c r="A354" s="13">
        <v>352</v>
      </c>
      <c r="B354" s="13">
        <v>353</v>
      </c>
      <c r="C354" s="13">
        <v>0.2576</v>
      </c>
      <c r="D354" s="13">
        <v>0.56000000000000005</v>
      </c>
      <c r="E354" s="13">
        <v>0.16420000000000001</v>
      </c>
      <c r="F354" s="13">
        <v>0</v>
      </c>
      <c r="G354" s="13">
        <v>1</v>
      </c>
      <c r="H354" s="13">
        <v>1</v>
      </c>
      <c r="J354" t="str">
        <f t="shared" si="35"/>
        <v>Unique</v>
      </c>
      <c r="K354" t="str">
        <f t="shared" si="36"/>
        <v>Hot</v>
      </c>
      <c r="L354" t="str">
        <f t="shared" si="37"/>
        <v>Low</v>
      </c>
      <c r="M354" t="str">
        <f t="shared" si="38"/>
        <v>High Wind</v>
      </c>
      <c r="N354" t="str">
        <f t="shared" si="39"/>
        <v>Low</v>
      </c>
      <c r="O354" t="str">
        <f t="shared" si="40"/>
        <v>Low</v>
      </c>
      <c r="P354" t="str">
        <f t="shared" si="41"/>
        <v>Low Demand</v>
      </c>
    </row>
    <row r="355" spans="1:16" ht="13.8">
      <c r="A355" s="13">
        <v>353</v>
      </c>
      <c r="B355" s="13">
        <v>354</v>
      </c>
      <c r="C355" s="13">
        <v>0.2576</v>
      </c>
      <c r="D355" s="13">
        <v>0.56000000000000005</v>
      </c>
      <c r="E355" s="13">
        <v>0.16420000000000001</v>
      </c>
      <c r="F355" s="13">
        <v>1</v>
      </c>
      <c r="G355" s="13">
        <v>1</v>
      </c>
      <c r="H355" s="13">
        <v>2</v>
      </c>
      <c r="J355" t="str">
        <f t="shared" si="35"/>
        <v>Unique</v>
      </c>
      <c r="K355" t="str">
        <f t="shared" si="36"/>
        <v>Hot</v>
      </c>
      <c r="L355" t="str">
        <f t="shared" si="37"/>
        <v>Low</v>
      </c>
      <c r="M355" t="str">
        <f t="shared" si="38"/>
        <v>High Wind</v>
      </c>
      <c r="N355" t="str">
        <f t="shared" si="39"/>
        <v>Low</v>
      </c>
      <c r="O355" t="str">
        <f t="shared" si="40"/>
        <v>Low</v>
      </c>
      <c r="P355" t="str">
        <f t="shared" si="41"/>
        <v>Low Demand</v>
      </c>
    </row>
    <row r="356" spans="1:16" ht="13.8">
      <c r="A356" s="13">
        <v>354</v>
      </c>
      <c r="B356" s="13">
        <v>355</v>
      </c>
      <c r="C356" s="13">
        <v>0.2576</v>
      </c>
      <c r="D356" s="13">
        <v>0.56000000000000005</v>
      </c>
      <c r="E356" s="13">
        <v>0.16420000000000001</v>
      </c>
      <c r="F356" s="13">
        <v>0</v>
      </c>
      <c r="G356" s="13">
        <v>1</v>
      </c>
      <c r="H356" s="13">
        <v>1</v>
      </c>
      <c r="J356" t="str">
        <f t="shared" si="35"/>
        <v>Unique</v>
      </c>
      <c r="K356" t="str">
        <f t="shared" si="36"/>
        <v>Hot</v>
      </c>
      <c r="L356" t="str">
        <f t="shared" si="37"/>
        <v>Low</v>
      </c>
      <c r="M356" t="str">
        <f t="shared" si="38"/>
        <v>High Wind</v>
      </c>
      <c r="N356" t="str">
        <f t="shared" si="39"/>
        <v>Low</v>
      </c>
      <c r="O356" t="str">
        <f t="shared" si="40"/>
        <v>Low</v>
      </c>
      <c r="P356" t="str">
        <f t="shared" si="41"/>
        <v>Low Demand</v>
      </c>
    </row>
    <row r="357" spans="1:16" ht="13.8">
      <c r="A357" s="13">
        <v>355</v>
      </c>
      <c r="B357" s="13">
        <v>356</v>
      </c>
      <c r="C357" s="13">
        <v>0.21210000000000001</v>
      </c>
      <c r="D357" s="13">
        <v>0.56000000000000005</v>
      </c>
      <c r="E357" s="13">
        <v>0.29849999999999999</v>
      </c>
      <c r="F357" s="13">
        <v>0</v>
      </c>
      <c r="G357" s="13">
        <v>3</v>
      </c>
      <c r="H357" s="13">
        <v>3</v>
      </c>
      <c r="J357" t="str">
        <f t="shared" si="35"/>
        <v>Unique</v>
      </c>
      <c r="K357" t="str">
        <f t="shared" si="36"/>
        <v>Hot</v>
      </c>
      <c r="L357" t="str">
        <f t="shared" si="37"/>
        <v>Low</v>
      </c>
      <c r="M357" t="str">
        <f t="shared" si="38"/>
        <v>High Wind</v>
      </c>
      <c r="N357" t="str">
        <f t="shared" si="39"/>
        <v>Low</v>
      </c>
      <c r="O357" t="str">
        <f t="shared" si="40"/>
        <v>Low</v>
      </c>
      <c r="P357" t="str">
        <f t="shared" si="41"/>
        <v>Low Demand</v>
      </c>
    </row>
    <row r="358" spans="1:16" ht="13.8">
      <c r="A358" s="13">
        <v>356</v>
      </c>
      <c r="B358" s="13">
        <v>357</v>
      </c>
      <c r="C358" s="13">
        <v>0.21210000000000001</v>
      </c>
      <c r="D358" s="13">
        <v>0.55000000000000004</v>
      </c>
      <c r="E358" s="13">
        <v>0.28360000000000002</v>
      </c>
      <c r="F358" s="13">
        <v>0</v>
      </c>
      <c r="G358" s="13">
        <v>18</v>
      </c>
      <c r="H358" s="13">
        <v>18</v>
      </c>
      <c r="J358" t="str">
        <f t="shared" si="35"/>
        <v>Unique</v>
      </c>
      <c r="K358" t="str">
        <f t="shared" si="36"/>
        <v>Hot</v>
      </c>
      <c r="L358" t="str">
        <f t="shared" si="37"/>
        <v>Low</v>
      </c>
      <c r="M358" t="str">
        <f t="shared" si="38"/>
        <v>High Wind</v>
      </c>
      <c r="N358" t="str">
        <f t="shared" si="39"/>
        <v>Low</v>
      </c>
      <c r="O358" t="str">
        <f t="shared" si="40"/>
        <v>Low</v>
      </c>
      <c r="P358" t="str">
        <f t="shared" si="41"/>
        <v>Low Demand</v>
      </c>
    </row>
    <row r="359" spans="1:16" ht="13.8">
      <c r="A359" s="13">
        <v>357</v>
      </c>
      <c r="B359" s="13">
        <v>358</v>
      </c>
      <c r="C359" s="13">
        <v>0.21210000000000001</v>
      </c>
      <c r="D359" s="13">
        <v>0.51</v>
      </c>
      <c r="E359" s="13">
        <v>0.25369999999999998</v>
      </c>
      <c r="F359" s="13">
        <v>3</v>
      </c>
      <c r="G359" s="13">
        <v>29</v>
      </c>
      <c r="H359" s="13">
        <v>32</v>
      </c>
      <c r="J359" t="str">
        <f t="shared" si="35"/>
        <v>Unique</v>
      </c>
      <c r="K359" t="str">
        <f t="shared" si="36"/>
        <v>Hot</v>
      </c>
      <c r="L359" t="str">
        <f t="shared" si="37"/>
        <v>Low</v>
      </c>
      <c r="M359" t="str">
        <f t="shared" si="38"/>
        <v>High Wind</v>
      </c>
      <c r="N359" t="str">
        <f t="shared" si="39"/>
        <v>Low</v>
      </c>
      <c r="O359" t="str">
        <f t="shared" si="40"/>
        <v>Low</v>
      </c>
      <c r="P359" t="str">
        <f t="shared" si="41"/>
        <v>Low Demand</v>
      </c>
    </row>
    <row r="360" spans="1:16" ht="13.8">
      <c r="A360" s="13">
        <v>358</v>
      </c>
      <c r="B360" s="13">
        <v>359</v>
      </c>
      <c r="C360" s="13">
        <v>0.21210000000000001</v>
      </c>
      <c r="D360" s="13">
        <v>0.51</v>
      </c>
      <c r="E360" s="13">
        <v>0.28360000000000002</v>
      </c>
      <c r="F360" s="13">
        <v>8</v>
      </c>
      <c r="G360" s="13">
        <v>71</v>
      </c>
      <c r="H360" s="13">
        <v>79</v>
      </c>
      <c r="J360" t="str">
        <f t="shared" si="35"/>
        <v>Unique</v>
      </c>
      <c r="K360" t="str">
        <f t="shared" si="36"/>
        <v>Hot</v>
      </c>
      <c r="L360" t="str">
        <f t="shared" si="37"/>
        <v>Low</v>
      </c>
      <c r="M360" t="str">
        <f t="shared" si="38"/>
        <v>High Wind</v>
      </c>
      <c r="N360" t="str">
        <f t="shared" si="39"/>
        <v>Low</v>
      </c>
      <c r="O360" t="str">
        <f t="shared" si="40"/>
        <v>Low</v>
      </c>
      <c r="P360" t="str">
        <f t="shared" si="41"/>
        <v>Low Demand</v>
      </c>
    </row>
    <row r="361" spans="1:16" ht="13.8">
      <c r="A361" s="13">
        <v>359</v>
      </c>
      <c r="B361" s="13">
        <v>360</v>
      </c>
      <c r="C361" s="13">
        <v>0.2273</v>
      </c>
      <c r="D361" s="13">
        <v>0.44</v>
      </c>
      <c r="E361" s="13">
        <v>0.25369999999999998</v>
      </c>
      <c r="F361" s="13">
        <v>23</v>
      </c>
      <c r="G361" s="13">
        <v>70</v>
      </c>
      <c r="H361" s="13">
        <v>93</v>
      </c>
      <c r="J361" t="str">
        <f t="shared" si="35"/>
        <v>Unique</v>
      </c>
      <c r="K361" t="str">
        <f t="shared" si="36"/>
        <v>Hot</v>
      </c>
      <c r="L361" t="str">
        <f t="shared" si="37"/>
        <v>Low</v>
      </c>
      <c r="M361" t="str">
        <f t="shared" si="38"/>
        <v>Medium Wind</v>
      </c>
      <c r="N361" t="str">
        <f t="shared" si="39"/>
        <v>Low</v>
      </c>
      <c r="O361" t="str">
        <f t="shared" si="40"/>
        <v>Low</v>
      </c>
      <c r="P361" t="str">
        <f t="shared" si="41"/>
        <v>Low Demand</v>
      </c>
    </row>
    <row r="362" spans="1:16" ht="13.8">
      <c r="A362" s="13">
        <v>360</v>
      </c>
      <c r="B362" s="13">
        <v>361</v>
      </c>
      <c r="C362" s="13">
        <v>0.21210000000000001</v>
      </c>
      <c r="D362" s="13">
        <v>0.41</v>
      </c>
      <c r="E362" s="13">
        <v>0.28360000000000002</v>
      </c>
      <c r="F362" s="13">
        <v>29</v>
      </c>
      <c r="G362" s="13">
        <v>75</v>
      </c>
      <c r="H362" s="13">
        <v>104</v>
      </c>
      <c r="J362" t="str">
        <f t="shared" si="35"/>
        <v>Unique</v>
      </c>
      <c r="K362" t="str">
        <f t="shared" si="36"/>
        <v>Hot</v>
      </c>
      <c r="L362" t="str">
        <f t="shared" si="37"/>
        <v>Low</v>
      </c>
      <c r="M362" t="str">
        <f t="shared" si="38"/>
        <v>Medium Wind</v>
      </c>
      <c r="N362" t="str">
        <f t="shared" si="39"/>
        <v>Low</v>
      </c>
      <c r="O362" t="str">
        <f t="shared" si="40"/>
        <v>Low</v>
      </c>
      <c r="P362" t="str">
        <f t="shared" si="41"/>
        <v>Low Demand</v>
      </c>
    </row>
    <row r="363" spans="1:16" ht="13.8">
      <c r="A363" s="13">
        <v>361</v>
      </c>
      <c r="B363" s="13">
        <v>362</v>
      </c>
      <c r="C363" s="13">
        <v>0.2273</v>
      </c>
      <c r="D363" s="13">
        <v>0.35</v>
      </c>
      <c r="E363" s="13">
        <v>0.29849999999999999</v>
      </c>
      <c r="F363" s="13">
        <v>23</v>
      </c>
      <c r="G363" s="13">
        <v>95</v>
      </c>
      <c r="H363" s="13">
        <v>118</v>
      </c>
      <c r="J363" t="str">
        <f t="shared" si="35"/>
        <v>Unique</v>
      </c>
      <c r="K363" t="str">
        <f t="shared" si="36"/>
        <v>Hot</v>
      </c>
      <c r="L363" t="str">
        <f t="shared" si="37"/>
        <v>Low</v>
      </c>
      <c r="M363" t="str">
        <f t="shared" si="38"/>
        <v>Medium Wind</v>
      </c>
      <c r="N363" t="str">
        <f t="shared" si="39"/>
        <v>Low</v>
      </c>
      <c r="O363" t="str">
        <f t="shared" si="40"/>
        <v>Low</v>
      </c>
      <c r="P363" t="str">
        <f t="shared" si="41"/>
        <v>Low Demand</v>
      </c>
    </row>
    <row r="364" spans="1:16" ht="13.8">
      <c r="A364" s="13">
        <v>362</v>
      </c>
      <c r="B364" s="13">
        <v>363</v>
      </c>
      <c r="C364" s="13">
        <v>0.2727</v>
      </c>
      <c r="D364" s="13">
        <v>0.36</v>
      </c>
      <c r="E364" s="13">
        <v>0.25369999999999998</v>
      </c>
      <c r="F364" s="13">
        <v>22</v>
      </c>
      <c r="G364" s="13">
        <v>69</v>
      </c>
      <c r="H364" s="13">
        <v>91</v>
      </c>
      <c r="J364" t="str">
        <f t="shared" si="35"/>
        <v>Unique</v>
      </c>
      <c r="K364" t="str">
        <f t="shared" si="36"/>
        <v>Hot</v>
      </c>
      <c r="L364" t="str">
        <f t="shared" si="37"/>
        <v>Low</v>
      </c>
      <c r="M364" t="str">
        <f t="shared" si="38"/>
        <v>Medium Wind</v>
      </c>
      <c r="N364" t="str">
        <f t="shared" si="39"/>
        <v>Low</v>
      </c>
      <c r="O364" t="str">
        <f t="shared" si="40"/>
        <v>Low</v>
      </c>
      <c r="P364" t="str">
        <f t="shared" si="41"/>
        <v>Low Demand</v>
      </c>
    </row>
    <row r="365" spans="1:16" ht="13.8">
      <c r="A365" s="13">
        <v>363</v>
      </c>
      <c r="B365" s="13">
        <v>364</v>
      </c>
      <c r="C365" s="13">
        <v>0.2424</v>
      </c>
      <c r="D365" s="13">
        <v>0.38</v>
      </c>
      <c r="E365" s="13">
        <v>0.25369999999999998</v>
      </c>
      <c r="F365" s="13">
        <v>35</v>
      </c>
      <c r="G365" s="13">
        <v>78</v>
      </c>
      <c r="H365" s="13">
        <v>113</v>
      </c>
      <c r="J365" t="str">
        <f t="shared" si="35"/>
        <v>Unique</v>
      </c>
      <c r="K365" t="str">
        <f t="shared" si="36"/>
        <v>Hot</v>
      </c>
      <c r="L365" t="str">
        <f t="shared" si="37"/>
        <v>Low</v>
      </c>
      <c r="M365" t="str">
        <f t="shared" si="38"/>
        <v>Medium Wind</v>
      </c>
      <c r="N365" t="str">
        <f t="shared" si="39"/>
        <v>Low</v>
      </c>
      <c r="O365" t="str">
        <f t="shared" si="40"/>
        <v>Low</v>
      </c>
      <c r="P365" t="str">
        <f t="shared" si="41"/>
        <v>Low Demand</v>
      </c>
    </row>
    <row r="366" spans="1:16" ht="13.8">
      <c r="A366" s="13">
        <v>364</v>
      </c>
      <c r="B366" s="13">
        <v>365</v>
      </c>
      <c r="C366" s="13">
        <v>0.2273</v>
      </c>
      <c r="D366" s="13">
        <v>0.38</v>
      </c>
      <c r="E366" s="13">
        <v>0.22389999999999999</v>
      </c>
      <c r="F366" s="13">
        <v>22</v>
      </c>
      <c r="G366" s="13">
        <v>77</v>
      </c>
      <c r="H366" s="13">
        <v>99</v>
      </c>
      <c r="J366" t="str">
        <f t="shared" si="35"/>
        <v>Unique</v>
      </c>
      <c r="K366" t="str">
        <f t="shared" si="36"/>
        <v>Hot</v>
      </c>
      <c r="L366" t="str">
        <f t="shared" si="37"/>
        <v>Low</v>
      </c>
      <c r="M366" t="str">
        <f t="shared" si="38"/>
        <v>Medium Wind</v>
      </c>
      <c r="N366" t="str">
        <f t="shared" si="39"/>
        <v>Low</v>
      </c>
      <c r="O366" t="str">
        <f t="shared" si="40"/>
        <v>Low</v>
      </c>
      <c r="P366" t="str">
        <f t="shared" si="41"/>
        <v>Low Demand</v>
      </c>
    </row>
    <row r="367" spans="1:16" ht="13.8">
      <c r="A367" s="13">
        <v>365</v>
      </c>
      <c r="B367" s="13">
        <v>366</v>
      </c>
      <c r="C367" s="13">
        <v>0.21210000000000001</v>
      </c>
      <c r="D367" s="13">
        <v>0.37</v>
      </c>
      <c r="E367" s="13">
        <v>0.25369999999999998</v>
      </c>
      <c r="F367" s="13">
        <v>23</v>
      </c>
      <c r="G367" s="13">
        <v>82</v>
      </c>
      <c r="H367" s="13">
        <v>105</v>
      </c>
      <c r="J367" t="str">
        <f t="shared" si="35"/>
        <v>Unique</v>
      </c>
      <c r="K367" t="str">
        <f t="shared" si="36"/>
        <v>Hot</v>
      </c>
      <c r="L367" t="str">
        <f t="shared" si="37"/>
        <v>Low</v>
      </c>
      <c r="M367" t="str">
        <f t="shared" si="38"/>
        <v>Medium Wind</v>
      </c>
      <c r="N367" t="str">
        <f t="shared" si="39"/>
        <v>Low</v>
      </c>
      <c r="O367" t="str">
        <f t="shared" si="40"/>
        <v>Low</v>
      </c>
      <c r="P367" t="str">
        <f t="shared" si="41"/>
        <v>Low Demand</v>
      </c>
    </row>
    <row r="368" spans="1:16" ht="13.8">
      <c r="A368" s="13">
        <v>366</v>
      </c>
      <c r="B368" s="13">
        <v>367</v>
      </c>
      <c r="C368" s="13">
        <v>0.21210000000000001</v>
      </c>
      <c r="D368" s="13">
        <v>0.4</v>
      </c>
      <c r="E368" s="13">
        <v>0.16420000000000001</v>
      </c>
      <c r="F368" s="13">
        <v>11</v>
      </c>
      <c r="G368" s="13">
        <v>56</v>
      </c>
      <c r="H368" s="13">
        <v>67</v>
      </c>
      <c r="J368" t="str">
        <f t="shared" si="35"/>
        <v>Unique</v>
      </c>
      <c r="K368" t="str">
        <f t="shared" si="36"/>
        <v>Hot</v>
      </c>
      <c r="L368" t="str">
        <f t="shared" si="37"/>
        <v>Low</v>
      </c>
      <c r="M368" t="str">
        <f t="shared" si="38"/>
        <v>Medium Wind</v>
      </c>
      <c r="N368" t="str">
        <f t="shared" si="39"/>
        <v>Low</v>
      </c>
      <c r="O368" t="str">
        <f t="shared" si="40"/>
        <v>Low</v>
      </c>
      <c r="P368" t="str">
        <f t="shared" si="41"/>
        <v>Low Demand</v>
      </c>
    </row>
    <row r="369" spans="1:16" ht="13.8">
      <c r="A369" s="13">
        <v>367</v>
      </c>
      <c r="B369" s="13">
        <v>368</v>
      </c>
      <c r="C369" s="13">
        <v>0.19700000000000001</v>
      </c>
      <c r="D369" s="13">
        <v>0.47</v>
      </c>
      <c r="E369" s="13">
        <v>0.1343</v>
      </c>
      <c r="F369" s="13">
        <v>14</v>
      </c>
      <c r="G369" s="13">
        <v>47</v>
      </c>
      <c r="H369" s="13">
        <v>61</v>
      </c>
      <c r="J369" t="str">
        <f t="shared" si="35"/>
        <v>Unique</v>
      </c>
      <c r="K369" t="str">
        <f t="shared" si="36"/>
        <v>Hot</v>
      </c>
      <c r="L369" t="str">
        <f t="shared" si="37"/>
        <v>Low</v>
      </c>
      <c r="M369" t="str">
        <f t="shared" si="38"/>
        <v>Medium Wind</v>
      </c>
      <c r="N369" t="str">
        <f t="shared" si="39"/>
        <v>Low</v>
      </c>
      <c r="O369" t="str">
        <f t="shared" si="40"/>
        <v>Low</v>
      </c>
      <c r="P369" t="str">
        <f t="shared" si="41"/>
        <v>Low Demand</v>
      </c>
    </row>
    <row r="370" spans="1:16" ht="13.8">
      <c r="A370" s="13">
        <v>368</v>
      </c>
      <c r="B370" s="13">
        <v>369</v>
      </c>
      <c r="C370" s="13">
        <v>0.19700000000000001</v>
      </c>
      <c r="D370" s="13">
        <v>0.47</v>
      </c>
      <c r="E370" s="13">
        <v>0.16420000000000001</v>
      </c>
      <c r="F370" s="13">
        <v>7</v>
      </c>
      <c r="G370" s="13">
        <v>50</v>
      </c>
      <c r="H370" s="13">
        <v>57</v>
      </c>
      <c r="J370" t="str">
        <f t="shared" si="35"/>
        <v>Unique</v>
      </c>
      <c r="K370" t="str">
        <f t="shared" si="36"/>
        <v>Hot</v>
      </c>
      <c r="L370" t="str">
        <f t="shared" si="37"/>
        <v>Low</v>
      </c>
      <c r="M370" t="str">
        <f t="shared" si="38"/>
        <v>Medium Wind</v>
      </c>
      <c r="N370" t="str">
        <f t="shared" si="39"/>
        <v>Low</v>
      </c>
      <c r="O370" t="str">
        <f t="shared" si="40"/>
        <v>Low</v>
      </c>
      <c r="P370" t="str">
        <f t="shared" si="41"/>
        <v>Low Demand</v>
      </c>
    </row>
    <row r="371" spans="1:16" ht="13.8">
      <c r="A371" s="13">
        <v>369</v>
      </c>
      <c r="B371" s="13">
        <v>370</v>
      </c>
      <c r="C371" s="13">
        <v>0.19700000000000001</v>
      </c>
      <c r="D371" s="13">
        <v>0.51</v>
      </c>
      <c r="E371" s="13">
        <v>0.16420000000000001</v>
      </c>
      <c r="F371" s="13">
        <v>6</v>
      </c>
      <c r="G371" s="13">
        <v>22</v>
      </c>
      <c r="H371" s="13">
        <v>28</v>
      </c>
      <c r="J371" t="str">
        <f t="shared" si="35"/>
        <v>Unique</v>
      </c>
      <c r="K371" t="str">
        <f t="shared" si="36"/>
        <v>Hot</v>
      </c>
      <c r="L371" t="str">
        <f t="shared" si="37"/>
        <v>Low</v>
      </c>
      <c r="M371" t="str">
        <f t="shared" si="38"/>
        <v>High Wind</v>
      </c>
      <c r="N371" t="str">
        <f t="shared" si="39"/>
        <v>Low</v>
      </c>
      <c r="O371" t="str">
        <f t="shared" si="40"/>
        <v>Low</v>
      </c>
      <c r="P371" t="str">
        <f t="shared" si="41"/>
        <v>Low Demand</v>
      </c>
    </row>
    <row r="372" spans="1:16" ht="13.8">
      <c r="A372" s="13">
        <v>370</v>
      </c>
      <c r="B372" s="13">
        <v>371</v>
      </c>
      <c r="C372" s="13">
        <v>0.21210000000000001</v>
      </c>
      <c r="D372" s="13">
        <v>0.49</v>
      </c>
      <c r="E372" s="13">
        <v>0.1343</v>
      </c>
      <c r="F372" s="13">
        <v>2</v>
      </c>
      <c r="G372" s="13">
        <v>19</v>
      </c>
      <c r="H372" s="13">
        <v>21</v>
      </c>
      <c r="J372" t="str">
        <f t="shared" si="35"/>
        <v>Unique</v>
      </c>
      <c r="K372" t="str">
        <f t="shared" si="36"/>
        <v>Hot</v>
      </c>
      <c r="L372" t="str">
        <f t="shared" si="37"/>
        <v>Low</v>
      </c>
      <c r="M372" t="str">
        <f t="shared" si="38"/>
        <v>Medium Wind</v>
      </c>
      <c r="N372" t="str">
        <f t="shared" si="39"/>
        <v>Low</v>
      </c>
      <c r="O372" t="str">
        <f t="shared" si="40"/>
        <v>Low</v>
      </c>
      <c r="P372" t="str">
        <f t="shared" si="41"/>
        <v>Low Demand</v>
      </c>
    </row>
    <row r="373" spans="1:16" ht="13.8">
      <c r="A373" s="13">
        <v>371</v>
      </c>
      <c r="B373" s="13">
        <v>372</v>
      </c>
      <c r="C373" s="13">
        <v>0.2273</v>
      </c>
      <c r="D373" s="13">
        <v>0.4</v>
      </c>
      <c r="E373" s="13">
        <v>0.1045</v>
      </c>
      <c r="F373" s="13">
        <v>0</v>
      </c>
      <c r="G373" s="13">
        <v>18</v>
      </c>
      <c r="H373" s="13">
        <v>18</v>
      </c>
      <c r="J373" t="str">
        <f t="shared" si="35"/>
        <v>Unique</v>
      </c>
      <c r="K373" t="str">
        <f t="shared" si="36"/>
        <v>Hot</v>
      </c>
      <c r="L373" t="str">
        <f t="shared" si="37"/>
        <v>Low</v>
      </c>
      <c r="M373" t="str">
        <f t="shared" si="38"/>
        <v>Medium Wind</v>
      </c>
      <c r="N373" t="str">
        <f t="shared" si="39"/>
        <v>Low</v>
      </c>
      <c r="O373" t="str">
        <f t="shared" si="40"/>
        <v>Low</v>
      </c>
      <c r="P373" t="str">
        <f t="shared" si="41"/>
        <v>Low Demand</v>
      </c>
    </row>
    <row r="374" spans="1:16" ht="13.8">
      <c r="A374" s="13">
        <v>372</v>
      </c>
      <c r="B374" s="13">
        <v>373</v>
      </c>
      <c r="C374" s="13">
        <v>0.19700000000000001</v>
      </c>
      <c r="D374" s="13">
        <v>0.47</v>
      </c>
      <c r="E374" s="13">
        <v>0.22389999999999999</v>
      </c>
      <c r="F374" s="13">
        <v>1</v>
      </c>
      <c r="G374" s="13">
        <v>16</v>
      </c>
      <c r="H374" s="13">
        <v>17</v>
      </c>
      <c r="J374" t="str">
        <f t="shared" si="35"/>
        <v>Unique</v>
      </c>
      <c r="K374" t="str">
        <f t="shared" si="36"/>
        <v>Hot</v>
      </c>
      <c r="L374" t="str">
        <f t="shared" si="37"/>
        <v>Low</v>
      </c>
      <c r="M374" t="str">
        <f t="shared" si="38"/>
        <v>Medium Wind</v>
      </c>
      <c r="N374" t="str">
        <f t="shared" si="39"/>
        <v>Low</v>
      </c>
      <c r="O374" t="str">
        <f t="shared" si="40"/>
        <v>Low</v>
      </c>
      <c r="P374" t="str">
        <f t="shared" si="41"/>
        <v>Low Demand</v>
      </c>
    </row>
    <row r="375" spans="1:16" ht="13.8">
      <c r="A375" s="13">
        <v>373</v>
      </c>
      <c r="B375" s="13">
        <v>374</v>
      </c>
      <c r="C375" s="13">
        <v>0.19700000000000001</v>
      </c>
      <c r="D375" s="13">
        <v>0.44</v>
      </c>
      <c r="E375" s="13">
        <v>0.19400000000000001</v>
      </c>
      <c r="F375" s="13">
        <v>1</v>
      </c>
      <c r="G375" s="13">
        <v>15</v>
      </c>
      <c r="H375" s="13">
        <v>16</v>
      </c>
      <c r="J375" t="str">
        <f t="shared" si="35"/>
        <v>Unique</v>
      </c>
      <c r="K375" t="str">
        <f t="shared" si="36"/>
        <v>Hot</v>
      </c>
      <c r="L375" t="str">
        <f t="shared" si="37"/>
        <v>Low</v>
      </c>
      <c r="M375" t="str">
        <f t="shared" si="38"/>
        <v>Medium Wind</v>
      </c>
      <c r="N375" t="str">
        <f t="shared" si="39"/>
        <v>Low</v>
      </c>
      <c r="O375" t="str">
        <f t="shared" si="40"/>
        <v>Low</v>
      </c>
      <c r="P375" t="str">
        <f t="shared" si="41"/>
        <v>Low Demand</v>
      </c>
    </row>
    <row r="376" spans="1:16" ht="13.8">
      <c r="A376" s="13">
        <v>374</v>
      </c>
      <c r="B376" s="13">
        <v>375</v>
      </c>
      <c r="C376" s="13">
        <v>0.16669999999999999</v>
      </c>
      <c r="D376" s="13">
        <v>0.43</v>
      </c>
      <c r="E376" s="13">
        <v>0.25369999999999998</v>
      </c>
      <c r="F376" s="13">
        <v>0</v>
      </c>
      <c r="G376" s="13">
        <v>8</v>
      </c>
      <c r="H376" s="13">
        <v>8</v>
      </c>
      <c r="J376" t="str">
        <f t="shared" si="35"/>
        <v>Unique</v>
      </c>
      <c r="K376" t="str">
        <f t="shared" si="36"/>
        <v>Hot</v>
      </c>
      <c r="L376" t="str">
        <f t="shared" si="37"/>
        <v>Low</v>
      </c>
      <c r="M376" t="str">
        <f t="shared" si="38"/>
        <v>Medium Wind</v>
      </c>
      <c r="N376" t="str">
        <f t="shared" si="39"/>
        <v>Low</v>
      </c>
      <c r="O376" t="str">
        <f t="shared" si="40"/>
        <v>Low</v>
      </c>
      <c r="P376" t="str">
        <f t="shared" si="41"/>
        <v>Low Demand</v>
      </c>
    </row>
    <row r="377" spans="1:16" ht="13.8">
      <c r="A377" s="13">
        <v>375</v>
      </c>
      <c r="B377" s="13">
        <v>376</v>
      </c>
      <c r="C377" s="13">
        <v>0.18179999999999999</v>
      </c>
      <c r="D377" s="13">
        <v>0.43</v>
      </c>
      <c r="E377" s="13">
        <v>0.19400000000000001</v>
      </c>
      <c r="F377" s="13">
        <v>0</v>
      </c>
      <c r="G377" s="13">
        <v>2</v>
      </c>
      <c r="H377" s="13">
        <v>2</v>
      </c>
      <c r="J377" t="str">
        <f t="shared" si="35"/>
        <v>Unique</v>
      </c>
      <c r="K377" t="str">
        <f t="shared" si="36"/>
        <v>Hot</v>
      </c>
      <c r="L377" t="str">
        <f t="shared" si="37"/>
        <v>Low</v>
      </c>
      <c r="M377" t="str">
        <f t="shared" si="38"/>
        <v>Medium Wind</v>
      </c>
      <c r="N377" t="str">
        <f t="shared" si="39"/>
        <v>Low</v>
      </c>
      <c r="O377" t="str">
        <f t="shared" si="40"/>
        <v>Low</v>
      </c>
      <c r="P377" t="str">
        <f t="shared" si="41"/>
        <v>Low Demand</v>
      </c>
    </row>
    <row r="378" spans="1:16" ht="13.8">
      <c r="A378" s="13">
        <v>376</v>
      </c>
      <c r="B378" s="13">
        <v>377</v>
      </c>
      <c r="C378" s="13">
        <v>0.19700000000000001</v>
      </c>
      <c r="D378" s="13">
        <v>0.43</v>
      </c>
      <c r="E378" s="13">
        <v>0.1343</v>
      </c>
      <c r="F378" s="13">
        <v>1</v>
      </c>
      <c r="G378" s="13">
        <v>2</v>
      </c>
      <c r="H378" s="13">
        <v>3</v>
      </c>
      <c r="J378" t="str">
        <f t="shared" si="35"/>
        <v>Unique</v>
      </c>
      <c r="K378" t="str">
        <f t="shared" si="36"/>
        <v>Hot</v>
      </c>
      <c r="L378" t="str">
        <f t="shared" si="37"/>
        <v>Low</v>
      </c>
      <c r="M378" t="str">
        <f t="shared" si="38"/>
        <v>Medium Wind</v>
      </c>
      <c r="N378" t="str">
        <f t="shared" si="39"/>
        <v>Low</v>
      </c>
      <c r="O378" t="str">
        <f t="shared" si="40"/>
        <v>Low</v>
      </c>
      <c r="P378" t="str">
        <f t="shared" si="41"/>
        <v>Low Demand</v>
      </c>
    </row>
    <row r="379" spans="1:16" ht="13.8">
      <c r="A379" s="13">
        <v>377</v>
      </c>
      <c r="B379" s="13">
        <v>378</v>
      </c>
      <c r="C379" s="13">
        <v>0.19700000000000001</v>
      </c>
      <c r="D379" s="13">
        <v>0.43</v>
      </c>
      <c r="E379" s="13">
        <v>0.16420000000000001</v>
      </c>
      <c r="F379" s="13">
        <v>0</v>
      </c>
      <c r="G379" s="13">
        <v>1</v>
      </c>
      <c r="H379" s="13">
        <v>1</v>
      </c>
      <c r="J379" t="str">
        <f t="shared" si="35"/>
        <v>Unique</v>
      </c>
      <c r="K379" t="str">
        <f t="shared" si="36"/>
        <v>Hot</v>
      </c>
      <c r="L379" t="str">
        <f t="shared" si="37"/>
        <v>Low</v>
      </c>
      <c r="M379" t="str">
        <f t="shared" si="38"/>
        <v>Medium Wind</v>
      </c>
      <c r="N379" t="str">
        <f t="shared" si="39"/>
        <v>Low</v>
      </c>
      <c r="O379" t="str">
        <f t="shared" si="40"/>
        <v>Low</v>
      </c>
      <c r="P379" t="str">
        <f t="shared" si="41"/>
        <v>Low Demand</v>
      </c>
    </row>
    <row r="380" spans="1:16" ht="13.8">
      <c r="A380" s="13">
        <v>378</v>
      </c>
      <c r="B380" s="13">
        <v>379</v>
      </c>
      <c r="C380" s="13">
        <v>0.18179999999999999</v>
      </c>
      <c r="D380" s="13">
        <v>0.43</v>
      </c>
      <c r="E380" s="13">
        <v>0.19400000000000001</v>
      </c>
      <c r="F380" s="13">
        <v>0</v>
      </c>
      <c r="G380" s="13">
        <v>5</v>
      </c>
      <c r="H380" s="13">
        <v>5</v>
      </c>
      <c r="J380" t="str">
        <f t="shared" si="35"/>
        <v>Unique</v>
      </c>
      <c r="K380" t="str">
        <f t="shared" si="36"/>
        <v>Hot</v>
      </c>
      <c r="L380" t="str">
        <f t="shared" si="37"/>
        <v>Low</v>
      </c>
      <c r="M380" t="str">
        <f t="shared" si="38"/>
        <v>Medium Wind</v>
      </c>
      <c r="N380" t="str">
        <f t="shared" si="39"/>
        <v>Low</v>
      </c>
      <c r="O380" t="str">
        <f t="shared" si="40"/>
        <v>Low</v>
      </c>
      <c r="P380" t="str">
        <f t="shared" si="41"/>
        <v>Low Demand</v>
      </c>
    </row>
    <row r="381" spans="1:16" ht="13.8">
      <c r="A381" s="13">
        <v>379</v>
      </c>
      <c r="B381" s="13">
        <v>380</v>
      </c>
      <c r="C381" s="13">
        <v>0.18179999999999999</v>
      </c>
      <c r="D381" s="13">
        <v>0.5</v>
      </c>
      <c r="E381" s="13">
        <v>0.1343</v>
      </c>
      <c r="F381" s="13">
        <v>4</v>
      </c>
      <c r="G381" s="13">
        <v>9</v>
      </c>
      <c r="H381" s="13">
        <v>13</v>
      </c>
      <c r="J381" t="str">
        <f t="shared" si="35"/>
        <v>Unique</v>
      </c>
      <c r="K381" t="str">
        <f t="shared" si="36"/>
        <v>Hot</v>
      </c>
      <c r="L381" t="str">
        <f t="shared" si="37"/>
        <v>Low</v>
      </c>
      <c r="M381" t="str">
        <f t="shared" si="38"/>
        <v>High Wind</v>
      </c>
      <c r="N381" t="str">
        <f t="shared" si="39"/>
        <v>Low</v>
      </c>
      <c r="O381" t="str">
        <f t="shared" si="40"/>
        <v>Low</v>
      </c>
      <c r="P381" t="str">
        <f t="shared" si="41"/>
        <v>Low Demand</v>
      </c>
    </row>
    <row r="382" spans="1:16" ht="13.8">
      <c r="A382" s="13">
        <v>380</v>
      </c>
      <c r="B382" s="13">
        <v>381</v>
      </c>
      <c r="C382" s="13">
        <v>0.1515</v>
      </c>
      <c r="D382" s="13">
        <v>0.47</v>
      </c>
      <c r="E382" s="13">
        <v>0.22389999999999999</v>
      </c>
      <c r="F382" s="13">
        <v>3</v>
      </c>
      <c r="G382" s="13">
        <v>30</v>
      </c>
      <c r="H382" s="13">
        <v>33</v>
      </c>
      <c r="J382" t="str">
        <f t="shared" si="35"/>
        <v>Unique</v>
      </c>
      <c r="K382" t="str">
        <f t="shared" si="36"/>
        <v>Hot</v>
      </c>
      <c r="L382" t="str">
        <f t="shared" si="37"/>
        <v>Low</v>
      </c>
      <c r="M382" t="str">
        <f t="shared" si="38"/>
        <v>Medium Wind</v>
      </c>
      <c r="N382" t="str">
        <f t="shared" si="39"/>
        <v>Low</v>
      </c>
      <c r="O382" t="str">
        <f t="shared" si="40"/>
        <v>Low</v>
      </c>
      <c r="P382" t="str">
        <f t="shared" si="41"/>
        <v>Low Demand</v>
      </c>
    </row>
    <row r="383" spans="1:16" ht="13.8">
      <c r="A383" s="13">
        <v>381</v>
      </c>
      <c r="B383" s="13">
        <v>382</v>
      </c>
      <c r="C383" s="13">
        <v>0.1515</v>
      </c>
      <c r="D383" s="13">
        <v>0.47</v>
      </c>
      <c r="E383" s="13">
        <v>0.22389999999999999</v>
      </c>
      <c r="F383" s="13">
        <v>8</v>
      </c>
      <c r="G383" s="13">
        <v>39</v>
      </c>
      <c r="H383" s="13">
        <v>47</v>
      </c>
      <c r="J383" t="str">
        <f t="shared" si="35"/>
        <v>Unique</v>
      </c>
      <c r="K383" t="str">
        <f t="shared" si="36"/>
        <v>Hot</v>
      </c>
      <c r="L383" t="str">
        <f t="shared" si="37"/>
        <v>Low</v>
      </c>
      <c r="M383" t="str">
        <f t="shared" si="38"/>
        <v>Medium Wind</v>
      </c>
      <c r="N383" t="str">
        <f t="shared" si="39"/>
        <v>Low</v>
      </c>
      <c r="O383" t="str">
        <f t="shared" si="40"/>
        <v>Low</v>
      </c>
      <c r="P383" t="str">
        <f t="shared" si="41"/>
        <v>Low Demand</v>
      </c>
    </row>
    <row r="384" spans="1:16" ht="13.8">
      <c r="A384" s="13">
        <v>382</v>
      </c>
      <c r="B384" s="13">
        <v>383</v>
      </c>
      <c r="C384" s="13">
        <v>0.1515</v>
      </c>
      <c r="D384" s="13">
        <v>0.5</v>
      </c>
      <c r="E384" s="13">
        <v>0.25369999999999998</v>
      </c>
      <c r="F384" s="13">
        <v>7</v>
      </c>
      <c r="G384" s="13">
        <v>50</v>
      </c>
      <c r="H384" s="13">
        <v>57</v>
      </c>
      <c r="J384" t="str">
        <f t="shared" si="35"/>
        <v>Unique</v>
      </c>
      <c r="K384" t="str">
        <f t="shared" si="36"/>
        <v>Hot</v>
      </c>
      <c r="L384" t="str">
        <f t="shared" si="37"/>
        <v>Low</v>
      </c>
      <c r="M384" t="str">
        <f t="shared" si="38"/>
        <v>High Wind</v>
      </c>
      <c r="N384" t="str">
        <f t="shared" si="39"/>
        <v>Low</v>
      </c>
      <c r="O384" t="str">
        <f t="shared" si="40"/>
        <v>Low</v>
      </c>
      <c r="P384" t="str">
        <f t="shared" si="41"/>
        <v>Low Demand</v>
      </c>
    </row>
    <row r="385" spans="1:16" ht="13.8">
      <c r="A385" s="13">
        <v>383</v>
      </c>
      <c r="B385" s="13">
        <v>384</v>
      </c>
      <c r="C385" s="13">
        <v>0.1515</v>
      </c>
      <c r="D385" s="13">
        <v>0.55000000000000004</v>
      </c>
      <c r="E385" s="13">
        <v>0.19400000000000001</v>
      </c>
      <c r="F385" s="13">
        <v>9</v>
      </c>
      <c r="G385" s="13">
        <v>55</v>
      </c>
      <c r="H385" s="13">
        <v>64</v>
      </c>
      <c r="J385" t="str">
        <f t="shared" si="35"/>
        <v>Unique</v>
      </c>
      <c r="K385" t="str">
        <f t="shared" si="36"/>
        <v>Hot</v>
      </c>
      <c r="L385" t="str">
        <f t="shared" si="37"/>
        <v>Low</v>
      </c>
      <c r="M385" t="str">
        <f t="shared" si="38"/>
        <v>High Wind</v>
      </c>
      <c r="N385" t="str">
        <f t="shared" si="39"/>
        <v>Low</v>
      </c>
      <c r="O385" t="str">
        <f t="shared" si="40"/>
        <v>Low</v>
      </c>
      <c r="P385" t="str">
        <f t="shared" si="41"/>
        <v>Low Demand</v>
      </c>
    </row>
    <row r="386" spans="1:16" ht="13.8">
      <c r="A386" s="13">
        <v>384</v>
      </c>
      <c r="B386" s="13">
        <v>385</v>
      </c>
      <c r="C386" s="13">
        <v>0.19700000000000001</v>
      </c>
      <c r="D386" s="13">
        <v>0.47</v>
      </c>
      <c r="E386" s="13">
        <v>0.1343</v>
      </c>
      <c r="F386" s="13">
        <v>10</v>
      </c>
      <c r="G386" s="13">
        <v>70</v>
      </c>
      <c r="H386" s="13">
        <v>80</v>
      </c>
      <c r="J386" t="str">
        <f t="shared" si="35"/>
        <v>Unique</v>
      </c>
      <c r="K386" t="str">
        <f t="shared" si="36"/>
        <v>Hot</v>
      </c>
      <c r="L386" t="str">
        <f t="shared" si="37"/>
        <v>Low</v>
      </c>
      <c r="M386" t="str">
        <f t="shared" si="38"/>
        <v>Medium Wind</v>
      </c>
      <c r="N386" t="str">
        <f t="shared" si="39"/>
        <v>Low</v>
      </c>
      <c r="O386" t="str">
        <f t="shared" si="40"/>
        <v>Low</v>
      </c>
      <c r="P386" t="str">
        <f t="shared" si="41"/>
        <v>Low Demand</v>
      </c>
    </row>
    <row r="387" spans="1:16" ht="13.8">
      <c r="A387" s="13">
        <v>385</v>
      </c>
      <c r="B387" s="13">
        <v>386</v>
      </c>
      <c r="C387" s="13">
        <v>0.19700000000000001</v>
      </c>
      <c r="D387" s="13">
        <v>0.47</v>
      </c>
      <c r="E387" s="13">
        <v>0.1343</v>
      </c>
      <c r="F387" s="13">
        <v>13</v>
      </c>
      <c r="G387" s="13">
        <v>80</v>
      </c>
      <c r="H387" s="13">
        <v>93</v>
      </c>
      <c r="J387" t="str">
        <f t="shared" ref="J387:J450" si="42">IF(COUNTIF(A:A,A387)&gt;1,"Duplicate","Unique")</f>
        <v>Unique</v>
      </c>
      <c r="K387" t="str">
        <f t="shared" ref="K387:K450" si="43">IF(B387&lt;0.3,"Cold",IF(B387&lt;0.6,"Normal","Hot"))</f>
        <v>Hot</v>
      </c>
      <c r="L387" t="str">
        <f t="shared" ref="L387:L450" si="44">IF(C387&lt;0.4,"Low",IF(C387&lt;0.7,"Medium","High"))</f>
        <v>Low</v>
      </c>
      <c r="M387" t="str">
        <f t="shared" ref="M387:M450" si="45">IF(D387&lt;0.2,"Low Wind",IF(D387&lt;0.5,"Medium Wind","High Wind"))</f>
        <v>Medium Wind</v>
      </c>
      <c r="N387" t="str">
        <f t="shared" ref="N387:N450" si="46">IF(E387&lt;50,"Low",IF(E387&lt;150,"Medium","High"))</f>
        <v>Low</v>
      </c>
      <c r="O387" t="str">
        <f t="shared" ref="O387:O450" si="47">IF(F387&lt;100,"Low",IF(F387&lt;300,"Medium","High"))</f>
        <v>Low</v>
      </c>
      <c r="P387" t="str">
        <f t="shared" ref="P387:P450" si="48">IF(G387&lt;100,"Low Demand",IF(G387&lt;300,"Medium Demand","High Demand"))</f>
        <v>Low Demand</v>
      </c>
    </row>
    <row r="388" spans="1:16" ht="13.8">
      <c r="A388" s="13">
        <v>386</v>
      </c>
      <c r="B388" s="13">
        <v>387</v>
      </c>
      <c r="C388" s="13">
        <v>0.21210000000000001</v>
      </c>
      <c r="D388" s="13">
        <v>0.43</v>
      </c>
      <c r="E388" s="13">
        <v>0.1045</v>
      </c>
      <c r="F388" s="13">
        <v>12</v>
      </c>
      <c r="G388" s="13">
        <v>74</v>
      </c>
      <c r="H388" s="13">
        <v>86</v>
      </c>
      <c r="J388" t="str">
        <f t="shared" si="42"/>
        <v>Unique</v>
      </c>
      <c r="K388" t="str">
        <f t="shared" si="43"/>
        <v>Hot</v>
      </c>
      <c r="L388" t="str">
        <f t="shared" si="44"/>
        <v>Low</v>
      </c>
      <c r="M388" t="str">
        <f t="shared" si="45"/>
        <v>Medium Wind</v>
      </c>
      <c r="N388" t="str">
        <f t="shared" si="46"/>
        <v>Low</v>
      </c>
      <c r="O388" t="str">
        <f t="shared" si="47"/>
        <v>Low</v>
      </c>
      <c r="P388" t="str">
        <f t="shared" si="48"/>
        <v>Low Demand</v>
      </c>
    </row>
    <row r="389" spans="1:16" ht="13.8">
      <c r="A389" s="13">
        <v>387</v>
      </c>
      <c r="B389" s="13">
        <v>388</v>
      </c>
      <c r="C389" s="13">
        <v>0.21210000000000001</v>
      </c>
      <c r="D389" s="13">
        <v>0.47</v>
      </c>
      <c r="E389" s="13">
        <v>0.16420000000000001</v>
      </c>
      <c r="F389" s="13">
        <v>21</v>
      </c>
      <c r="G389" s="13">
        <v>72</v>
      </c>
      <c r="H389" s="13">
        <v>93</v>
      </c>
      <c r="J389" t="str">
        <f t="shared" si="42"/>
        <v>Unique</v>
      </c>
      <c r="K389" t="str">
        <f t="shared" si="43"/>
        <v>Hot</v>
      </c>
      <c r="L389" t="str">
        <f t="shared" si="44"/>
        <v>Low</v>
      </c>
      <c r="M389" t="str">
        <f t="shared" si="45"/>
        <v>Medium Wind</v>
      </c>
      <c r="N389" t="str">
        <f t="shared" si="46"/>
        <v>Low</v>
      </c>
      <c r="O389" t="str">
        <f t="shared" si="47"/>
        <v>Low</v>
      </c>
      <c r="P389" t="str">
        <f t="shared" si="48"/>
        <v>Low Demand</v>
      </c>
    </row>
    <row r="390" spans="1:16" ht="13.8">
      <c r="A390" s="13">
        <v>388</v>
      </c>
      <c r="B390" s="13">
        <v>389</v>
      </c>
      <c r="C390" s="13">
        <v>0.21210000000000001</v>
      </c>
      <c r="D390" s="13">
        <v>0.47</v>
      </c>
      <c r="E390" s="13">
        <v>0.16420000000000001</v>
      </c>
      <c r="F390" s="13">
        <v>6</v>
      </c>
      <c r="G390" s="13">
        <v>76</v>
      </c>
      <c r="H390" s="13">
        <v>82</v>
      </c>
      <c r="J390" t="str">
        <f t="shared" si="42"/>
        <v>Unique</v>
      </c>
      <c r="K390" t="str">
        <f t="shared" si="43"/>
        <v>Hot</v>
      </c>
      <c r="L390" t="str">
        <f t="shared" si="44"/>
        <v>Low</v>
      </c>
      <c r="M390" t="str">
        <f t="shared" si="45"/>
        <v>Medium Wind</v>
      </c>
      <c r="N390" t="str">
        <f t="shared" si="46"/>
        <v>Low</v>
      </c>
      <c r="O390" t="str">
        <f t="shared" si="47"/>
        <v>Low</v>
      </c>
      <c r="P390" t="str">
        <f t="shared" si="48"/>
        <v>Low Demand</v>
      </c>
    </row>
    <row r="391" spans="1:16" ht="13.8">
      <c r="A391" s="13">
        <v>389</v>
      </c>
      <c r="B391" s="13">
        <v>390</v>
      </c>
      <c r="C391" s="13">
        <v>0.19700000000000001</v>
      </c>
      <c r="D391" s="13">
        <v>0.51</v>
      </c>
      <c r="E391" s="13">
        <v>0.19400000000000001</v>
      </c>
      <c r="F391" s="13">
        <v>4</v>
      </c>
      <c r="G391" s="13">
        <v>67</v>
      </c>
      <c r="H391" s="13">
        <v>71</v>
      </c>
      <c r="J391" t="str">
        <f t="shared" si="42"/>
        <v>Unique</v>
      </c>
      <c r="K391" t="str">
        <f t="shared" si="43"/>
        <v>Hot</v>
      </c>
      <c r="L391" t="str">
        <f t="shared" si="44"/>
        <v>Low</v>
      </c>
      <c r="M391" t="str">
        <f t="shared" si="45"/>
        <v>High Wind</v>
      </c>
      <c r="N391" t="str">
        <f t="shared" si="46"/>
        <v>Low</v>
      </c>
      <c r="O391" t="str">
        <f t="shared" si="47"/>
        <v>Low</v>
      </c>
      <c r="P391" t="str">
        <f t="shared" si="48"/>
        <v>Low Demand</v>
      </c>
    </row>
    <row r="392" spans="1:16" ht="13.8">
      <c r="A392" s="13">
        <v>390</v>
      </c>
      <c r="B392" s="13">
        <v>391</v>
      </c>
      <c r="C392" s="13">
        <v>0.16669999999999999</v>
      </c>
      <c r="D392" s="13">
        <v>0.55000000000000004</v>
      </c>
      <c r="E392" s="13">
        <v>0.25369999999999998</v>
      </c>
      <c r="F392" s="13">
        <v>7</v>
      </c>
      <c r="G392" s="13">
        <v>85</v>
      </c>
      <c r="H392" s="13">
        <v>92</v>
      </c>
      <c r="J392" t="str">
        <f t="shared" si="42"/>
        <v>Unique</v>
      </c>
      <c r="K392" t="str">
        <f t="shared" si="43"/>
        <v>Hot</v>
      </c>
      <c r="L392" t="str">
        <f t="shared" si="44"/>
        <v>Low</v>
      </c>
      <c r="M392" t="str">
        <f t="shared" si="45"/>
        <v>High Wind</v>
      </c>
      <c r="N392" t="str">
        <f t="shared" si="46"/>
        <v>Low</v>
      </c>
      <c r="O392" t="str">
        <f t="shared" si="47"/>
        <v>Low</v>
      </c>
      <c r="P392" t="str">
        <f t="shared" si="48"/>
        <v>Low Demand</v>
      </c>
    </row>
    <row r="393" spans="1:16" ht="13.8">
      <c r="A393" s="13">
        <v>391</v>
      </c>
      <c r="B393" s="13">
        <v>392</v>
      </c>
      <c r="C393" s="13">
        <v>0.18179999999999999</v>
      </c>
      <c r="D393" s="13">
        <v>0.59</v>
      </c>
      <c r="E393" s="13">
        <v>0.19400000000000001</v>
      </c>
      <c r="F393" s="13">
        <v>2</v>
      </c>
      <c r="G393" s="13">
        <v>58</v>
      </c>
      <c r="H393" s="13">
        <v>60</v>
      </c>
      <c r="J393" t="str">
        <f t="shared" si="42"/>
        <v>Unique</v>
      </c>
      <c r="K393" t="str">
        <f t="shared" si="43"/>
        <v>Hot</v>
      </c>
      <c r="L393" t="str">
        <f t="shared" si="44"/>
        <v>Low</v>
      </c>
      <c r="M393" t="str">
        <f t="shared" si="45"/>
        <v>High Wind</v>
      </c>
      <c r="N393" t="str">
        <f t="shared" si="46"/>
        <v>Low</v>
      </c>
      <c r="O393" t="str">
        <f t="shared" si="47"/>
        <v>Low</v>
      </c>
      <c r="P393" t="str">
        <f t="shared" si="48"/>
        <v>Low Demand</v>
      </c>
    </row>
    <row r="394" spans="1:16" ht="13.8">
      <c r="A394" s="13">
        <v>392</v>
      </c>
      <c r="B394" s="13">
        <v>393</v>
      </c>
      <c r="C394" s="13">
        <v>0.1515</v>
      </c>
      <c r="D394" s="13">
        <v>0.8</v>
      </c>
      <c r="E394" s="13">
        <v>0.19400000000000001</v>
      </c>
      <c r="F394" s="13">
        <v>4</v>
      </c>
      <c r="G394" s="13">
        <v>29</v>
      </c>
      <c r="H394" s="13">
        <v>33</v>
      </c>
      <c r="J394" t="str">
        <f t="shared" si="42"/>
        <v>Unique</v>
      </c>
      <c r="K394" t="str">
        <f t="shared" si="43"/>
        <v>Hot</v>
      </c>
      <c r="L394" t="str">
        <f t="shared" si="44"/>
        <v>Low</v>
      </c>
      <c r="M394" t="str">
        <f t="shared" si="45"/>
        <v>High Wind</v>
      </c>
      <c r="N394" t="str">
        <f t="shared" si="46"/>
        <v>Low</v>
      </c>
      <c r="O394" t="str">
        <f t="shared" si="47"/>
        <v>Low</v>
      </c>
      <c r="P394" t="str">
        <f t="shared" si="48"/>
        <v>Low Demand</v>
      </c>
    </row>
    <row r="395" spans="1:16" ht="13.8">
      <c r="A395" s="13">
        <v>393</v>
      </c>
      <c r="B395" s="13">
        <v>394</v>
      </c>
      <c r="C395" s="13">
        <v>0.1515</v>
      </c>
      <c r="D395" s="13">
        <v>0.8</v>
      </c>
      <c r="E395" s="13">
        <v>0.19400000000000001</v>
      </c>
      <c r="F395" s="13">
        <v>3</v>
      </c>
      <c r="G395" s="13">
        <v>24</v>
      </c>
      <c r="H395" s="13">
        <v>27</v>
      </c>
      <c r="J395" t="str">
        <f t="shared" si="42"/>
        <v>Unique</v>
      </c>
      <c r="K395" t="str">
        <f t="shared" si="43"/>
        <v>Hot</v>
      </c>
      <c r="L395" t="str">
        <f t="shared" si="44"/>
        <v>Low</v>
      </c>
      <c r="M395" t="str">
        <f t="shared" si="45"/>
        <v>High Wind</v>
      </c>
      <c r="N395" t="str">
        <f t="shared" si="46"/>
        <v>Low</v>
      </c>
      <c r="O395" t="str">
        <f t="shared" si="47"/>
        <v>Low</v>
      </c>
      <c r="P395" t="str">
        <f t="shared" si="48"/>
        <v>Low Demand</v>
      </c>
    </row>
    <row r="396" spans="1:16" ht="13.8">
      <c r="A396" s="13">
        <v>394</v>
      </c>
      <c r="B396" s="13">
        <v>395</v>
      </c>
      <c r="C396" s="13">
        <v>0.1212</v>
      </c>
      <c r="D396" s="13">
        <v>0.93</v>
      </c>
      <c r="E396" s="13">
        <v>0.25369999999999998</v>
      </c>
      <c r="F396" s="13">
        <v>0</v>
      </c>
      <c r="G396" s="13">
        <v>13</v>
      </c>
      <c r="H396" s="13">
        <v>13</v>
      </c>
      <c r="J396" t="str">
        <f t="shared" si="42"/>
        <v>Unique</v>
      </c>
      <c r="K396" t="str">
        <f t="shared" si="43"/>
        <v>Hot</v>
      </c>
      <c r="L396" t="str">
        <f t="shared" si="44"/>
        <v>Low</v>
      </c>
      <c r="M396" t="str">
        <f t="shared" si="45"/>
        <v>High Wind</v>
      </c>
      <c r="N396" t="str">
        <f t="shared" si="46"/>
        <v>Low</v>
      </c>
      <c r="O396" t="str">
        <f t="shared" si="47"/>
        <v>Low</v>
      </c>
      <c r="P396" t="str">
        <f t="shared" si="48"/>
        <v>Low Demand</v>
      </c>
    </row>
    <row r="397" spans="1:16" ht="13.8">
      <c r="A397" s="13">
        <v>395</v>
      </c>
      <c r="B397" s="13">
        <v>396</v>
      </c>
      <c r="C397" s="13">
        <v>0.13639999999999999</v>
      </c>
      <c r="D397" s="13">
        <v>0.86</v>
      </c>
      <c r="E397" s="13">
        <v>0.28360000000000002</v>
      </c>
      <c r="F397" s="13">
        <v>1</v>
      </c>
      <c r="G397" s="13">
        <v>3</v>
      </c>
      <c r="H397" s="13">
        <v>4</v>
      </c>
      <c r="J397" t="str">
        <f t="shared" si="42"/>
        <v>Unique</v>
      </c>
      <c r="K397" t="str">
        <f t="shared" si="43"/>
        <v>Hot</v>
      </c>
      <c r="L397" t="str">
        <f t="shared" si="44"/>
        <v>Low</v>
      </c>
      <c r="M397" t="str">
        <f t="shared" si="45"/>
        <v>High Wind</v>
      </c>
      <c r="N397" t="str">
        <f t="shared" si="46"/>
        <v>Low</v>
      </c>
      <c r="O397" t="str">
        <f t="shared" si="47"/>
        <v>Low</v>
      </c>
      <c r="P397" t="str">
        <f t="shared" si="48"/>
        <v>Low Demand</v>
      </c>
    </row>
    <row r="398" spans="1:16" ht="13.8">
      <c r="A398" s="13">
        <v>396</v>
      </c>
      <c r="B398" s="13">
        <v>397</v>
      </c>
      <c r="C398" s="13">
        <v>0.18179999999999999</v>
      </c>
      <c r="D398" s="13">
        <v>0.86</v>
      </c>
      <c r="E398" s="13">
        <v>0.32840000000000003</v>
      </c>
      <c r="F398" s="13">
        <v>0</v>
      </c>
      <c r="G398" s="13">
        <v>3</v>
      </c>
      <c r="H398" s="13">
        <v>3</v>
      </c>
      <c r="J398" t="str">
        <f t="shared" si="42"/>
        <v>Unique</v>
      </c>
      <c r="K398" t="str">
        <f t="shared" si="43"/>
        <v>Hot</v>
      </c>
      <c r="L398" t="str">
        <f t="shared" si="44"/>
        <v>Low</v>
      </c>
      <c r="M398" t="str">
        <f t="shared" si="45"/>
        <v>High Wind</v>
      </c>
      <c r="N398" t="str">
        <f t="shared" si="46"/>
        <v>Low</v>
      </c>
      <c r="O398" t="str">
        <f t="shared" si="47"/>
        <v>Low</v>
      </c>
      <c r="P398" t="str">
        <f t="shared" si="48"/>
        <v>Low Demand</v>
      </c>
    </row>
    <row r="399" spans="1:16" ht="13.8">
      <c r="A399" s="13">
        <v>397</v>
      </c>
      <c r="B399" s="13">
        <v>398</v>
      </c>
      <c r="C399" s="13">
        <v>0.19700000000000001</v>
      </c>
      <c r="D399" s="13">
        <v>0.86</v>
      </c>
      <c r="E399" s="13">
        <v>0.22389999999999999</v>
      </c>
      <c r="F399" s="13">
        <v>0</v>
      </c>
      <c r="G399" s="13">
        <v>22</v>
      </c>
      <c r="H399" s="13">
        <v>22</v>
      </c>
      <c r="J399" t="str">
        <f t="shared" si="42"/>
        <v>Unique</v>
      </c>
      <c r="K399" t="str">
        <f t="shared" si="43"/>
        <v>Hot</v>
      </c>
      <c r="L399" t="str">
        <f t="shared" si="44"/>
        <v>Low</v>
      </c>
      <c r="M399" t="str">
        <f t="shared" si="45"/>
        <v>High Wind</v>
      </c>
      <c r="N399" t="str">
        <f t="shared" si="46"/>
        <v>Low</v>
      </c>
      <c r="O399" t="str">
        <f t="shared" si="47"/>
        <v>Low</v>
      </c>
      <c r="P399" t="str">
        <f t="shared" si="48"/>
        <v>Low Demand</v>
      </c>
    </row>
    <row r="400" spans="1:16" ht="13.8">
      <c r="A400" s="13">
        <v>398</v>
      </c>
      <c r="B400" s="13">
        <v>399</v>
      </c>
      <c r="C400" s="13">
        <v>0.2273</v>
      </c>
      <c r="D400" s="13">
        <v>0.8</v>
      </c>
      <c r="E400" s="13">
        <v>0.16420000000000001</v>
      </c>
      <c r="F400" s="13">
        <v>2</v>
      </c>
      <c r="G400" s="13">
        <v>26</v>
      </c>
      <c r="H400" s="13">
        <v>28</v>
      </c>
      <c r="J400" t="str">
        <f t="shared" si="42"/>
        <v>Unique</v>
      </c>
      <c r="K400" t="str">
        <f t="shared" si="43"/>
        <v>Hot</v>
      </c>
      <c r="L400" t="str">
        <f t="shared" si="44"/>
        <v>Low</v>
      </c>
      <c r="M400" t="str">
        <f t="shared" si="45"/>
        <v>High Wind</v>
      </c>
      <c r="N400" t="str">
        <f t="shared" si="46"/>
        <v>Low</v>
      </c>
      <c r="O400" t="str">
        <f t="shared" si="47"/>
        <v>Low</v>
      </c>
      <c r="P400" t="str">
        <f t="shared" si="48"/>
        <v>Low Demand</v>
      </c>
    </row>
    <row r="401" spans="1:16" ht="13.8">
      <c r="A401" s="13">
        <v>399</v>
      </c>
      <c r="B401" s="13">
        <v>400</v>
      </c>
      <c r="C401" s="13">
        <v>0.2273</v>
      </c>
      <c r="D401" s="13">
        <v>0.87</v>
      </c>
      <c r="E401" s="13">
        <v>0.16420000000000001</v>
      </c>
      <c r="F401" s="13">
        <v>3</v>
      </c>
      <c r="G401" s="13">
        <v>32</v>
      </c>
      <c r="H401" s="13">
        <v>35</v>
      </c>
      <c r="J401" t="str">
        <f t="shared" si="42"/>
        <v>Unique</v>
      </c>
      <c r="K401" t="str">
        <f t="shared" si="43"/>
        <v>Hot</v>
      </c>
      <c r="L401" t="str">
        <f t="shared" si="44"/>
        <v>Low</v>
      </c>
      <c r="M401" t="str">
        <f t="shared" si="45"/>
        <v>High Wind</v>
      </c>
      <c r="N401" t="str">
        <f t="shared" si="46"/>
        <v>Low</v>
      </c>
      <c r="O401" t="str">
        <f t="shared" si="47"/>
        <v>Low</v>
      </c>
      <c r="P401" t="str">
        <f t="shared" si="48"/>
        <v>Low Demand</v>
      </c>
    </row>
    <row r="402" spans="1:16" ht="13.8">
      <c r="A402" s="13">
        <v>400</v>
      </c>
      <c r="B402" s="13">
        <v>401</v>
      </c>
      <c r="C402" s="13">
        <v>0.2273</v>
      </c>
      <c r="D402" s="13">
        <v>0.87</v>
      </c>
      <c r="E402" s="13">
        <v>0.19400000000000001</v>
      </c>
      <c r="F402" s="13">
        <v>0</v>
      </c>
      <c r="G402" s="13">
        <v>61</v>
      </c>
      <c r="H402" s="13">
        <v>61</v>
      </c>
      <c r="J402" t="str">
        <f t="shared" si="42"/>
        <v>Unique</v>
      </c>
      <c r="K402" t="str">
        <f t="shared" si="43"/>
        <v>Hot</v>
      </c>
      <c r="L402" t="str">
        <f t="shared" si="44"/>
        <v>Low</v>
      </c>
      <c r="M402" t="str">
        <f t="shared" si="45"/>
        <v>High Wind</v>
      </c>
      <c r="N402" t="str">
        <f t="shared" si="46"/>
        <v>Low</v>
      </c>
      <c r="O402" t="str">
        <f t="shared" si="47"/>
        <v>Low</v>
      </c>
      <c r="P402" t="str">
        <f t="shared" si="48"/>
        <v>Low Demand</v>
      </c>
    </row>
    <row r="403" spans="1:16" ht="13.8">
      <c r="A403" s="13">
        <v>401</v>
      </c>
      <c r="B403" s="13">
        <v>402</v>
      </c>
      <c r="C403" s="13">
        <v>0.2273</v>
      </c>
      <c r="D403" s="13">
        <v>0.82</v>
      </c>
      <c r="E403" s="13">
        <v>0.19400000000000001</v>
      </c>
      <c r="F403" s="13">
        <v>1</v>
      </c>
      <c r="G403" s="13">
        <v>124</v>
      </c>
      <c r="H403" s="13">
        <v>125</v>
      </c>
      <c r="J403" t="str">
        <f t="shared" si="42"/>
        <v>Unique</v>
      </c>
      <c r="K403" t="str">
        <f t="shared" si="43"/>
        <v>Hot</v>
      </c>
      <c r="L403" t="str">
        <f t="shared" si="44"/>
        <v>Low</v>
      </c>
      <c r="M403" t="str">
        <f t="shared" si="45"/>
        <v>High Wind</v>
      </c>
      <c r="N403" t="str">
        <f t="shared" si="46"/>
        <v>Low</v>
      </c>
      <c r="O403" t="str">
        <f t="shared" si="47"/>
        <v>Low</v>
      </c>
      <c r="P403" t="str">
        <f t="shared" si="48"/>
        <v>Medium Demand</v>
      </c>
    </row>
    <row r="404" spans="1:16" ht="13.8">
      <c r="A404" s="13">
        <v>402</v>
      </c>
      <c r="B404" s="13">
        <v>403</v>
      </c>
      <c r="C404" s="13">
        <v>0.2273</v>
      </c>
      <c r="D404" s="13">
        <v>0.8</v>
      </c>
      <c r="E404" s="13">
        <v>0.16420000000000001</v>
      </c>
      <c r="F404" s="13">
        <v>1</v>
      </c>
      <c r="G404" s="13">
        <v>132</v>
      </c>
      <c r="H404" s="13">
        <v>133</v>
      </c>
      <c r="J404" t="str">
        <f t="shared" si="42"/>
        <v>Unique</v>
      </c>
      <c r="K404" t="str">
        <f t="shared" si="43"/>
        <v>Hot</v>
      </c>
      <c r="L404" t="str">
        <f t="shared" si="44"/>
        <v>Low</v>
      </c>
      <c r="M404" t="str">
        <f t="shared" si="45"/>
        <v>High Wind</v>
      </c>
      <c r="N404" t="str">
        <f t="shared" si="46"/>
        <v>Low</v>
      </c>
      <c r="O404" t="str">
        <f t="shared" si="47"/>
        <v>Low</v>
      </c>
      <c r="P404" t="str">
        <f t="shared" si="48"/>
        <v>Medium Demand</v>
      </c>
    </row>
    <row r="405" spans="1:16" ht="13.8">
      <c r="A405" s="13">
        <v>403</v>
      </c>
      <c r="B405" s="13">
        <v>404</v>
      </c>
      <c r="C405" s="13">
        <v>0.2273</v>
      </c>
      <c r="D405" s="13">
        <v>0.8</v>
      </c>
      <c r="E405" s="13">
        <v>0.1343</v>
      </c>
      <c r="F405" s="13">
        <v>1</v>
      </c>
      <c r="G405" s="13">
        <v>98</v>
      </c>
      <c r="H405" s="13">
        <v>99</v>
      </c>
      <c r="J405" t="str">
        <f t="shared" si="42"/>
        <v>Unique</v>
      </c>
      <c r="K405" t="str">
        <f t="shared" si="43"/>
        <v>Hot</v>
      </c>
      <c r="L405" t="str">
        <f t="shared" si="44"/>
        <v>Low</v>
      </c>
      <c r="M405" t="str">
        <f t="shared" si="45"/>
        <v>High Wind</v>
      </c>
      <c r="N405" t="str">
        <f t="shared" si="46"/>
        <v>Low</v>
      </c>
      <c r="O405" t="str">
        <f t="shared" si="47"/>
        <v>Low</v>
      </c>
      <c r="P405" t="str">
        <f t="shared" si="48"/>
        <v>Low Demand</v>
      </c>
    </row>
    <row r="406" spans="1:16" ht="13.8">
      <c r="A406" s="13">
        <v>404</v>
      </c>
      <c r="B406" s="13">
        <v>405</v>
      </c>
      <c r="C406" s="13">
        <v>0.2727</v>
      </c>
      <c r="D406" s="13">
        <v>0.87</v>
      </c>
      <c r="E406" s="13">
        <v>0</v>
      </c>
      <c r="F406" s="13">
        <v>0</v>
      </c>
      <c r="G406" s="13">
        <v>83</v>
      </c>
      <c r="H406" s="13">
        <v>83</v>
      </c>
      <c r="J406" t="str">
        <f t="shared" si="42"/>
        <v>Unique</v>
      </c>
      <c r="K406" t="str">
        <f t="shared" si="43"/>
        <v>Hot</v>
      </c>
      <c r="L406" t="str">
        <f t="shared" si="44"/>
        <v>Low</v>
      </c>
      <c r="M406" t="str">
        <f t="shared" si="45"/>
        <v>High Wind</v>
      </c>
      <c r="N406" t="str">
        <f t="shared" si="46"/>
        <v>Low</v>
      </c>
      <c r="O406" t="str">
        <f t="shared" si="47"/>
        <v>Low</v>
      </c>
      <c r="P406" t="str">
        <f t="shared" si="48"/>
        <v>Low Demand</v>
      </c>
    </row>
    <row r="407" spans="1:16" ht="13.8">
      <c r="A407" s="13">
        <v>405</v>
      </c>
      <c r="B407" s="13">
        <v>406</v>
      </c>
      <c r="C407" s="13">
        <v>0.2424</v>
      </c>
      <c r="D407" s="13">
        <v>0.93</v>
      </c>
      <c r="E407" s="13">
        <v>0.1045</v>
      </c>
      <c r="F407" s="13">
        <v>0</v>
      </c>
      <c r="G407" s="13">
        <v>41</v>
      </c>
      <c r="H407" s="13">
        <v>41</v>
      </c>
      <c r="J407" t="str">
        <f t="shared" si="42"/>
        <v>Unique</v>
      </c>
      <c r="K407" t="str">
        <f t="shared" si="43"/>
        <v>Hot</v>
      </c>
      <c r="L407" t="str">
        <f t="shared" si="44"/>
        <v>Low</v>
      </c>
      <c r="M407" t="str">
        <f t="shared" si="45"/>
        <v>High Wind</v>
      </c>
      <c r="N407" t="str">
        <f t="shared" si="46"/>
        <v>Low</v>
      </c>
      <c r="O407" t="str">
        <f t="shared" si="47"/>
        <v>Low</v>
      </c>
      <c r="P407" t="str">
        <f t="shared" si="48"/>
        <v>Low Demand</v>
      </c>
    </row>
    <row r="408" spans="1:16" ht="13.8">
      <c r="A408" s="13">
        <v>406</v>
      </c>
      <c r="B408" s="13">
        <v>407</v>
      </c>
      <c r="C408" s="13">
        <v>0.2576</v>
      </c>
      <c r="D408" s="13">
        <v>0.93</v>
      </c>
      <c r="E408" s="13">
        <v>8.9599999999999999E-2</v>
      </c>
      <c r="F408" s="13">
        <v>0</v>
      </c>
      <c r="G408" s="13">
        <v>33</v>
      </c>
      <c r="H408" s="13">
        <v>33</v>
      </c>
      <c r="J408" t="str">
        <f t="shared" si="42"/>
        <v>Unique</v>
      </c>
      <c r="K408" t="str">
        <f t="shared" si="43"/>
        <v>Hot</v>
      </c>
      <c r="L408" t="str">
        <f t="shared" si="44"/>
        <v>Low</v>
      </c>
      <c r="M408" t="str">
        <f t="shared" si="45"/>
        <v>High Wind</v>
      </c>
      <c r="N408" t="str">
        <f t="shared" si="46"/>
        <v>Low</v>
      </c>
      <c r="O408" t="str">
        <f t="shared" si="47"/>
        <v>Low</v>
      </c>
      <c r="P408" t="str">
        <f t="shared" si="48"/>
        <v>Low Demand</v>
      </c>
    </row>
    <row r="409" spans="1:16" ht="13.8">
      <c r="A409" s="13">
        <v>407</v>
      </c>
      <c r="B409" s="13">
        <v>408</v>
      </c>
      <c r="C409" s="13">
        <v>0.2727</v>
      </c>
      <c r="D409" s="13">
        <v>0.93</v>
      </c>
      <c r="E409" s="13">
        <v>0</v>
      </c>
      <c r="F409" s="13">
        <v>1</v>
      </c>
      <c r="G409" s="13">
        <v>19</v>
      </c>
      <c r="H409" s="13">
        <v>20</v>
      </c>
      <c r="J409" t="str">
        <f t="shared" si="42"/>
        <v>Unique</v>
      </c>
      <c r="K409" t="str">
        <f t="shared" si="43"/>
        <v>Hot</v>
      </c>
      <c r="L409" t="str">
        <f t="shared" si="44"/>
        <v>Low</v>
      </c>
      <c r="M409" t="str">
        <f t="shared" si="45"/>
        <v>High Wind</v>
      </c>
      <c r="N409" t="str">
        <f t="shared" si="46"/>
        <v>Low</v>
      </c>
      <c r="O409" t="str">
        <f t="shared" si="47"/>
        <v>Low</v>
      </c>
      <c r="P409" t="str">
        <f t="shared" si="48"/>
        <v>Low Demand</v>
      </c>
    </row>
    <row r="410" spans="1:16" ht="13.8">
      <c r="A410" s="13">
        <v>408</v>
      </c>
      <c r="B410" s="13">
        <v>409</v>
      </c>
      <c r="C410" s="13">
        <v>0.2727</v>
      </c>
      <c r="D410" s="13">
        <v>0.93</v>
      </c>
      <c r="E410" s="13">
        <v>0</v>
      </c>
      <c r="F410" s="13">
        <v>0</v>
      </c>
      <c r="G410" s="13">
        <v>3</v>
      </c>
      <c r="H410" s="13">
        <v>3</v>
      </c>
      <c r="J410" t="str">
        <f t="shared" si="42"/>
        <v>Unique</v>
      </c>
      <c r="K410" t="str">
        <f t="shared" si="43"/>
        <v>Hot</v>
      </c>
      <c r="L410" t="str">
        <f t="shared" si="44"/>
        <v>Low</v>
      </c>
      <c r="M410" t="str">
        <f t="shared" si="45"/>
        <v>High Wind</v>
      </c>
      <c r="N410" t="str">
        <f t="shared" si="46"/>
        <v>Low</v>
      </c>
      <c r="O410" t="str">
        <f t="shared" si="47"/>
        <v>Low</v>
      </c>
      <c r="P410" t="str">
        <f t="shared" si="48"/>
        <v>Low Demand</v>
      </c>
    </row>
    <row r="411" spans="1:16" ht="13.8">
      <c r="A411" s="13">
        <v>409</v>
      </c>
      <c r="B411" s="13">
        <v>410</v>
      </c>
      <c r="C411" s="13">
        <v>0.2273</v>
      </c>
      <c r="D411" s="13">
        <v>0.93</v>
      </c>
      <c r="E411" s="13">
        <v>0.1343</v>
      </c>
      <c r="F411" s="13">
        <v>1</v>
      </c>
      <c r="G411" s="13">
        <v>6</v>
      </c>
      <c r="H411" s="13">
        <v>7</v>
      </c>
      <c r="J411" t="str">
        <f t="shared" si="42"/>
        <v>Unique</v>
      </c>
      <c r="K411" t="str">
        <f t="shared" si="43"/>
        <v>Hot</v>
      </c>
      <c r="L411" t="str">
        <f t="shared" si="44"/>
        <v>Low</v>
      </c>
      <c r="M411" t="str">
        <f t="shared" si="45"/>
        <v>High Wind</v>
      </c>
      <c r="N411" t="str">
        <f t="shared" si="46"/>
        <v>Low</v>
      </c>
      <c r="O411" t="str">
        <f t="shared" si="47"/>
        <v>Low</v>
      </c>
      <c r="P411" t="str">
        <f t="shared" si="48"/>
        <v>Low Demand</v>
      </c>
    </row>
    <row r="412" spans="1:16" ht="13.8">
      <c r="A412" s="13">
        <v>410</v>
      </c>
      <c r="B412" s="13">
        <v>411</v>
      </c>
      <c r="C412" s="13">
        <v>0.2273</v>
      </c>
      <c r="D412" s="13">
        <v>0.93</v>
      </c>
      <c r="E412" s="13">
        <v>0.1343</v>
      </c>
      <c r="F412" s="13">
        <v>0</v>
      </c>
      <c r="G412" s="13">
        <v>3</v>
      </c>
      <c r="H412" s="13">
        <v>3</v>
      </c>
      <c r="J412" t="str">
        <f t="shared" si="42"/>
        <v>Unique</v>
      </c>
      <c r="K412" t="str">
        <f t="shared" si="43"/>
        <v>Hot</v>
      </c>
      <c r="L412" t="str">
        <f t="shared" si="44"/>
        <v>Low</v>
      </c>
      <c r="M412" t="str">
        <f t="shared" si="45"/>
        <v>High Wind</v>
      </c>
      <c r="N412" t="str">
        <f t="shared" si="46"/>
        <v>Low</v>
      </c>
      <c r="O412" t="str">
        <f t="shared" si="47"/>
        <v>Low</v>
      </c>
      <c r="P412" t="str">
        <f t="shared" si="48"/>
        <v>Low Demand</v>
      </c>
    </row>
    <row r="413" spans="1:16" ht="13.8">
      <c r="A413" s="13">
        <v>411</v>
      </c>
      <c r="B413" s="13">
        <v>412</v>
      </c>
      <c r="C413" s="13">
        <v>0.2273</v>
      </c>
      <c r="D413" s="13">
        <v>0.93</v>
      </c>
      <c r="E413" s="13">
        <v>0.1343</v>
      </c>
      <c r="F413" s="13">
        <v>1</v>
      </c>
      <c r="G413" s="13">
        <v>1</v>
      </c>
      <c r="H413" s="13">
        <v>2</v>
      </c>
      <c r="J413" t="str">
        <f t="shared" si="42"/>
        <v>Unique</v>
      </c>
      <c r="K413" t="str">
        <f t="shared" si="43"/>
        <v>Hot</v>
      </c>
      <c r="L413" t="str">
        <f t="shared" si="44"/>
        <v>Low</v>
      </c>
      <c r="M413" t="str">
        <f t="shared" si="45"/>
        <v>High Wind</v>
      </c>
      <c r="N413" t="str">
        <f t="shared" si="46"/>
        <v>Low</v>
      </c>
      <c r="O413" t="str">
        <f t="shared" si="47"/>
        <v>Low</v>
      </c>
      <c r="P413" t="str">
        <f t="shared" si="48"/>
        <v>Low Demand</v>
      </c>
    </row>
    <row r="414" spans="1:16" ht="13.8">
      <c r="A414" s="13">
        <v>412</v>
      </c>
      <c r="B414" s="13">
        <v>413</v>
      </c>
      <c r="C414" s="13">
        <v>0.2576</v>
      </c>
      <c r="D414" s="13">
        <v>0.93</v>
      </c>
      <c r="E414" s="13">
        <v>8.9599999999999999E-2</v>
      </c>
      <c r="F414" s="13">
        <v>0</v>
      </c>
      <c r="G414" s="13">
        <v>7</v>
      </c>
      <c r="H414" s="13">
        <v>7</v>
      </c>
      <c r="J414" t="str">
        <f t="shared" si="42"/>
        <v>Unique</v>
      </c>
      <c r="K414" t="str">
        <f t="shared" si="43"/>
        <v>Hot</v>
      </c>
      <c r="L414" t="str">
        <f t="shared" si="44"/>
        <v>Low</v>
      </c>
      <c r="M414" t="str">
        <f t="shared" si="45"/>
        <v>High Wind</v>
      </c>
      <c r="N414" t="str">
        <f t="shared" si="46"/>
        <v>Low</v>
      </c>
      <c r="O414" t="str">
        <f t="shared" si="47"/>
        <v>Low</v>
      </c>
      <c r="P414" t="str">
        <f t="shared" si="48"/>
        <v>Low Demand</v>
      </c>
    </row>
    <row r="415" spans="1:16" ht="13.8">
      <c r="A415" s="13">
        <v>413</v>
      </c>
      <c r="B415" s="13">
        <v>414</v>
      </c>
      <c r="C415" s="13">
        <v>0.2576</v>
      </c>
      <c r="D415" s="13">
        <v>0.93</v>
      </c>
      <c r="E415" s="13">
        <v>8.9599999999999999E-2</v>
      </c>
      <c r="F415" s="13">
        <v>0</v>
      </c>
      <c r="G415" s="13">
        <v>32</v>
      </c>
      <c r="H415" s="13">
        <v>32</v>
      </c>
      <c r="J415" t="str">
        <f t="shared" si="42"/>
        <v>Unique</v>
      </c>
      <c r="K415" t="str">
        <f t="shared" si="43"/>
        <v>Hot</v>
      </c>
      <c r="L415" t="str">
        <f t="shared" si="44"/>
        <v>Low</v>
      </c>
      <c r="M415" t="str">
        <f t="shared" si="45"/>
        <v>High Wind</v>
      </c>
      <c r="N415" t="str">
        <f t="shared" si="46"/>
        <v>Low</v>
      </c>
      <c r="O415" t="str">
        <f t="shared" si="47"/>
        <v>Low</v>
      </c>
      <c r="P415" t="str">
        <f t="shared" si="48"/>
        <v>Low Demand</v>
      </c>
    </row>
    <row r="416" spans="1:16" ht="13.8">
      <c r="A416" s="13">
        <v>414</v>
      </c>
      <c r="B416" s="13">
        <v>415</v>
      </c>
      <c r="C416" s="13">
        <v>0.2576</v>
      </c>
      <c r="D416" s="13">
        <v>0.92</v>
      </c>
      <c r="E416" s="13">
        <v>0.1045</v>
      </c>
      <c r="F416" s="13">
        <v>1</v>
      </c>
      <c r="G416" s="13">
        <v>89</v>
      </c>
      <c r="H416" s="13">
        <v>90</v>
      </c>
      <c r="J416" t="str">
        <f t="shared" si="42"/>
        <v>Unique</v>
      </c>
      <c r="K416" t="str">
        <f t="shared" si="43"/>
        <v>Hot</v>
      </c>
      <c r="L416" t="str">
        <f t="shared" si="44"/>
        <v>Low</v>
      </c>
      <c r="M416" t="str">
        <f t="shared" si="45"/>
        <v>High Wind</v>
      </c>
      <c r="N416" t="str">
        <f t="shared" si="46"/>
        <v>Low</v>
      </c>
      <c r="O416" t="str">
        <f t="shared" si="47"/>
        <v>Low</v>
      </c>
      <c r="P416" t="str">
        <f t="shared" si="48"/>
        <v>Low Demand</v>
      </c>
    </row>
    <row r="417" spans="1:16" ht="13.8">
      <c r="A417" s="13">
        <v>415</v>
      </c>
      <c r="B417" s="13">
        <v>416</v>
      </c>
      <c r="C417" s="13">
        <v>0.2576</v>
      </c>
      <c r="D417" s="13">
        <v>0.93</v>
      </c>
      <c r="E417" s="13">
        <v>0.1045</v>
      </c>
      <c r="F417" s="13">
        <v>1</v>
      </c>
      <c r="G417" s="13">
        <v>196</v>
      </c>
      <c r="H417" s="13">
        <v>197</v>
      </c>
      <c r="J417" t="str">
        <f t="shared" si="42"/>
        <v>Unique</v>
      </c>
      <c r="K417" t="str">
        <f t="shared" si="43"/>
        <v>Hot</v>
      </c>
      <c r="L417" t="str">
        <f t="shared" si="44"/>
        <v>Low</v>
      </c>
      <c r="M417" t="str">
        <f t="shared" si="45"/>
        <v>High Wind</v>
      </c>
      <c r="N417" t="str">
        <f t="shared" si="46"/>
        <v>Low</v>
      </c>
      <c r="O417" t="str">
        <f t="shared" si="47"/>
        <v>Low</v>
      </c>
      <c r="P417" t="str">
        <f t="shared" si="48"/>
        <v>Medium Demand</v>
      </c>
    </row>
    <row r="418" spans="1:16" ht="13.8">
      <c r="A418" s="13">
        <v>416</v>
      </c>
      <c r="B418" s="13">
        <v>417</v>
      </c>
      <c r="C418" s="13">
        <v>0.2576</v>
      </c>
      <c r="D418" s="13">
        <v>0.93</v>
      </c>
      <c r="E418" s="13">
        <v>0.1045</v>
      </c>
      <c r="F418" s="13">
        <v>2</v>
      </c>
      <c r="G418" s="13">
        <v>107</v>
      </c>
      <c r="H418" s="13">
        <v>109</v>
      </c>
      <c r="J418" t="str">
        <f t="shared" si="42"/>
        <v>Unique</v>
      </c>
      <c r="K418" t="str">
        <f t="shared" si="43"/>
        <v>Hot</v>
      </c>
      <c r="L418" t="str">
        <f t="shared" si="44"/>
        <v>Low</v>
      </c>
      <c r="M418" t="str">
        <f t="shared" si="45"/>
        <v>High Wind</v>
      </c>
      <c r="N418" t="str">
        <f t="shared" si="46"/>
        <v>Low</v>
      </c>
      <c r="O418" t="str">
        <f t="shared" si="47"/>
        <v>Low</v>
      </c>
      <c r="P418" t="str">
        <f t="shared" si="48"/>
        <v>Medium Demand</v>
      </c>
    </row>
    <row r="419" spans="1:16" ht="13.8">
      <c r="A419" s="13">
        <v>417</v>
      </c>
      <c r="B419" s="13">
        <v>418</v>
      </c>
      <c r="C419" s="13">
        <v>0.2727</v>
      </c>
      <c r="D419" s="13">
        <v>0.93</v>
      </c>
      <c r="E419" s="13">
        <v>0.1343</v>
      </c>
      <c r="F419" s="13">
        <v>1</v>
      </c>
      <c r="G419" s="13">
        <v>46</v>
      </c>
      <c r="H419" s="13">
        <v>47</v>
      </c>
      <c r="J419" t="str">
        <f t="shared" si="42"/>
        <v>Unique</v>
      </c>
      <c r="K419" t="str">
        <f t="shared" si="43"/>
        <v>Hot</v>
      </c>
      <c r="L419" t="str">
        <f t="shared" si="44"/>
        <v>Low</v>
      </c>
      <c r="M419" t="str">
        <f t="shared" si="45"/>
        <v>High Wind</v>
      </c>
      <c r="N419" t="str">
        <f t="shared" si="46"/>
        <v>Low</v>
      </c>
      <c r="O419" t="str">
        <f t="shared" si="47"/>
        <v>Low</v>
      </c>
      <c r="P419" t="str">
        <f t="shared" si="48"/>
        <v>Low Demand</v>
      </c>
    </row>
    <row r="420" spans="1:16" ht="13.8">
      <c r="A420" s="13">
        <v>418</v>
      </c>
      <c r="B420" s="13">
        <v>419</v>
      </c>
      <c r="C420" s="13">
        <v>0.30299999999999999</v>
      </c>
      <c r="D420" s="13">
        <v>0.87</v>
      </c>
      <c r="E420" s="13">
        <v>8.9599999999999999E-2</v>
      </c>
      <c r="F420" s="13">
        <v>5</v>
      </c>
      <c r="G420" s="13">
        <v>47</v>
      </c>
      <c r="H420" s="13">
        <v>52</v>
      </c>
      <c r="J420" t="str">
        <f t="shared" si="42"/>
        <v>Unique</v>
      </c>
      <c r="K420" t="str">
        <f t="shared" si="43"/>
        <v>Hot</v>
      </c>
      <c r="L420" t="str">
        <f t="shared" si="44"/>
        <v>Low</v>
      </c>
      <c r="M420" t="str">
        <f t="shared" si="45"/>
        <v>High Wind</v>
      </c>
      <c r="N420" t="str">
        <f t="shared" si="46"/>
        <v>Low</v>
      </c>
      <c r="O420" t="str">
        <f t="shared" si="47"/>
        <v>Low</v>
      </c>
      <c r="P420" t="str">
        <f t="shared" si="48"/>
        <v>Low Demand</v>
      </c>
    </row>
    <row r="421" spans="1:16" ht="13.8">
      <c r="A421" s="13">
        <v>419</v>
      </c>
      <c r="B421" s="13">
        <v>420</v>
      </c>
      <c r="C421" s="13">
        <v>0.31819999999999998</v>
      </c>
      <c r="D421" s="13">
        <v>0.81</v>
      </c>
      <c r="E421" s="13">
        <v>8.9599999999999999E-2</v>
      </c>
      <c r="F421" s="13">
        <v>5</v>
      </c>
      <c r="G421" s="13">
        <v>65</v>
      </c>
      <c r="H421" s="13">
        <v>70</v>
      </c>
      <c r="J421" t="str">
        <f t="shared" si="42"/>
        <v>Unique</v>
      </c>
      <c r="K421" t="str">
        <f t="shared" si="43"/>
        <v>Hot</v>
      </c>
      <c r="L421" t="str">
        <f t="shared" si="44"/>
        <v>Low</v>
      </c>
      <c r="M421" t="str">
        <f t="shared" si="45"/>
        <v>High Wind</v>
      </c>
      <c r="N421" t="str">
        <f t="shared" si="46"/>
        <v>Low</v>
      </c>
      <c r="O421" t="str">
        <f t="shared" si="47"/>
        <v>Low</v>
      </c>
      <c r="P421" t="str">
        <f t="shared" si="48"/>
        <v>Low Demand</v>
      </c>
    </row>
    <row r="422" spans="1:16" ht="13.8">
      <c r="A422" s="13">
        <v>420</v>
      </c>
      <c r="B422" s="13">
        <v>421</v>
      </c>
      <c r="C422" s="13">
        <v>0.40910000000000002</v>
      </c>
      <c r="D422" s="13">
        <v>0.62</v>
      </c>
      <c r="E422" s="13">
        <v>0.28360000000000002</v>
      </c>
      <c r="F422" s="13">
        <v>11</v>
      </c>
      <c r="G422" s="13">
        <v>67</v>
      </c>
      <c r="H422" s="13">
        <v>78</v>
      </c>
      <c r="J422" t="str">
        <f t="shared" si="42"/>
        <v>Unique</v>
      </c>
      <c r="K422" t="str">
        <f t="shared" si="43"/>
        <v>Hot</v>
      </c>
      <c r="L422" t="str">
        <f t="shared" si="44"/>
        <v>Medium</v>
      </c>
      <c r="M422" t="str">
        <f t="shared" si="45"/>
        <v>High Wind</v>
      </c>
      <c r="N422" t="str">
        <f t="shared" si="46"/>
        <v>Low</v>
      </c>
      <c r="O422" t="str">
        <f t="shared" si="47"/>
        <v>Low</v>
      </c>
      <c r="P422" t="str">
        <f t="shared" si="48"/>
        <v>Low Demand</v>
      </c>
    </row>
    <row r="423" spans="1:16" ht="13.8">
      <c r="A423" s="13">
        <v>421</v>
      </c>
      <c r="B423" s="13">
        <v>422</v>
      </c>
      <c r="C423" s="13">
        <v>0.40910000000000002</v>
      </c>
      <c r="D423" s="13">
        <v>0.57999999999999996</v>
      </c>
      <c r="E423" s="13">
        <v>0.25369999999999998</v>
      </c>
      <c r="F423" s="13">
        <v>7</v>
      </c>
      <c r="G423" s="13">
        <v>68</v>
      </c>
      <c r="H423" s="13">
        <v>75</v>
      </c>
      <c r="J423" t="str">
        <f t="shared" si="42"/>
        <v>Unique</v>
      </c>
      <c r="K423" t="str">
        <f t="shared" si="43"/>
        <v>Hot</v>
      </c>
      <c r="L423" t="str">
        <f t="shared" si="44"/>
        <v>Medium</v>
      </c>
      <c r="M423" t="str">
        <f t="shared" si="45"/>
        <v>High Wind</v>
      </c>
      <c r="N423" t="str">
        <f t="shared" si="46"/>
        <v>Low</v>
      </c>
      <c r="O423" t="str">
        <f t="shared" si="47"/>
        <v>Low</v>
      </c>
      <c r="P423" t="str">
        <f t="shared" si="48"/>
        <v>Low Demand</v>
      </c>
    </row>
    <row r="424" spans="1:16" ht="13.8">
      <c r="A424" s="13">
        <v>422</v>
      </c>
      <c r="B424" s="13">
        <v>423</v>
      </c>
      <c r="C424" s="13">
        <v>0.40910000000000002</v>
      </c>
      <c r="D424" s="13">
        <v>0.54</v>
      </c>
      <c r="E424" s="13">
        <v>0.28360000000000002</v>
      </c>
      <c r="F424" s="13">
        <v>4</v>
      </c>
      <c r="G424" s="13">
        <v>78</v>
      </c>
      <c r="H424" s="13">
        <v>82</v>
      </c>
      <c r="J424" t="str">
        <f t="shared" si="42"/>
        <v>Unique</v>
      </c>
      <c r="K424" t="str">
        <f t="shared" si="43"/>
        <v>Hot</v>
      </c>
      <c r="L424" t="str">
        <f t="shared" si="44"/>
        <v>Medium</v>
      </c>
      <c r="M424" t="str">
        <f t="shared" si="45"/>
        <v>High Wind</v>
      </c>
      <c r="N424" t="str">
        <f t="shared" si="46"/>
        <v>Low</v>
      </c>
      <c r="O424" t="str">
        <f t="shared" si="47"/>
        <v>Low</v>
      </c>
      <c r="P424" t="str">
        <f t="shared" si="48"/>
        <v>Low Demand</v>
      </c>
    </row>
    <row r="425" spans="1:16" ht="13.8">
      <c r="A425" s="13">
        <v>423</v>
      </c>
      <c r="B425" s="13">
        <v>424</v>
      </c>
      <c r="C425" s="13">
        <v>0.39389999999999997</v>
      </c>
      <c r="D425" s="13">
        <v>0.57999999999999996</v>
      </c>
      <c r="E425" s="13">
        <v>0.3881</v>
      </c>
      <c r="F425" s="13">
        <v>10</v>
      </c>
      <c r="G425" s="13">
        <v>94</v>
      </c>
      <c r="H425" s="13">
        <v>104</v>
      </c>
      <c r="J425" t="str">
        <f t="shared" si="42"/>
        <v>Unique</v>
      </c>
      <c r="K425" t="str">
        <f t="shared" si="43"/>
        <v>Hot</v>
      </c>
      <c r="L425" t="str">
        <f t="shared" si="44"/>
        <v>Low</v>
      </c>
      <c r="M425" t="str">
        <f t="shared" si="45"/>
        <v>High Wind</v>
      </c>
      <c r="N425" t="str">
        <f t="shared" si="46"/>
        <v>Low</v>
      </c>
      <c r="O425" t="str">
        <f t="shared" si="47"/>
        <v>Low</v>
      </c>
      <c r="P425" t="str">
        <f t="shared" si="48"/>
        <v>Low Demand</v>
      </c>
    </row>
    <row r="426" spans="1:16" ht="13.8">
      <c r="A426" s="13">
        <v>424</v>
      </c>
      <c r="B426" s="13">
        <v>425</v>
      </c>
      <c r="C426" s="13">
        <v>0.33329999999999999</v>
      </c>
      <c r="D426" s="13">
        <v>0.56999999999999995</v>
      </c>
      <c r="E426" s="13">
        <v>0.32840000000000003</v>
      </c>
      <c r="F426" s="13">
        <v>7</v>
      </c>
      <c r="G426" s="13">
        <v>190</v>
      </c>
      <c r="H426" s="13">
        <v>197</v>
      </c>
      <c r="J426" t="str">
        <f t="shared" si="42"/>
        <v>Unique</v>
      </c>
      <c r="K426" t="str">
        <f t="shared" si="43"/>
        <v>Hot</v>
      </c>
      <c r="L426" t="str">
        <f t="shared" si="44"/>
        <v>Low</v>
      </c>
      <c r="M426" t="str">
        <f t="shared" si="45"/>
        <v>High Wind</v>
      </c>
      <c r="N426" t="str">
        <f t="shared" si="46"/>
        <v>Low</v>
      </c>
      <c r="O426" t="str">
        <f t="shared" si="47"/>
        <v>Low</v>
      </c>
      <c r="P426" t="str">
        <f t="shared" si="48"/>
        <v>Medium Demand</v>
      </c>
    </row>
    <row r="427" spans="1:16" ht="13.8">
      <c r="A427" s="13">
        <v>425</v>
      </c>
      <c r="B427" s="13">
        <v>426</v>
      </c>
      <c r="C427" s="13">
        <v>0.31819999999999998</v>
      </c>
      <c r="D427" s="13">
        <v>0.61</v>
      </c>
      <c r="E427" s="13">
        <v>0.28360000000000002</v>
      </c>
      <c r="F427" s="13">
        <v>5</v>
      </c>
      <c r="G427" s="13">
        <v>156</v>
      </c>
      <c r="H427" s="13">
        <v>161</v>
      </c>
      <c r="J427" t="str">
        <f t="shared" si="42"/>
        <v>Unique</v>
      </c>
      <c r="K427" t="str">
        <f t="shared" si="43"/>
        <v>Hot</v>
      </c>
      <c r="L427" t="str">
        <f t="shared" si="44"/>
        <v>Low</v>
      </c>
      <c r="M427" t="str">
        <f t="shared" si="45"/>
        <v>High Wind</v>
      </c>
      <c r="N427" t="str">
        <f t="shared" si="46"/>
        <v>Low</v>
      </c>
      <c r="O427" t="str">
        <f t="shared" si="47"/>
        <v>Low</v>
      </c>
      <c r="P427" t="str">
        <f t="shared" si="48"/>
        <v>Medium Demand</v>
      </c>
    </row>
    <row r="428" spans="1:16" ht="13.8">
      <c r="A428" s="13">
        <v>426</v>
      </c>
      <c r="B428" s="13">
        <v>427</v>
      </c>
      <c r="C428" s="13">
        <v>0.28789999999999999</v>
      </c>
      <c r="D428" s="13">
        <v>0.56999999999999995</v>
      </c>
      <c r="E428" s="13">
        <v>0.41789999999999999</v>
      </c>
      <c r="F428" s="13">
        <v>4</v>
      </c>
      <c r="G428" s="13">
        <v>108</v>
      </c>
      <c r="H428" s="13">
        <v>112</v>
      </c>
      <c r="J428" t="str">
        <f t="shared" si="42"/>
        <v>Unique</v>
      </c>
      <c r="K428" t="str">
        <f t="shared" si="43"/>
        <v>Hot</v>
      </c>
      <c r="L428" t="str">
        <f t="shared" si="44"/>
        <v>Low</v>
      </c>
      <c r="M428" t="str">
        <f t="shared" si="45"/>
        <v>High Wind</v>
      </c>
      <c r="N428" t="str">
        <f t="shared" si="46"/>
        <v>Low</v>
      </c>
      <c r="O428" t="str">
        <f t="shared" si="47"/>
        <v>Low</v>
      </c>
      <c r="P428" t="str">
        <f t="shared" si="48"/>
        <v>Medium Demand</v>
      </c>
    </row>
    <row r="429" spans="1:16" ht="13.8">
      <c r="A429" s="13">
        <v>427</v>
      </c>
      <c r="B429" s="13">
        <v>428</v>
      </c>
      <c r="C429" s="13">
        <v>0.30299999999999999</v>
      </c>
      <c r="D429" s="13">
        <v>0.49</v>
      </c>
      <c r="E429" s="13">
        <v>0.29849999999999999</v>
      </c>
      <c r="F429" s="13">
        <v>2</v>
      </c>
      <c r="G429" s="13">
        <v>74</v>
      </c>
      <c r="H429" s="13">
        <v>76</v>
      </c>
      <c r="J429" t="str">
        <f t="shared" si="42"/>
        <v>Unique</v>
      </c>
      <c r="K429" t="str">
        <f t="shared" si="43"/>
        <v>Hot</v>
      </c>
      <c r="L429" t="str">
        <f t="shared" si="44"/>
        <v>Low</v>
      </c>
      <c r="M429" t="str">
        <f t="shared" si="45"/>
        <v>Medium Wind</v>
      </c>
      <c r="N429" t="str">
        <f t="shared" si="46"/>
        <v>Low</v>
      </c>
      <c r="O429" t="str">
        <f t="shared" si="47"/>
        <v>Low</v>
      </c>
      <c r="P429" t="str">
        <f t="shared" si="48"/>
        <v>Low Demand</v>
      </c>
    </row>
    <row r="430" spans="1:16" ht="13.8">
      <c r="A430" s="13">
        <v>428</v>
      </c>
      <c r="B430" s="13">
        <v>429</v>
      </c>
      <c r="C430" s="13">
        <v>0.28789999999999999</v>
      </c>
      <c r="D430" s="13">
        <v>0.49</v>
      </c>
      <c r="E430" s="13">
        <v>0.41789999999999999</v>
      </c>
      <c r="F430" s="13">
        <v>4</v>
      </c>
      <c r="G430" s="13">
        <v>55</v>
      </c>
      <c r="H430" s="13">
        <v>59</v>
      </c>
      <c r="J430" t="str">
        <f t="shared" si="42"/>
        <v>Unique</v>
      </c>
      <c r="K430" t="str">
        <f t="shared" si="43"/>
        <v>Hot</v>
      </c>
      <c r="L430" t="str">
        <f t="shared" si="44"/>
        <v>Low</v>
      </c>
      <c r="M430" t="str">
        <f t="shared" si="45"/>
        <v>Medium Wind</v>
      </c>
      <c r="N430" t="str">
        <f t="shared" si="46"/>
        <v>Low</v>
      </c>
      <c r="O430" t="str">
        <f t="shared" si="47"/>
        <v>Low</v>
      </c>
      <c r="P430" t="str">
        <f t="shared" si="48"/>
        <v>Low Demand</v>
      </c>
    </row>
    <row r="431" spans="1:16" ht="13.8">
      <c r="A431" s="13">
        <v>429</v>
      </c>
      <c r="B431" s="13">
        <v>430</v>
      </c>
      <c r="C431" s="13">
        <v>0.30299999999999999</v>
      </c>
      <c r="D431" s="13">
        <v>0.52</v>
      </c>
      <c r="E431" s="13">
        <v>0.16420000000000001</v>
      </c>
      <c r="F431" s="13">
        <v>6</v>
      </c>
      <c r="G431" s="13">
        <v>53</v>
      </c>
      <c r="H431" s="13">
        <v>59</v>
      </c>
      <c r="J431" t="str">
        <f t="shared" si="42"/>
        <v>Unique</v>
      </c>
      <c r="K431" t="str">
        <f t="shared" si="43"/>
        <v>Hot</v>
      </c>
      <c r="L431" t="str">
        <f t="shared" si="44"/>
        <v>Low</v>
      </c>
      <c r="M431" t="str">
        <f t="shared" si="45"/>
        <v>High Wind</v>
      </c>
      <c r="N431" t="str">
        <f t="shared" si="46"/>
        <v>Low</v>
      </c>
      <c r="O431" t="str">
        <f t="shared" si="47"/>
        <v>Low</v>
      </c>
      <c r="P431" t="str">
        <f t="shared" si="48"/>
        <v>Low Demand</v>
      </c>
    </row>
    <row r="432" spans="1:16" ht="13.8">
      <c r="A432" s="13">
        <v>430</v>
      </c>
      <c r="B432" s="13">
        <v>431</v>
      </c>
      <c r="C432" s="13">
        <v>0.2727</v>
      </c>
      <c r="D432" s="13">
        <v>0.52</v>
      </c>
      <c r="E432" s="13">
        <v>0.4627</v>
      </c>
      <c r="F432" s="13">
        <v>1</v>
      </c>
      <c r="G432" s="13">
        <v>27</v>
      </c>
      <c r="H432" s="13">
        <v>28</v>
      </c>
      <c r="J432" t="str">
        <f t="shared" si="42"/>
        <v>Unique</v>
      </c>
      <c r="K432" t="str">
        <f t="shared" si="43"/>
        <v>Hot</v>
      </c>
      <c r="L432" t="str">
        <f t="shared" si="44"/>
        <v>Low</v>
      </c>
      <c r="M432" t="str">
        <f t="shared" si="45"/>
        <v>High Wind</v>
      </c>
      <c r="N432" t="str">
        <f t="shared" si="46"/>
        <v>Low</v>
      </c>
      <c r="O432" t="str">
        <f t="shared" si="47"/>
        <v>Low</v>
      </c>
      <c r="P432" t="str">
        <f t="shared" si="48"/>
        <v>Low Demand</v>
      </c>
    </row>
    <row r="433" spans="1:16" ht="13.8">
      <c r="A433" s="13">
        <v>431</v>
      </c>
      <c r="B433" s="13">
        <v>432</v>
      </c>
      <c r="C433" s="13">
        <v>0.2273</v>
      </c>
      <c r="D433" s="13">
        <v>0.56000000000000005</v>
      </c>
      <c r="E433" s="13">
        <v>0.3881</v>
      </c>
      <c r="F433" s="13">
        <v>5</v>
      </c>
      <c r="G433" s="13">
        <v>8</v>
      </c>
      <c r="H433" s="13">
        <v>13</v>
      </c>
      <c r="J433" t="str">
        <f t="shared" si="42"/>
        <v>Unique</v>
      </c>
      <c r="K433" t="str">
        <f t="shared" si="43"/>
        <v>Hot</v>
      </c>
      <c r="L433" t="str">
        <f t="shared" si="44"/>
        <v>Low</v>
      </c>
      <c r="M433" t="str">
        <f t="shared" si="45"/>
        <v>High Wind</v>
      </c>
      <c r="N433" t="str">
        <f t="shared" si="46"/>
        <v>Low</v>
      </c>
      <c r="O433" t="str">
        <f t="shared" si="47"/>
        <v>Low</v>
      </c>
      <c r="P433" t="str">
        <f t="shared" si="48"/>
        <v>Low Demand</v>
      </c>
    </row>
    <row r="434" spans="1:16" ht="13.8">
      <c r="A434" s="13">
        <v>432</v>
      </c>
      <c r="B434" s="13">
        <v>433</v>
      </c>
      <c r="C434" s="13">
        <v>0.2727</v>
      </c>
      <c r="D434" s="13">
        <v>0.56000000000000005</v>
      </c>
      <c r="E434" s="13">
        <v>0</v>
      </c>
      <c r="F434" s="13">
        <v>2</v>
      </c>
      <c r="G434" s="13">
        <v>3</v>
      </c>
      <c r="H434" s="13">
        <v>5</v>
      </c>
      <c r="J434" t="str">
        <f t="shared" si="42"/>
        <v>Unique</v>
      </c>
      <c r="K434" t="str">
        <f t="shared" si="43"/>
        <v>Hot</v>
      </c>
      <c r="L434" t="str">
        <f t="shared" si="44"/>
        <v>Low</v>
      </c>
      <c r="M434" t="str">
        <f t="shared" si="45"/>
        <v>High Wind</v>
      </c>
      <c r="N434" t="str">
        <f t="shared" si="46"/>
        <v>Low</v>
      </c>
      <c r="O434" t="str">
        <f t="shared" si="47"/>
        <v>Low</v>
      </c>
      <c r="P434" t="str">
        <f t="shared" si="48"/>
        <v>Low Demand</v>
      </c>
    </row>
    <row r="435" spans="1:16" ht="13.8">
      <c r="A435" s="13">
        <v>433</v>
      </c>
      <c r="B435" s="13">
        <v>434</v>
      </c>
      <c r="C435" s="13">
        <v>0.2727</v>
      </c>
      <c r="D435" s="13">
        <v>0.56000000000000005</v>
      </c>
      <c r="E435" s="13">
        <v>0</v>
      </c>
      <c r="F435" s="13">
        <v>0</v>
      </c>
      <c r="G435" s="13">
        <v>2</v>
      </c>
      <c r="H435" s="13">
        <v>2</v>
      </c>
      <c r="J435" t="str">
        <f t="shared" si="42"/>
        <v>Unique</v>
      </c>
      <c r="K435" t="str">
        <f t="shared" si="43"/>
        <v>Hot</v>
      </c>
      <c r="L435" t="str">
        <f t="shared" si="44"/>
        <v>Low</v>
      </c>
      <c r="M435" t="str">
        <f t="shared" si="45"/>
        <v>High Wind</v>
      </c>
      <c r="N435" t="str">
        <f t="shared" si="46"/>
        <v>Low</v>
      </c>
      <c r="O435" t="str">
        <f t="shared" si="47"/>
        <v>Low</v>
      </c>
      <c r="P435" t="str">
        <f t="shared" si="48"/>
        <v>Low Demand</v>
      </c>
    </row>
    <row r="436" spans="1:16" ht="13.8">
      <c r="A436" s="13">
        <v>434</v>
      </c>
      <c r="B436" s="13">
        <v>435</v>
      </c>
      <c r="C436" s="13">
        <v>0.2576</v>
      </c>
      <c r="D436" s="13">
        <v>0.56000000000000005</v>
      </c>
      <c r="E436" s="13">
        <v>0.16420000000000001</v>
      </c>
      <c r="F436" s="13">
        <v>0</v>
      </c>
      <c r="G436" s="13">
        <v>1</v>
      </c>
      <c r="H436" s="13">
        <v>1</v>
      </c>
      <c r="J436" t="str">
        <f t="shared" si="42"/>
        <v>Unique</v>
      </c>
      <c r="K436" t="str">
        <f t="shared" si="43"/>
        <v>Hot</v>
      </c>
      <c r="L436" t="str">
        <f t="shared" si="44"/>
        <v>Low</v>
      </c>
      <c r="M436" t="str">
        <f t="shared" si="45"/>
        <v>High Wind</v>
      </c>
      <c r="N436" t="str">
        <f t="shared" si="46"/>
        <v>Low</v>
      </c>
      <c r="O436" t="str">
        <f t="shared" si="47"/>
        <v>Low</v>
      </c>
      <c r="P436" t="str">
        <f t="shared" si="48"/>
        <v>Low Demand</v>
      </c>
    </row>
    <row r="437" spans="1:16" ht="13.8">
      <c r="A437" s="13">
        <v>435</v>
      </c>
      <c r="B437" s="13">
        <v>436</v>
      </c>
      <c r="C437" s="13">
        <v>0.2576</v>
      </c>
      <c r="D437" s="13">
        <v>0.56000000000000005</v>
      </c>
      <c r="E437" s="13">
        <v>0.16420000000000001</v>
      </c>
      <c r="F437" s="13">
        <v>0</v>
      </c>
      <c r="G437" s="13">
        <v>1</v>
      </c>
      <c r="H437" s="13">
        <v>1</v>
      </c>
      <c r="J437" t="str">
        <f t="shared" si="42"/>
        <v>Unique</v>
      </c>
      <c r="K437" t="str">
        <f t="shared" si="43"/>
        <v>Hot</v>
      </c>
      <c r="L437" t="str">
        <f t="shared" si="44"/>
        <v>Low</v>
      </c>
      <c r="M437" t="str">
        <f t="shared" si="45"/>
        <v>High Wind</v>
      </c>
      <c r="N437" t="str">
        <f t="shared" si="46"/>
        <v>Low</v>
      </c>
      <c r="O437" t="str">
        <f t="shared" si="47"/>
        <v>Low</v>
      </c>
      <c r="P437" t="str">
        <f t="shared" si="48"/>
        <v>Low Demand</v>
      </c>
    </row>
    <row r="438" spans="1:16" ht="13.8">
      <c r="A438" s="13">
        <v>436</v>
      </c>
      <c r="B438" s="13">
        <v>437</v>
      </c>
      <c r="C438" s="13">
        <v>0.2273</v>
      </c>
      <c r="D438" s="13">
        <v>0.6</v>
      </c>
      <c r="E438" s="13">
        <v>0.22389999999999999</v>
      </c>
      <c r="F438" s="13">
        <v>0</v>
      </c>
      <c r="G438" s="13">
        <v>6</v>
      </c>
      <c r="H438" s="13">
        <v>6</v>
      </c>
      <c r="J438" t="str">
        <f t="shared" si="42"/>
        <v>Unique</v>
      </c>
      <c r="K438" t="str">
        <f t="shared" si="43"/>
        <v>Hot</v>
      </c>
      <c r="L438" t="str">
        <f t="shared" si="44"/>
        <v>Low</v>
      </c>
      <c r="M438" t="str">
        <f t="shared" si="45"/>
        <v>High Wind</v>
      </c>
      <c r="N438" t="str">
        <f t="shared" si="46"/>
        <v>Low</v>
      </c>
      <c r="O438" t="str">
        <f t="shared" si="47"/>
        <v>Low</v>
      </c>
      <c r="P438" t="str">
        <f t="shared" si="48"/>
        <v>Low Demand</v>
      </c>
    </row>
    <row r="439" spans="1:16" ht="13.8">
      <c r="A439" s="13">
        <v>437</v>
      </c>
      <c r="B439" s="13">
        <v>438</v>
      </c>
      <c r="C439" s="13">
        <v>0.21210000000000001</v>
      </c>
      <c r="D439" s="13">
        <v>0.6</v>
      </c>
      <c r="E439" s="13">
        <v>0.22389999999999999</v>
      </c>
      <c r="F439" s="13">
        <v>0</v>
      </c>
      <c r="G439" s="13">
        <v>35</v>
      </c>
      <c r="H439" s="13">
        <v>35</v>
      </c>
      <c r="J439" t="str">
        <f t="shared" si="42"/>
        <v>Unique</v>
      </c>
      <c r="K439" t="str">
        <f t="shared" si="43"/>
        <v>Hot</v>
      </c>
      <c r="L439" t="str">
        <f t="shared" si="44"/>
        <v>Low</v>
      </c>
      <c r="M439" t="str">
        <f t="shared" si="45"/>
        <v>High Wind</v>
      </c>
      <c r="N439" t="str">
        <f t="shared" si="46"/>
        <v>Low</v>
      </c>
      <c r="O439" t="str">
        <f t="shared" si="47"/>
        <v>Low</v>
      </c>
      <c r="P439" t="str">
        <f t="shared" si="48"/>
        <v>Low Demand</v>
      </c>
    </row>
    <row r="440" spans="1:16" ht="13.8">
      <c r="A440" s="13">
        <v>438</v>
      </c>
      <c r="B440" s="13">
        <v>439</v>
      </c>
      <c r="C440" s="13">
        <v>0.21210000000000001</v>
      </c>
      <c r="D440" s="13">
        <v>0.55000000000000004</v>
      </c>
      <c r="E440" s="13">
        <v>0.22389999999999999</v>
      </c>
      <c r="F440" s="13">
        <v>1</v>
      </c>
      <c r="G440" s="13">
        <v>100</v>
      </c>
      <c r="H440" s="13">
        <v>101</v>
      </c>
      <c r="J440" t="str">
        <f t="shared" si="42"/>
        <v>Unique</v>
      </c>
      <c r="K440" t="str">
        <f t="shared" si="43"/>
        <v>Hot</v>
      </c>
      <c r="L440" t="str">
        <f t="shared" si="44"/>
        <v>Low</v>
      </c>
      <c r="M440" t="str">
        <f t="shared" si="45"/>
        <v>High Wind</v>
      </c>
      <c r="N440" t="str">
        <f t="shared" si="46"/>
        <v>Low</v>
      </c>
      <c r="O440" t="str">
        <f t="shared" si="47"/>
        <v>Low</v>
      </c>
      <c r="P440" t="str">
        <f t="shared" si="48"/>
        <v>Medium Demand</v>
      </c>
    </row>
    <row r="441" spans="1:16" ht="13.8">
      <c r="A441" s="13">
        <v>439</v>
      </c>
      <c r="B441" s="13">
        <v>440</v>
      </c>
      <c r="C441" s="13">
        <v>0.21210000000000001</v>
      </c>
      <c r="D441" s="13">
        <v>0.55000000000000004</v>
      </c>
      <c r="E441" s="13">
        <v>0.28360000000000002</v>
      </c>
      <c r="F441" s="13">
        <v>2</v>
      </c>
      <c r="G441" s="13">
        <v>247</v>
      </c>
      <c r="H441" s="13">
        <v>249</v>
      </c>
      <c r="J441" t="str">
        <f t="shared" si="42"/>
        <v>Unique</v>
      </c>
      <c r="K441" t="str">
        <f t="shared" si="43"/>
        <v>Hot</v>
      </c>
      <c r="L441" t="str">
        <f t="shared" si="44"/>
        <v>Low</v>
      </c>
      <c r="M441" t="str">
        <f t="shared" si="45"/>
        <v>High Wind</v>
      </c>
      <c r="N441" t="str">
        <f t="shared" si="46"/>
        <v>Low</v>
      </c>
      <c r="O441" t="str">
        <f t="shared" si="47"/>
        <v>Low</v>
      </c>
      <c r="P441" t="str">
        <f t="shared" si="48"/>
        <v>Medium Demand</v>
      </c>
    </row>
    <row r="442" spans="1:16" ht="13.8">
      <c r="A442" s="13">
        <v>440</v>
      </c>
      <c r="B442" s="13">
        <v>441</v>
      </c>
      <c r="C442" s="13">
        <v>0.2273</v>
      </c>
      <c r="D442" s="13">
        <v>0.52</v>
      </c>
      <c r="E442" s="13">
        <v>0.22389999999999999</v>
      </c>
      <c r="F442" s="13">
        <v>3</v>
      </c>
      <c r="G442" s="13">
        <v>140</v>
      </c>
      <c r="H442" s="13">
        <v>143</v>
      </c>
      <c r="J442" t="str">
        <f t="shared" si="42"/>
        <v>Unique</v>
      </c>
      <c r="K442" t="str">
        <f t="shared" si="43"/>
        <v>Hot</v>
      </c>
      <c r="L442" t="str">
        <f t="shared" si="44"/>
        <v>Low</v>
      </c>
      <c r="M442" t="str">
        <f t="shared" si="45"/>
        <v>High Wind</v>
      </c>
      <c r="N442" t="str">
        <f t="shared" si="46"/>
        <v>Low</v>
      </c>
      <c r="O442" t="str">
        <f t="shared" si="47"/>
        <v>Low</v>
      </c>
      <c r="P442" t="str">
        <f t="shared" si="48"/>
        <v>Medium Demand</v>
      </c>
    </row>
    <row r="443" spans="1:16" ht="13.8">
      <c r="A443" s="13">
        <v>441</v>
      </c>
      <c r="B443" s="13">
        <v>442</v>
      </c>
      <c r="C443" s="13">
        <v>0.2273</v>
      </c>
      <c r="D443" s="13">
        <v>0.48</v>
      </c>
      <c r="E443" s="13">
        <v>0.29849999999999999</v>
      </c>
      <c r="F443" s="13">
        <v>1</v>
      </c>
      <c r="G443" s="13">
        <v>56</v>
      </c>
      <c r="H443" s="13">
        <v>57</v>
      </c>
      <c r="J443" t="str">
        <f t="shared" si="42"/>
        <v>Unique</v>
      </c>
      <c r="K443" t="str">
        <f t="shared" si="43"/>
        <v>Hot</v>
      </c>
      <c r="L443" t="str">
        <f t="shared" si="44"/>
        <v>Low</v>
      </c>
      <c r="M443" t="str">
        <f t="shared" si="45"/>
        <v>Medium Wind</v>
      </c>
      <c r="N443" t="str">
        <f t="shared" si="46"/>
        <v>Low</v>
      </c>
      <c r="O443" t="str">
        <f t="shared" si="47"/>
        <v>Low</v>
      </c>
      <c r="P443" t="str">
        <f t="shared" si="48"/>
        <v>Low Demand</v>
      </c>
    </row>
    <row r="444" spans="1:16" ht="13.8">
      <c r="A444" s="13">
        <v>442</v>
      </c>
      <c r="B444" s="13">
        <v>443</v>
      </c>
      <c r="C444" s="13">
        <v>0.2727</v>
      </c>
      <c r="D444" s="13">
        <v>0.45</v>
      </c>
      <c r="E444" s="13">
        <v>0.16420000000000001</v>
      </c>
      <c r="F444" s="13">
        <v>5</v>
      </c>
      <c r="G444" s="13">
        <v>63</v>
      </c>
      <c r="H444" s="13">
        <v>68</v>
      </c>
      <c r="J444" t="str">
        <f t="shared" si="42"/>
        <v>Unique</v>
      </c>
      <c r="K444" t="str">
        <f t="shared" si="43"/>
        <v>Hot</v>
      </c>
      <c r="L444" t="str">
        <f t="shared" si="44"/>
        <v>Low</v>
      </c>
      <c r="M444" t="str">
        <f t="shared" si="45"/>
        <v>Medium Wind</v>
      </c>
      <c r="N444" t="str">
        <f t="shared" si="46"/>
        <v>Low</v>
      </c>
      <c r="O444" t="str">
        <f t="shared" si="47"/>
        <v>Low</v>
      </c>
      <c r="P444" t="str">
        <f t="shared" si="48"/>
        <v>Low Demand</v>
      </c>
    </row>
    <row r="445" spans="1:16" ht="13.8">
      <c r="A445" s="13">
        <v>443</v>
      </c>
      <c r="B445" s="13">
        <v>444</v>
      </c>
      <c r="C445" s="13">
        <v>0.33329999999999999</v>
      </c>
      <c r="D445" s="13">
        <v>0.42</v>
      </c>
      <c r="E445" s="13">
        <v>0</v>
      </c>
      <c r="F445" s="13">
        <v>7</v>
      </c>
      <c r="G445" s="13">
        <v>77</v>
      </c>
      <c r="H445" s="13">
        <v>84</v>
      </c>
      <c r="J445" t="str">
        <f t="shared" si="42"/>
        <v>Unique</v>
      </c>
      <c r="K445" t="str">
        <f t="shared" si="43"/>
        <v>Hot</v>
      </c>
      <c r="L445" t="str">
        <f t="shared" si="44"/>
        <v>Low</v>
      </c>
      <c r="M445" t="str">
        <f t="shared" si="45"/>
        <v>Medium Wind</v>
      </c>
      <c r="N445" t="str">
        <f t="shared" si="46"/>
        <v>Low</v>
      </c>
      <c r="O445" t="str">
        <f t="shared" si="47"/>
        <v>Low</v>
      </c>
      <c r="P445" t="str">
        <f t="shared" si="48"/>
        <v>Low Demand</v>
      </c>
    </row>
    <row r="446" spans="1:16" ht="13.8">
      <c r="A446" s="13">
        <v>444</v>
      </c>
      <c r="B446" s="13">
        <v>445</v>
      </c>
      <c r="C446" s="13">
        <v>0.28789999999999999</v>
      </c>
      <c r="D446" s="13">
        <v>0.45</v>
      </c>
      <c r="E446" s="13">
        <v>0.1045</v>
      </c>
      <c r="F446" s="13">
        <v>12</v>
      </c>
      <c r="G446" s="13">
        <v>86</v>
      </c>
      <c r="H446" s="13">
        <v>98</v>
      </c>
      <c r="J446" t="str">
        <f t="shared" si="42"/>
        <v>Unique</v>
      </c>
      <c r="K446" t="str">
        <f t="shared" si="43"/>
        <v>Hot</v>
      </c>
      <c r="L446" t="str">
        <f t="shared" si="44"/>
        <v>Low</v>
      </c>
      <c r="M446" t="str">
        <f t="shared" si="45"/>
        <v>Medium Wind</v>
      </c>
      <c r="N446" t="str">
        <f t="shared" si="46"/>
        <v>Low</v>
      </c>
      <c r="O446" t="str">
        <f t="shared" si="47"/>
        <v>Low</v>
      </c>
      <c r="P446" t="str">
        <f t="shared" si="48"/>
        <v>Low Demand</v>
      </c>
    </row>
    <row r="447" spans="1:16" ht="13.8">
      <c r="A447" s="13">
        <v>445</v>
      </c>
      <c r="B447" s="13">
        <v>446</v>
      </c>
      <c r="C447" s="13">
        <v>0.30299999999999999</v>
      </c>
      <c r="D447" s="13">
        <v>0.45</v>
      </c>
      <c r="E447" s="13">
        <v>0.1343</v>
      </c>
      <c r="F447" s="13">
        <v>6</v>
      </c>
      <c r="G447" s="13">
        <v>75</v>
      </c>
      <c r="H447" s="13">
        <v>81</v>
      </c>
      <c r="J447" t="str">
        <f t="shared" si="42"/>
        <v>Unique</v>
      </c>
      <c r="K447" t="str">
        <f t="shared" si="43"/>
        <v>Hot</v>
      </c>
      <c r="L447" t="str">
        <f t="shared" si="44"/>
        <v>Low</v>
      </c>
      <c r="M447" t="str">
        <f t="shared" si="45"/>
        <v>Medium Wind</v>
      </c>
      <c r="N447" t="str">
        <f t="shared" si="46"/>
        <v>Low</v>
      </c>
      <c r="O447" t="str">
        <f t="shared" si="47"/>
        <v>Low</v>
      </c>
      <c r="P447" t="str">
        <f t="shared" si="48"/>
        <v>Low Demand</v>
      </c>
    </row>
    <row r="448" spans="1:16" ht="13.8">
      <c r="A448" s="13">
        <v>446</v>
      </c>
      <c r="B448" s="13">
        <v>447</v>
      </c>
      <c r="C448" s="13">
        <v>0.31819999999999998</v>
      </c>
      <c r="D448" s="13">
        <v>0.45</v>
      </c>
      <c r="E448" s="13">
        <v>0.19400000000000001</v>
      </c>
      <c r="F448" s="13">
        <v>8</v>
      </c>
      <c r="G448" s="13">
        <v>62</v>
      </c>
      <c r="H448" s="13">
        <v>70</v>
      </c>
      <c r="J448" t="str">
        <f t="shared" si="42"/>
        <v>Unique</v>
      </c>
      <c r="K448" t="str">
        <f t="shared" si="43"/>
        <v>Hot</v>
      </c>
      <c r="L448" t="str">
        <f t="shared" si="44"/>
        <v>Low</v>
      </c>
      <c r="M448" t="str">
        <f t="shared" si="45"/>
        <v>Medium Wind</v>
      </c>
      <c r="N448" t="str">
        <f t="shared" si="46"/>
        <v>Low</v>
      </c>
      <c r="O448" t="str">
        <f t="shared" si="47"/>
        <v>Low</v>
      </c>
      <c r="P448" t="str">
        <f t="shared" si="48"/>
        <v>Low Demand</v>
      </c>
    </row>
    <row r="449" spans="1:16" ht="13.8">
      <c r="A449" s="13">
        <v>447</v>
      </c>
      <c r="B449" s="13">
        <v>448</v>
      </c>
      <c r="C449" s="13">
        <v>0.30299999999999999</v>
      </c>
      <c r="D449" s="13">
        <v>0.49</v>
      </c>
      <c r="E449" s="13">
        <v>0.1343</v>
      </c>
      <c r="F449" s="13">
        <v>8</v>
      </c>
      <c r="G449" s="13">
        <v>83</v>
      </c>
      <c r="H449" s="13">
        <v>91</v>
      </c>
      <c r="J449" t="str">
        <f t="shared" si="42"/>
        <v>Unique</v>
      </c>
      <c r="K449" t="str">
        <f t="shared" si="43"/>
        <v>Hot</v>
      </c>
      <c r="L449" t="str">
        <f t="shared" si="44"/>
        <v>Low</v>
      </c>
      <c r="M449" t="str">
        <f t="shared" si="45"/>
        <v>Medium Wind</v>
      </c>
      <c r="N449" t="str">
        <f t="shared" si="46"/>
        <v>Low</v>
      </c>
      <c r="O449" t="str">
        <f t="shared" si="47"/>
        <v>Low</v>
      </c>
      <c r="P449" t="str">
        <f t="shared" si="48"/>
        <v>Low Demand</v>
      </c>
    </row>
    <row r="450" spans="1:16" ht="13.8">
      <c r="A450" s="13">
        <v>448</v>
      </c>
      <c r="B450" s="13">
        <v>449</v>
      </c>
      <c r="C450" s="13">
        <v>0.31819999999999998</v>
      </c>
      <c r="D450" s="13">
        <v>0.49</v>
      </c>
      <c r="E450" s="13">
        <v>0.1045</v>
      </c>
      <c r="F450" s="13">
        <v>8</v>
      </c>
      <c r="G450" s="13">
        <v>207</v>
      </c>
      <c r="H450" s="13">
        <v>215</v>
      </c>
      <c r="J450" t="str">
        <f t="shared" si="42"/>
        <v>Unique</v>
      </c>
      <c r="K450" t="str">
        <f t="shared" si="43"/>
        <v>Hot</v>
      </c>
      <c r="L450" t="str">
        <f t="shared" si="44"/>
        <v>Low</v>
      </c>
      <c r="M450" t="str">
        <f t="shared" si="45"/>
        <v>Medium Wind</v>
      </c>
      <c r="N450" t="str">
        <f t="shared" si="46"/>
        <v>Low</v>
      </c>
      <c r="O450" t="str">
        <f t="shared" si="47"/>
        <v>Low</v>
      </c>
      <c r="P450" t="str">
        <f t="shared" si="48"/>
        <v>Medium Demand</v>
      </c>
    </row>
    <row r="451" spans="1:16" ht="13.8">
      <c r="A451" s="13">
        <v>449</v>
      </c>
      <c r="B451" s="13">
        <v>450</v>
      </c>
      <c r="C451" s="13">
        <v>0.2576</v>
      </c>
      <c r="D451" s="13">
        <v>0.56000000000000005</v>
      </c>
      <c r="E451" s="13">
        <v>0.19400000000000001</v>
      </c>
      <c r="F451" s="13">
        <v>1</v>
      </c>
      <c r="G451" s="13">
        <v>184</v>
      </c>
      <c r="H451" s="13">
        <v>185</v>
      </c>
      <c r="J451" t="str">
        <f t="shared" ref="J451:J514" si="49">IF(COUNTIF(A:A,A451)&gt;1,"Duplicate","Unique")</f>
        <v>Unique</v>
      </c>
      <c r="K451" t="str">
        <f t="shared" ref="K451:K514" si="50">IF(B451&lt;0.3,"Cold",IF(B451&lt;0.6,"Normal","Hot"))</f>
        <v>Hot</v>
      </c>
      <c r="L451" t="str">
        <f t="shared" ref="L451:L514" si="51">IF(C451&lt;0.4,"Low",IF(C451&lt;0.7,"Medium","High"))</f>
        <v>Low</v>
      </c>
      <c r="M451" t="str">
        <f t="shared" ref="M451:M514" si="52">IF(D451&lt;0.2,"Low Wind",IF(D451&lt;0.5,"Medium Wind","High Wind"))</f>
        <v>High Wind</v>
      </c>
      <c r="N451" t="str">
        <f t="shared" ref="N451:N514" si="53">IF(E451&lt;50,"Low",IF(E451&lt;150,"Medium","High"))</f>
        <v>Low</v>
      </c>
      <c r="O451" t="str">
        <f t="shared" ref="O451:O514" si="54">IF(F451&lt;100,"Low",IF(F451&lt;300,"Medium","High"))</f>
        <v>Low</v>
      </c>
      <c r="P451" t="str">
        <f t="shared" ref="P451:P514" si="55">IF(G451&lt;100,"Low Demand",IF(G451&lt;300,"Medium Demand","High Demand"))</f>
        <v>Medium Demand</v>
      </c>
    </row>
    <row r="452" spans="1:16" ht="13.8">
      <c r="A452" s="13">
        <v>450</v>
      </c>
      <c r="B452" s="13">
        <v>451</v>
      </c>
      <c r="C452" s="13">
        <v>0.2273</v>
      </c>
      <c r="D452" s="13">
        <v>0.56000000000000005</v>
      </c>
      <c r="E452" s="13">
        <v>0.32840000000000003</v>
      </c>
      <c r="F452" s="13">
        <v>6</v>
      </c>
      <c r="G452" s="13">
        <v>146</v>
      </c>
      <c r="H452" s="13">
        <v>152</v>
      </c>
      <c r="J452" t="str">
        <f t="shared" si="49"/>
        <v>Unique</v>
      </c>
      <c r="K452" t="str">
        <f t="shared" si="50"/>
        <v>Hot</v>
      </c>
      <c r="L452" t="str">
        <f t="shared" si="51"/>
        <v>Low</v>
      </c>
      <c r="M452" t="str">
        <f t="shared" si="52"/>
        <v>High Wind</v>
      </c>
      <c r="N452" t="str">
        <f t="shared" si="53"/>
        <v>Low</v>
      </c>
      <c r="O452" t="str">
        <f t="shared" si="54"/>
        <v>Low</v>
      </c>
      <c r="P452" t="str">
        <f t="shared" si="55"/>
        <v>Medium Demand</v>
      </c>
    </row>
    <row r="453" spans="1:16" ht="13.8">
      <c r="A453" s="13">
        <v>451</v>
      </c>
      <c r="B453" s="13">
        <v>452</v>
      </c>
      <c r="C453" s="13">
        <v>0.2424</v>
      </c>
      <c r="D453" s="13">
        <v>0.6</v>
      </c>
      <c r="E453" s="13">
        <v>0.28360000000000002</v>
      </c>
      <c r="F453" s="13">
        <v>2</v>
      </c>
      <c r="G453" s="13">
        <v>124</v>
      </c>
      <c r="H453" s="13">
        <v>126</v>
      </c>
      <c r="J453" t="str">
        <f t="shared" si="49"/>
        <v>Unique</v>
      </c>
      <c r="K453" t="str">
        <f t="shared" si="50"/>
        <v>Hot</v>
      </c>
      <c r="L453" t="str">
        <f t="shared" si="51"/>
        <v>Low</v>
      </c>
      <c r="M453" t="str">
        <f t="shared" si="52"/>
        <v>High Wind</v>
      </c>
      <c r="N453" t="str">
        <f t="shared" si="53"/>
        <v>Low</v>
      </c>
      <c r="O453" t="str">
        <f t="shared" si="54"/>
        <v>Low</v>
      </c>
      <c r="P453" t="str">
        <f t="shared" si="55"/>
        <v>Medium Demand</v>
      </c>
    </row>
    <row r="454" spans="1:16" ht="13.8">
      <c r="A454" s="13">
        <v>452</v>
      </c>
      <c r="B454" s="13">
        <v>453</v>
      </c>
      <c r="C454" s="13">
        <v>0.2273</v>
      </c>
      <c r="D454" s="13">
        <v>0.6</v>
      </c>
      <c r="E454" s="13">
        <v>0.25369999999999998</v>
      </c>
      <c r="F454" s="13">
        <v>3</v>
      </c>
      <c r="G454" s="13">
        <v>54</v>
      </c>
      <c r="H454" s="13">
        <v>57</v>
      </c>
      <c r="J454" t="str">
        <f t="shared" si="49"/>
        <v>Unique</v>
      </c>
      <c r="K454" t="str">
        <f t="shared" si="50"/>
        <v>Hot</v>
      </c>
      <c r="L454" t="str">
        <f t="shared" si="51"/>
        <v>Low</v>
      </c>
      <c r="M454" t="str">
        <f t="shared" si="52"/>
        <v>High Wind</v>
      </c>
      <c r="N454" t="str">
        <f t="shared" si="53"/>
        <v>Low</v>
      </c>
      <c r="O454" t="str">
        <f t="shared" si="54"/>
        <v>Low</v>
      </c>
      <c r="P454" t="str">
        <f t="shared" si="55"/>
        <v>Low Demand</v>
      </c>
    </row>
    <row r="455" spans="1:16" ht="13.8">
      <c r="A455" s="13">
        <v>453</v>
      </c>
      <c r="B455" s="13">
        <v>454</v>
      </c>
      <c r="C455" s="13">
        <v>0.21210000000000001</v>
      </c>
      <c r="D455" s="13">
        <v>0.65</v>
      </c>
      <c r="E455" s="13">
        <v>0.28360000000000002</v>
      </c>
      <c r="F455" s="13">
        <v>0</v>
      </c>
      <c r="G455" s="13">
        <v>56</v>
      </c>
      <c r="H455" s="13">
        <v>56</v>
      </c>
      <c r="J455" t="str">
        <f t="shared" si="49"/>
        <v>Unique</v>
      </c>
      <c r="K455" t="str">
        <f t="shared" si="50"/>
        <v>Hot</v>
      </c>
      <c r="L455" t="str">
        <f t="shared" si="51"/>
        <v>Low</v>
      </c>
      <c r="M455" t="str">
        <f t="shared" si="52"/>
        <v>High Wind</v>
      </c>
      <c r="N455" t="str">
        <f t="shared" si="53"/>
        <v>Low</v>
      </c>
      <c r="O455" t="str">
        <f t="shared" si="54"/>
        <v>Low</v>
      </c>
      <c r="P455" t="str">
        <f t="shared" si="55"/>
        <v>Low Demand</v>
      </c>
    </row>
    <row r="456" spans="1:16" ht="13.8">
      <c r="A456" s="13">
        <v>454</v>
      </c>
      <c r="B456" s="13">
        <v>455</v>
      </c>
      <c r="C456" s="13">
        <v>0.21210000000000001</v>
      </c>
      <c r="D456" s="13">
        <v>0.65</v>
      </c>
      <c r="E456" s="13">
        <v>0.32840000000000003</v>
      </c>
      <c r="F456" s="13">
        <v>3</v>
      </c>
      <c r="G456" s="13">
        <v>28</v>
      </c>
      <c r="H456" s="13">
        <v>31</v>
      </c>
      <c r="J456" t="str">
        <f t="shared" si="49"/>
        <v>Unique</v>
      </c>
      <c r="K456" t="str">
        <f t="shared" si="50"/>
        <v>Hot</v>
      </c>
      <c r="L456" t="str">
        <f t="shared" si="51"/>
        <v>Low</v>
      </c>
      <c r="M456" t="str">
        <f t="shared" si="52"/>
        <v>High Wind</v>
      </c>
      <c r="N456" t="str">
        <f t="shared" si="53"/>
        <v>Low</v>
      </c>
      <c r="O456" t="str">
        <f t="shared" si="54"/>
        <v>Low</v>
      </c>
      <c r="P456" t="str">
        <f t="shared" si="55"/>
        <v>Low Demand</v>
      </c>
    </row>
    <row r="457" spans="1:16" ht="13.8">
      <c r="A457" s="13">
        <v>455</v>
      </c>
      <c r="B457" s="13">
        <v>456</v>
      </c>
      <c r="C457" s="13">
        <v>0.2273</v>
      </c>
      <c r="D457" s="13">
        <v>0.7</v>
      </c>
      <c r="E457" s="13">
        <v>0.25369999999999998</v>
      </c>
      <c r="F457" s="13">
        <v>1</v>
      </c>
      <c r="G457" s="13">
        <v>20</v>
      </c>
      <c r="H457" s="13">
        <v>21</v>
      </c>
      <c r="J457" t="str">
        <f t="shared" si="49"/>
        <v>Unique</v>
      </c>
      <c r="K457" t="str">
        <f t="shared" si="50"/>
        <v>Hot</v>
      </c>
      <c r="L457" t="str">
        <f t="shared" si="51"/>
        <v>Low</v>
      </c>
      <c r="M457" t="str">
        <f t="shared" si="52"/>
        <v>High Wind</v>
      </c>
      <c r="N457" t="str">
        <f t="shared" si="53"/>
        <v>Low</v>
      </c>
      <c r="O457" t="str">
        <f t="shared" si="54"/>
        <v>Low</v>
      </c>
      <c r="P457" t="str">
        <f t="shared" si="55"/>
        <v>Low Demand</v>
      </c>
    </row>
    <row r="458" spans="1:16" ht="13.8">
      <c r="A458" s="13">
        <v>456</v>
      </c>
      <c r="B458" s="13">
        <v>457</v>
      </c>
      <c r="C458" s="13">
        <v>0.2273</v>
      </c>
      <c r="D458" s="13">
        <v>0.7</v>
      </c>
      <c r="E458" s="13">
        <v>0.25369999999999998</v>
      </c>
      <c r="F458" s="13">
        <v>0</v>
      </c>
      <c r="G458" s="13">
        <v>6</v>
      </c>
      <c r="H458" s="13">
        <v>6</v>
      </c>
      <c r="J458" t="str">
        <f t="shared" si="49"/>
        <v>Unique</v>
      </c>
      <c r="K458" t="str">
        <f t="shared" si="50"/>
        <v>Hot</v>
      </c>
      <c r="L458" t="str">
        <f t="shared" si="51"/>
        <v>Low</v>
      </c>
      <c r="M458" t="str">
        <f t="shared" si="52"/>
        <v>High Wind</v>
      </c>
      <c r="N458" t="str">
        <f t="shared" si="53"/>
        <v>Low</v>
      </c>
      <c r="O458" t="str">
        <f t="shared" si="54"/>
        <v>Low</v>
      </c>
      <c r="P458" t="str">
        <f t="shared" si="55"/>
        <v>Low Demand</v>
      </c>
    </row>
    <row r="459" spans="1:16" ht="13.8">
      <c r="A459" s="13">
        <v>457</v>
      </c>
      <c r="B459" s="13">
        <v>458</v>
      </c>
      <c r="C459" s="13">
        <v>0.2424</v>
      </c>
      <c r="D459" s="13">
        <v>0.75</v>
      </c>
      <c r="E459" s="13">
        <v>0.16420000000000001</v>
      </c>
      <c r="F459" s="13">
        <v>0</v>
      </c>
      <c r="G459" s="13">
        <v>2</v>
      </c>
      <c r="H459" s="13">
        <v>2</v>
      </c>
      <c r="J459" t="str">
        <f t="shared" si="49"/>
        <v>Unique</v>
      </c>
      <c r="K459" t="str">
        <f t="shared" si="50"/>
        <v>Hot</v>
      </c>
      <c r="L459" t="str">
        <f t="shared" si="51"/>
        <v>Low</v>
      </c>
      <c r="M459" t="str">
        <f t="shared" si="52"/>
        <v>High Wind</v>
      </c>
      <c r="N459" t="str">
        <f t="shared" si="53"/>
        <v>Low</v>
      </c>
      <c r="O459" t="str">
        <f t="shared" si="54"/>
        <v>Low</v>
      </c>
      <c r="P459" t="str">
        <f t="shared" si="55"/>
        <v>Low Demand</v>
      </c>
    </row>
    <row r="460" spans="1:16" ht="13.8">
      <c r="A460" s="13">
        <v>458</v>
      </c>
      <c r="B460" s="13">
        <v>459</v>
      </c>
      <c r="C460" s="13">
        <v>0.21210000000000001</v>
      </c>
      <c r="D460" s="13">
        <v>0.8</v>
      </c>
      <c r="E460" s="13">
        <v>0.29849999999999999</v>
      </c>
      <c r="F460" s="13">
        <v>0</v>
      </c>
      <c r="G460" s="13">
        <v>1</v>
      </c>
      <c r="H460" s="13">
        <v>1</v>
      </c>
      <c r="J460" t="str">
        <f t="shared" si="49"/>
        <v>Unique</v>
      </c>
      <c r="K460" t="str">
        <f t="shared" si="50"/>
        <v>Hot</v>
      </c>
      <c r="L460" t="str">
        <f t="shared" si="51"/>
        <v>Low</v>
      </c>
      <c r="M460" t="str">
        <f t="shared" si="52"/>
        <v>High Wind</v>
      </c>
      <c r="N460" t="str">
        <f t="shared" si="53"/>
        <v>Low</v>
      </c>
      <c r="O460" t="str">
        <f t="shared" si="54"/>
        <v>Low</v>
      </c>
      <c r="P460" t="str">
        <f t="shared" si="55"/>
        <v>Low Demand</v>
      </c>
    </row>
    <row r="461" spans="1:16" ht="13.8">
      <c r="A461" s="13">
        <v>459</v>
      </c>
      <c r="B461" s="13">
        <v>460</v>
      </c>
      <c r="C461" s="13">
        <v>0.2576</v>
      </c>
      <c r="D461" s="13">
        <v>0.87</v>
      </c>
      <c r="E461" s="13">
        <v>8.9599999999999999E-2</v>
      </c>
      <c r="F461" s="13">
        <v>0</v>
      </c>
      <c r="G461" s="13">
        <v>1</v>
      </c>
      <c r="H461" s="13">
        <v>1</v>
      </c>
      <c r="J461" t="str">
        <f t="shared" si="49"/>
        <v>Unique</v>
      </c>
      <c r="K461" t="str">
        <f t="shared" si="50"/>
        <v>Hot</v>
      </c>
      <c r="L461" t="str">
        <f t="shared" si="51"/>
        <v>Low</v>
      </c>
      <c r="M461" t="str">
        <f t="shared" si="52"/>
        <v>High Wind</v>
      </c>
      <c r="N461" t="str">
        <f t="shared" si="53"/>
        <v>Low</v>
      </c>
      <c r="O461" t="str">
        <f t="shared" si="54"/>
        <v>Low</v>
      </c>
      <c r="P461" t="str">
        <f t="shared" si="55"/>
        <v>Low Demand</v>
      </c>
    </row>
    <row r="462" spans="1:16" ht="13.8">
      <c r="A462" s="13">
        <v>460</v>
      </c>
      <c r="B462" s="13">
        <v>461</v>
      </c>
      <c r="C462" s="13">
        <v>0.19700000000000001</v>
      </c>
      <c r="D462" s="13">
        <v>0.6</v>
      </c>
      <c r="E462" s="13">
        <v>0.41789999999999999</v>
      </c>
      <c r="F462" s="13">
        <v>1</v>
      </c>
      <c r="G462" s="13">
        <v>4</v>
      </c>
      <c r="H462" s="13">
        <v>5</v>
      </c>
      <c r="J462" t="str">
        <f t="shared" si="49"/>
        <v>Unique</v>
      </c>
      <c r="K462" t="str">
        <f t="shared" si="50"/>
        <v>Hot</v>
      </c>
      <c r="L462" t="str">
        <f t="shared" si="51"/>
        <v>Low</v>
      </c>
      <c r="M462" t="str">
        <f t="shared" si="52"/>
        <v>High Wind</v>
      </c>
      <c r="N462" t="str">
        <f t="shared" si="53"/>
        <v>Low</v>
      </c>
      <c r="O462" t="str">
        <f t="shared" si="54"/>
        <v>Low</v>
      </c>
      <c r="P462" t="str">
        <f t="shared" si="55"/>
        <v>Low Demand</v>
      </c>
    </row>
    <row r="463" spans="1:16" ht="13.8">
      <c r="A463" s="13">
        <v>461</v>
      </c>
      <c r="B463" s="13">
        <v>462</v>
      </c>
      <c r="C463" s="13">
        <v>0.21210000000000001</v>
      </c>
      <c r="D463" s="13">
        <v>0.55000000000000004</v>
      </c>
      <c r="E463" s="13">
        <v>0.25369999999999998</v>
      </c>
      <c r="F463" s="13">
        <v>0</v>
      </c>
      <c r="G463" s="13">
        <v>27</v>
      </c>
      <c r="H463" s="13">
        <v>27</v>
      </c>
      <c r="J463" t="str">
        <f t="shared" si="49"/>
        <v>Unique</v>
      </c>
      <c r="K463" t="str">
        <f t="shared" si="50"/>
        <v>Hot</v>
      </c>
      <c r="L463" t="str">
        <f t="shared" si="51"/>
        <v>Low</v>
      </c>
      <c r="M463" t="str">
        <f t="shared" si="52"/>
        <v>High Wind</v>
      </c>
      <c r="N463" t="str">
        <f t="shared" si="53"/>
        <v>Low</v>
      </c>
      <c r="O463" t="str">
        <f t="shared" si="54"/>
        <v>Low</v>
      </c>
      <c r="P463" t="str">
        <f t="shared" si="55"/>
        <v>Low Demand</v>
      </c>
    </row>
    <row r="464" spans="1:16" ht="13.8">
      <c r="A464" s="13">
        <v>462</v>
      </c>
      <c r="B464" s="13">
        <v>463</v>
      </c>
      <c r="C464" s="13">
        <v>0.18179999999999999</v>
      </c>
      <c r="D464" s="13">
        <v>0.51</v>
      </c>
      <c r="E464" s="13">
        <v>0.28360000000000002</v>
      </c>
      <c r="F464" s="13">
        <v>2</v>
      </c>
      <c r="G464" s="13">
        <v>66</v>
      </c>
      <c r="H464" s="13">
        <v>68</v>
      </c>
      <c r="J464" t="str">
        <f t="shared" si="49"/>
        <v>Unique</v>
      </c>
      <c r="K464" t="str">
        <f t="shared" si="50"/>
        <v>Hot</v>
      </c>
      <c r="L464" t="str">
        <f t="shared" si="51"/>
        <v>Low</v>
      </c>
      <c r="M464" t="str">
        <f t="shared" si="52"/>
        <v>High Wind</v>
      </c>
      <c r="N464" t="str">
        <f t="shared" si="53"/>
        <v>Low</v>
      </c>
      <c r="O464" t="str">
        <f t="shared" si="54"/>
        <v>Low</v>
      </c>
      <c r="P464" t="str">
        <f t="shared" si="55"/>
        <v>Low Demand</v>
      </c>
    </row>
    <row r="465" spans="1:16" ht="13.8">
      <c r="A465" s="13">
        <v>463</v>
      </c>
      <c r="B465" s="13">
        <v>464</v>
      </c>
      <c r="C465" s="13">
        <v>0.18179999999999999</v>
      </c>
      <c r="D465" s="13">
        <v>0.47</v>
      </c>
      <c r="E465" s="13">
        <v>0.32840000000000003</v>
      </c>
      <c r="F465" s="13">
        <v>7</v>
      </c>
      <c r="G465" s="13">
        <v>210</v>
      </c>
      <c r="H465" s="13">
        <v>217</v>
      </c>
      <c r="J465" t="str">
        <f t="shared" si="49"/>
        <v>Unique</v>
      </c>
      <c r="K465" t="str">
        <f t="shared" si="50"/>
        <v>Hot</v>
      </c>
      <c r="L465" t="str">
        <f t="shared" si="51"/>
        <v>Low</v>
      </c>
      <c r="M465" t="str">
        <f t="shared" si="52"/>
        <v>Medium Wind</v>
      </c>
      <c r="N465" t="str">
        <f t="shared" si="53"/>
        <v>Low</v>
      </c>
      <c r="O465" t="str">
        <f t="shared" si="54"/>
        <v>Low</v>
      </c>
      <c r="P465" t="str">
        <f t="shared" si="55"/>
        <v>Medium Demand</v>
      </c>
    </row>
    <row r="466" spans="1:16" ht="13.8">
      <c r="A466" s="13">
        <v>464</v>
      </c>
      <c r="B466" s="13">
        <v>465</v>
      </c>
      <c r="C466" s="13">
        <v>0.18179999999999999</v>
      </c>
      <c r="D466" s="13">
        <v>0.51</v>
      </c>
      <c r="E466" s="13">
        <v>0.35820000000000002</v>
      </c>
      <c r="F466" s="13">
        <v>7</v>
      </c>
      <c r="G466" s="13">
        <v>159</v>
      </c>
      <c r="H466" s="13">
        <v>166</v>
      </c>
      <c r="J466" t="str">
        <f t="shared" si="49"/>
        <v>Unique</v>
      </c>
      <c r="K466" t="str">
        <f t="shared" si="50"/>
        <v>Hot</v>
      </c>
      <c r="L466" t="str">
        <f t="shared" si="51"/>
        <v>Low</v>
      </c>
      <c r="M466" t="str">
        <f t="shared" si="52"/>
        <v>High Wind</v>
      </c>
      <c r="N466" t="str">
        <f t="shared" si="53"/>
        <v>Low</v>
      </c>
      <c r="O466" t="str">
        <f t="shared" si="54"/>
        <v>Low</v>
      </c>
      <c r="P466" t="str">
        <f t="shared" si="55"/>
        <v>Medium Demand</v>
      </c>
    </row>
    <row r="467" spans="1:16" ht="13.8">
      <c r="A467" s="13">
        <v>465</v>
      </c>
      <c r="B467" s="13">
        <v>466</v>
      </c>
      <c r="C467" s="13">
        <v>0.16669999999999999</v>
      </c>
      <c r="D467" s="13">
        <v>0.47</v>
      </c>
      <c r="E467" s="13">
        <v>0.4627</v>
      </c>
      <c r="F467" s="13">
        <v>6</v>
      </c>
      <c r="G467" s="13">
        <v>57</v>
      </c>
      <c r="H467" s="13">
        <v>63</v>
      </c>
      <c r="J467" t="str">
        <f t="shared" si="49"/>
        <v>Unique</v>
      </c>
      <c r="K467" t="str">
        <f t="shared" si="50"/>
        <v>Hot</v>
      </c>
      <c r="L467" t="str">
        <f t="shared" si="51"/>
        <v>Low</v>
      </c>
      <c r="M467" t="str">
        <f t="shared" si="52"/>
        <v>Medium Wind</v>
      </c>
      <c r="N467" t="str">
        <f t="shared" si="53"/>
        <v>Low</v>
      </c>
      <c r="O467" t="str">
        <f t="shared" si="54"/>
        <v>Low</v>
      </c>
      <c r="P467" t="str">
        <f t="shared" si="55"/>
        <v>Low Demand</v>
      </c>
    </row>
    <row r="468" spans="1:16" ht="13.8">
      <c r="A468" s="13">
        <v>466</v>
      </c>
      <c r="B468" s="13">
        <v>467</v>
      </c>
      <c r="C468" s="13">
        <v>0.18179999999999999</v>
      </c>
      <c r="D468" s="13">
        <v>0.41</v>
      </c>
      <c r="E468" s="13">
        <v>0.4627</v>
      </c>
      <c r="F468" s="13">
        <v>6</v>
      </c>
      <c r="G468" s="13">
        <v>53</v>
      </c>
      <c r="H468" s="13">
        <v>59</v>
      </c>
      <c r="J468" t="str">
        <f t="shared" si="49"/>
        <v>Unique</v>
      </c>
      <c r="K468" t="str">
        <f t="shared" si="50"/>
        <v>Hot</v>
      </c>
      <c r="L468" t="str">
        <f t="shared" si="51"/>
        <v>Low</v>
      </c>
      <c r="M468" t="str">
        <f t="shared" si="52"/>
        <v>Medium Wind</v>
      </c>
      <c r="N468" t="str">
        <f t="shared" si="53"/>
        <v>Low</v>
      </c>
      <c r="O468" t="str">
        <f t="shared" si="54"/>
        <v>Low</v>
      </c>
      <c r="P468" t="str">
        <f t="shared" si="55"/>
        <v>Low Demand</v>
      </c>
    </row>
    <row r="469" spans="1:16" ht="13.8">
      <c r="A469" s="13">
        <v>467</v>
      </c>
      <c r="B469" s="13">
        <v>468</v>
      </c>
      <c r="C469" s="13">
        <v>0.18179999999999999</v>
      </c>
      <c r="D469" s="13">
        <v>0.27</v>
      </c>
      <c r="E469" s="13">
        <v>0.58209999999999995</v>
      </c>
      <c r="F469" s="13">
        <v>11</v>
      </c>
      <c r="G469" s="13">
        <v>67</v>
      </c>
      <c r="H469" s="13">
        <v>78</v>
      </c>
      <c r="J469" t="str">
        <f t="shared" si="49"/>
        <v>Unique</v>
      </c>
      <c r="K469" t="str">
        <f t="shared" si="50"/>
        <v>Hot</v>
      </c>
      <c r="L469" t="str">
        <f t="shared" si="51"/>
        <v>Low</v>
      </c>
      <c r="M469" t="str">
        <f t="shared" si="52"/>
        <v>Medium Wind</v>
      </c>
      <c r="N469" t="str">
        <f t="shared" si="53"/>
        <v>Low</v>
      </c>
      <c r="O469" t="str">
        <f t="shared" si="54"/>
        <v>Low</v>
      </c>
      <c r="P469" t="str">
        <f t="shared" si="55"/>
        <v>Low Demand</v>
      </c>
    </row>
    <row r="470" spans="1:16" ht="13.8">
      <c r="A470" s="13">
        <v>468</v>
      </c>
      <c r="B470" s="13">
        <v>469</v>
      </c>
      <c r="C470" s="13">
        <v>0.1515</v>
      </c>
      <c r="D470" s="13">
        <v>0.21</v>
      </c>
      <c r="E470" s="13">
        <v>0.58209999999999995</v>
      </c>
      <c r="F470" s="13">
        <v>8</v>
      </c>
      <c r="G470" s="13">
        <v>65</v>
      </c>
      <c r="H470" s="13">
        <v>73</v>
      </c>
      <c r="J470" t="str">
        <f t="shared" si="49"/>
        <v>Unique</v>
      </c>
      <c r="K470" t="str">
        <f t="shared" si="50"/>
        <v>Hot</v>
      </c>
      <c r="L470" t="str">
        <f t="shared" si="51"/>
        <v>Low</v>
      </c>
      <c r="M470" t="str">
        <f t="shared" si="52"/>
        <v>Medium Wind</v>
      </c>
      <c r="N470" t="str">
        <f t="shared" si="53"/>
        <v>Low</v>
      </c>
      <c r="O470" t="str">
        <f t="shared" si="54"/>
        <v>Low</v>
      </c>
      <c r="P470" t="str">
        <f t="shared" si="55"/>
        <v>Low Demand</v>
      </c>
    </row>
    <row r="471" spans="1:16" ht="13.8">
      <c r="A471" s="13">
        <v>469</v>
      </c>
      <c r="B471" s="13">
        <v>470</v>
      </c>
      <c r="C471" s="13">
        <v>0.1515</v>
      </c>
      <c r="D471" s="13">
        <v>0.25</v>
      </c>
      <c r="E471" s="13">
        <v>0.52239999999999998</v>
      </c>
      <c r="F471" s="13">
        <v>6</v>
      </c>
      <c r="G471" s="13">
        <v>56</v>
      </c>
      <c r="H471" s="13">
        <v>62</v>
      </c>
      <c r="J471" t="str">
        <f t="shared" si="49"/>
        <v>Unique</v>
      </c>
      <c r="K471" t="str">
        <f t="shared" si="50"/>
        <v>Hot</v>
      </c>
      <c r="L471" t="str">
        <f t="shared" si="51"/>
        <v>Low</v>
      </c>
      <c r="M471" t="str">
        <f t="shared" si="52"/>
        <v>Medium Wind</v>
      </c>
      <c r="N471" t="str">
        <f t="shared" si="53"/>
        <v>Low</v>
      </c>
      <c r="O471" t="str">
        <f t="shared" si="54"/>
        <v>Low</v>
      </c>
      <c r="P471" t="str">
        <f t="shared" si="55"/>
        <v>Low Demand</v>
      </c>
    </row>
    <row r="472" spans="1:16" ht="13.8">
      <c r="A472" s="13">
        <v>470</v>
      </c>
      <c r="B472" s="13">
        <v>471</v>
      </c>
      <c r="C472" s="13">
        <v>0.1212</v>
      </c>
      <c r="D472" s="13">
        <v>0.26</v>
      </c>
      <c r="E472" s="13">
        <v>0.44779999999999998</v>
      </c>
      <c r="F472" s="13">
        <v>4</v>
      </c>
      <c r="G472" s="13">
        <v>61</v>
      </c>
      <c r="H472" s="13">
        <v>65</v>
      </c>
      <c r="J472" t="str">
        <f t="shared" si="49"/>
        <v>Unique</v>
      </c>
      <c r="K472" t="str">
        <f t="shared" si="50"/>
        <v>Hot</v>
      </c>
      <c r="L472" t="str">
        <f t="shared" si="51"/>
        <v>Low</v>
      </c>
      <c r="M472" t="str">
        <f t="shared" si="52"/>
        <v>Medium Wind</v>
      </c>
      <c r="N472" t="str">
        <f t="shared" si="53"/>
        <v>Low</v>
      </c>
      <c r="O472" t="str">
        <f t="shared" si="54"/>
        <v>Low</v>
      </c>
      <c r="P472" t="str">
        <f t="shared" si="55"/>
        <v>Low Demand</v>
      </c>
    </row>
    <row r="473" spans="1:16" ht="13.8">
      <c r="A473" s="13">
        <v>471</v>
      </c>
      <c r="B473" s="13">
        <v>472</v>
      </c>
      <c r="C473" s="13">
        <v>0.13639999999999999</v>
      </c>
      <c r="D473" s="13">
        <v>0.26</v>
      </c>
      <c r="E473" s="13">
        <v>0.35820000000000002</v>
      </c>
      <c r="F473" s="13">
        <v>0</v>
      </c>
      <c r="G473" s="13">
        <v>97</v>
      </c>
      <c r="H473" s="13">
        <v>97</v>
      </c>
      <c r="J473" t="str">
        <f t="shared" si="49"/>
        <v>Unique</v>
      </c>
      <c r="K473" t="str">
        <f t="shared" si="50"/>
        <v>Hot</v>
      </c>
      <c r="L473" t="str">
        <f t="shared" si="51"/>
        <v>Low</v>
      </c>
      <c r="M473" t="str">
        <f t="shared" si="52"/>
        <v>Medium Wind</v>
      </c>
      <c r="N473" t="str">
        <f t="shared" si="53"/>
        <v>Low</v>
      </c>
      <c r="O473" t="str">
        <f t="shared" si="54"/>
        <v>Low</v>
      </c>
      <c r="P473" t="str">
        <f t="shared" si="55"/>
        <v>Low Demand</v>
      </c>
    </row>
    <row r="474" spans="1:16" ht="13.8">
      <c r="A474" s="13">
        <v>472</v>
      </c>
      <c r="B474" s="13">
        <v>473</v>
      </c>
      <c r="C474" s="13">
        <v>0.1212</v>
      </c>
      <c r="D474" s="13">
        <v>0.28000000000000003</v>
      </c>
      <c r="E474" s="13">
        <v>0.35820000000000002</v>
      </c>
      <c r="F474" s="13">
        <v>10</v>
      </c>
      <c r="G474" s="13">
        <v>151</v>
      </c>
      <c r="H474" s="13">
        <v>161</v>
      </c>
      <c r="J474" t="str">
        <f t="shared" si="49"/>
        <v>Unique</v>
      </c>
      <c r="K474" t="str">
        <f t="shared" si="50"/>
        <v>Hot</v>
      </c>
      <c r="L474" t="str">
        <f t="shared" si="51"/>
        <v>Low</v>
      </c>
      <c r="M474" t="str">
        <f t="shared" si="52"/>
        <v>Medium Wind</v>
      </c>
      <c r="N474" t="str">
        <f t="shared" si="53"/>
        <v>Low</v>
      </c>
      <c r="O474" t="str">
        <f t="shared" si="54"/>
        <v>Low</v>
      </c>
      <c r="P474" t="str">
        <f t="shared" si="55"/>
        <v>Medium Demand</v>
      </c>
    </row>
    <row r="475" spans="1:16" ht="13.8">
      <c r="A475" s="13">
        <v>473</v>
      </c>
      <c r="B475" s="13">
        <v>474</v>
      </c>
      <c r="C475" s="13">
        <v>0.1212</v>
      </c>
      <c r="D475" s="13">
        <v>0.3</v>
      </c>
      <c r="E475" s="13">
        <v>0.25369999999999998</v>
      </c>
      <c r="F475" s="13">
        <v>1</v>
      </c>
      <c r="G475" s="13">
        <v>119</v>
      </c>
      <c r="H475" s="13">
        <v>120</v>
      </c>
      <c r="J475" t="str">
        <f t="shared" si="49"/>
        <v>Unique</v>
      </c>
      <c r="K475" t="str">
        <f t="shared" si="50"/>
        <v>Hot</v>
      </c>
      <c r="L475" t="str">
        <f t="shared" si="51"/>
        <v>Low</v>
      </c>
      <c r="M475" t="str">
        <f t="shared" si="52"/>
        <v>Medium Wind</v>
      </c>
      <c r="N475" t="str">
        <f t="shared" si="53"/>
        <v>Low</v>
      </c>
      <c r="O475" t="str">
        <f t="shared" si="54"/>
        <v>Low</v>
      </c>
      <c r="P475" t="str">
        <f t="shared" si="55"/>
        <v>Medium Demand</v>
      </c>
    </row>
    <row r="476" spans="1:16" ht="13.8">
      <c r="A476" s="13">
        <v>474</v>
      </c>
      <c r="B476" s="13">
        <v>475</v>
      </c>
      <c r="C476" s="13">
        <v>0.1061</v>
      </c>
      <c r="D476" s="13">
        <v>0.3</v>
      </c>
      <c r="E476" s="13">
        <v>0.32840000000000003</v>
      </c>
      <c r="F476" s="13">
        <v>3</v>
      </c>
      <c r="G476" s="13">
        <v>93</v>
      </c>
      <c r="H476" s="13">
        <v>96</v>
      </c>
      <c r="J476" t="str">
        <f t="shared" si="49"/>
        <v>Unique</v>
      </c>
      <c r="K476" t="str">
        <f t="shared" si="50"/>
        <v>Hot</v>
      </c>
      <c r="L476" t="str">
        <f t="shared" si="51"/>
        <v>Low</v>
      </c>
      <c r="M476" t="str">
        <f t="shared" si="52"/>
        <v>Medium Wind</v>
      </c>
      <c r="N476" t="str">
        <f t="shared" si="53"/>
        <v>Low</v>
      </c>
      <c r="O476" t="str">
        <f t="shared" si="54"/>
        <v>Low</v>
      </c>
      <c r="P476" t="str">
        <f t="shared" si="55"/>
        <v>Low Demand</v>
      </c>
    </row>
    <row r="477" spans="1:16" ht="13.8">
      <c r="A477" s="13">
        <v>475</v>
      </c>
      <c r="B477" s="13">
        <v>476</v>
      </c>
      <c r="C477" s="13">
        <v>7.5800000000000006E-2</v>
      </c>
      <c r="D477" s="13">
        <v>0.33</v>
      </c>
      <c r="E477" s="13">
        <v>0.41789999999999999</v>
      </c>
      <c r="F477" s="13">
        <v>1</v>
      </c>
      <c r="G477" s="13">
        <v>52</v>
      </c>
      <c r="H477" s="13">
        <v>53</v>
      </c>
      <c r="J477" t="str">
        <f t="shared" si="49"/>
        <v>Unique</v>
      </c>
      <c r="K477" t="str">
        <f t="shared" si="50"/>
        <v>Hot</v>
      </c>
      <c r="L477" t="str">
        <f t="shared" si="51"/>
        <v>Low</v>
      </c>
      <c r="M477" t="str">
        <f t="shared" si="52"/>
        <v>Medium Wind</v>
      </c>
      <c r="N477" t="str">
        <f t="shared" si="53"/>
        <v>Low</v>
      </c>
      <c r="O477" t="str">
        <f t="shared" si="54"/>
        <v>Low</v>
      </c>
      <c r="P477" t="str">
        <f t="shared" si="55"/>
        <v>Low Demand</v>
      </c>
    </row>
    <row r="478" spans="1:16" ht="13.8">
      <c r="A478" s="13">
        <v>476</v>
      </c>
      <c r="B478" s="13">
        <v>477</v>
      </c>
      <c r="C478" s="13">
        <v>7.5800000000000006E-2</v>
      </c>
      <c r="D478" s="13">
        <v>0.38</v>
      </c>
      <c r="E478" s="13">
        <v>0.28360000000000002</v>
      </c>
      <c r="F478" s="13">
        <v>0</v>
      </c>
      <c r="G478" s="13">
        <v>41</v>
      </c>
      <c r="H478" s="13">
        <v>41</v>
      </c>
      <c r="J478" t="str">
        <f t="shared" si="49"/>
        <v>Unique</v>
      </c>
      <c r="K478" t="str">
        <f t="shared" si="50"/>
        <v>Hot</v>
      </c>
      <c r="L478" t="str">
        <f t="shared" si="51"/>
        <v>Low</v>
      </c>
      <c r="M478" t="str">
        <f t="shared" si="52"/>
        <v>Medium Wind</v>
      </c>
      <c r="N478" t="str">
        <f t="shared" si="53"/>
        <v>Low</v>
      </c>
      <c r="O478" t="str">
        <f t="shared" si="54"/>
        <v>Low</v>
      </c>
      <c r="P478" t="str">
        <f t="shared" si="55"/>
        <v>Low Demand</v>
      </c>
    </row>
    <row r="479" spans="1:16" ht="13.8">
      <c r="A479" s="13">
        <v>477</v>
      </c>
      <c r="B479" s="13">
        <v>478</v>
      </c>
      <c r="C479" s="13">
        <v>3.0300000000000001E-2</v>
      </c>
      <c r="D479" s="13">
        <v>0.41</v>
      </c>
      <c r="E479" s="13">
        <v>0.3881</v>
      </c>
      <c r="F479" s="13">
        <v>1</v>
      </c>
      <c r="G479" s="13">
        <v>33</v>
      </c>
      <c r="H479" s="13">
        <v>34</v>
      </c>
      <c r="J479" t="str">
        <f t="shared" si="49"/>
        <v>Unique</v>
      </c>
      <c r="K479" t="str">
        <f t="shared" si="50"/>
        <v>Hot</v>
      </c>
      <c r="L479" t="str">
        <f t="shared" si="51"/>
        <v>Low</v>
      </c>
      <c r="M479" t="str">
        <f t="shared" si="52"/>
        <v>Medium Wind</v>
      </c>
      <c r="N479" t="str">
        <f t="shared" si="53"/>
        <v>Low</v>
      </c>
      <c r="O479" t="str">
        <f t="shared" si="54"/>
        <v>Low</v>
      </c>
      <c r="P479" t="str">
        <f t="shared" si="55"/>
        <v>Low Demand</v>
      </c>
    </row>
    <row r="480" spans="1:16" ht="13.8">
      <c r="A480" s="13">
        <v>478</v>
      </c>
      <c r="B480" s="13">
        <v>479</v>
      </c>
      <c r="C480" s="13">
        <v>4.5499999999999999E-2</v>
      </c>
      <c r="D480" s="13">
        <v>0.38</v>
      </c>
      <c r="E480" s="13">
        <v>0.32840000000000003</v>
      </c>
      <c r="F480" s="13">
        <v>0</v>
      </c>
      <c r="G480" s="13">
        <v>27</v>
      </c>
      <c r="H480" s="13">
        <v>27</v>
      </c>
      <c r="J480" t="str">
        <f t="shared" si="49"/>
        <v>Unique</v>
      </c>
      <c r="K480" t="str">
        <f t="shared" si="50"/>
        <v>Hot</v>
      </c>
      <c r="L480" t="str">
        <f t="shared" si="51"/>
        <v>Low</v>
      </c>
      <c r="M480" t="str">
        <f t="shared" si="52"/>
        <v>Medium Wind</v>
      </c>
      <c r="N480" t="str">
        <f t="shared" si="53"/>
        <v>Low</v>
      </c>
      <c r="O480" t="str">
        <f t="shared" si="54"/>
        <v>Low</v>
      </c>
      <c r="P480" t="str">
        <f t="shared" si="55"/>
        <v>Low Demand</v>
      </c>
    </row>
    <row r="481" spans="1:16" ht="13.8">
      <c r="A481" s="13">
        <v>479</v>
      </c>
      <c r="B481" s="13">
        <v>480</v>
      </c>
      <c r="C481" s="13">
        <v>3.0300000000000001E-2</v>
      </c>
      <c r="D481" s="13">
        <v>0.45</v>
      </c>
      <c r="E481" s="13">
        <v>0.25369999999999998</v>
      </c>
      <c r="F481" s="13">
        <v>0</v>
      </c>
      <c r="G481" s="13">
        <v>13</v>
      </c>
      <c r="H481" s="13">
        <v>13</v>
      </c>
      <c r="J481" t="str">
        <f t="shared" si="49"/>
        <v>Unique</v>
      </c>
      <c r="K481" t="str">
        <f t="shared" si="50"/>
        <v>Hot</v>
      </c>
      <c r="L481" t="str">
        <f t="shared" si="51"/>
        <v>Low</v>
      </c>
      <c r="M481" t="str">
        <f t="shared" si="52"/>
        <v>Medium Wind</v>
      </c>
      <c r="N481" t="str">
        <f t="shared" si="53"/>
        <v>Low</v>
      </c>
      <c r="O481" t="str">
        <f t="shared" si="54"/>
        <v>Low</v>
      </c>
      <c r="P481" t="str">
        <f t="shared" si="55"/>
        <v>Low Demand</v>
      </c>
    </row>
    <row r="482" spans="1:16" ht="13.8">
      <c r="A482" s="13">
        <v>480</v>
      </c>
      <c r="B482" s="13">
        <v>481</v>
      </c>
      <c r="C482" s="13">
        <v>0</v>
      </c>
      <c r="D482" s="13">
        <v>0.41</v>
      </c>
      <c r="E482" s="13">
        <v>0.3881</v>
      </c>
      <c r="F482" s="13">
        <v>3</v>
      </c>
      <c r="G482" s="13">
        <v>9</v>
      </c>
      <c r="H482" s="13">
        <v>12</v>
      </c>
      <c r="J482" t="str">
        <f t="shared" si="49"/>
        <v>Unique</v>
      </c>
      <c r="K482" t="str">
        <f t="shared" si="50"/>
        <v>Hot</v>
      </c>
      <c r="L482" t="str">
        <f t="shared" si="51"/>
        <v>Low</v>
      </c>
      <c r="M482" t="str">
        <f t="shared" si="52"/>
        <v>Medium Wind</v>
      </c>
      <c r="N482" t="str">
        <f t="shared" si="53"/>
        <v>Low</v>
      </c>
      <c r="O482" t="str">
        <f t="shared" si="54"/>
        <v>Low</v>
      </c>
      <c r="P482" t="str">
        <f t="shared" si="55"/>
        <v>Low Demand</v>
      </c>
    </row>
    <row r="483" spans="1:16" ht="13.8">
      <c r="A483" s="13">
        <v>481</v>
      </c>
      <c r="B483" s="13">
        <v>482</v>
      </c>
      <c r="C483" s="13">
        <v>3.0300000000000001E-2</v>
      </c>
      <c r="D483" s="13">
        <v>0.41</v>
      </c>
      <c r="E483" s="13">
        <v>0.25369999999999998</v>
      </c>
      <c r="F483" s="13">
        <v>0</v>
      </c>
      <c r="G483" s="13">
        <v>11</v>
      </c>
      <c r="H483" s="13">
        <v>11</v>
      </c>
      <c r="J483" t="str">
        <f t="shared" si="49"/>
        <v>Unique</v>
      </c>
      <c r="K483" t="str">
        <f t="shared" si="50"/>
        <v>Hot</v>
      </c>
      <c r="L483" t="str">
        <f t="shared" si="51"/>
        <v>Low</v>
      </c>
      <c r="M483" t="str">
        <f t="shared" si="52"/>
        <v>Medium Wind</v>
      </c>
      <c r="N483" t="str">
        <f t="shared" si="53"/>
        <v>Low</v>
      </c>
      <c r="O483" t="str">
        <f t="shared" si="54"/>
        <v>Low</v>
      </c>
      <c r="P483" t="str">
        <f t="shared" si="55"/>
        <v>Low Demand</v>
      </c>
    </row>
    <row r="484" spans="1:16" ht="13.8">
      <c r="A484" s="13">
        <v>482</v>
      </c>
      <c r="B484" s="13">
        <v>483</v>
      </c>
      <c r="C484" s="13">
        <v>3.0300000000000001E-2</v>
      </c>
      <c r="D484" s="13">
        <v>0.41</v>
      </c>
      <c r="E484" s="13">
        <v>0.28360000000000002</v>
      </c>
      <c r="F484" s="13">
        <v>1</v>
      </c>
      <c r="G484" s="13">
        <v>6</v>
      </c>
      <c r="H484" s="13">
        <v>7</v>
      </c>
      <c r="J484" t="str">
        <f t="shared" si="49"/>
        <v>Unique</v>
      </c>
      <c r="K484" t="str">
        <f t="shared" si="50"/>
        <v>Hot</v>
      </c>
      <c r="L484" t="str">
        <f t="shared" si="51"/>
        <v>Low</v>
      </c>
      <c r="M484" t="str">
        <f t="shared" si="52"/>
        <v>Medium Wind</v>
      </c>
      <c r="N484" t="str">
        <f t="shared" si="53"/>
        <v>Low</v>
      </c>
      <c r="O484" t="str">
        <f t="shared" si="54"/>
        <v>Low</v>
      </c>
      <c r="P484" t="str">
        <f t="shared" si="55"/>
        <v>Low Demand</v>
      </c>
    </row>
    <row r="485" spans="1:16" ht="13.8">
      <c r="A485" s="13">
        <v>483</v>
      </c>
      <c r="B485" s="13">
        <v>484</v>
      </c>
      <c r="C485" s="13">
        <v>1.52E-2</v>
      </c>
      <c r="D485" s="13">
        <v>0.48</v>
      </c>
      <c r="E485" s="13">
        <v>0.29849999999999999</v>
      </c>
      <c r="F485" s="13">
        <v>0</v>
      </c>
      <c r="G485" s="13">
        <v>3</v>
      </c>
      <c r="H485" s="13">
        <v>3</v>
      </c>
      <c r="J485" t="str">
        <f t="shared" si="49"/>
        <v>Unique</v>
      </c>
      <c r="K485" t="str">
        <f t="shared" si="50"/>
        <v>Hot</v>
      </c>
      <c r="L485" t="str">
        <f t="shared" si="51"/>
        <v>Low</v>
      </c>
      <c r="M485" t="str">
        <f t="shared" si="52"/>
        <v>Medium Wind</v>
      </c>
      <c r="N485" t="str">
        <f t="shared" si="53"/>
        <v>Low</v>
      </c>
      <c r="O485" t="str">
        <f t="shared" si="54"/>
        <v>Low</v>
      </c>
      <c r="P485" t="str">
        <f t="shared" si="55"/>
        <v>Low Demand</v>
      </c>
    </row>
    <row r="486" spans="1:16" ht="13.8">
      <c r="A486" s="13">
        <v>484</v>
      </c>
      <c r="B486" s="13">
        <v>485</v>
      </c>
      <c r="C486" s="13">
        <v>3.0300000000000001E-2</v>
      </c>
      <c r="D486" s="13">
        <v>0.44</v>
      </c>
      <c r="E486" s="13">
        <v>0.22389999999999999</v>
      </c>
      <c r="F486" s="13">
        <v>0</v>
      </c>
      <c r="G486" s="13">
        <v>2</v>
      </c>
      <c r="H486" s="13">
        <v>2</v>
      </c>
      <c r="J486" t="str">
        <f t="shared" si="49"/>
        <v>Unique</v>
      </c>
      <c r="K486" t="str">
        <f t="shared" si="50"/>
        <v>Hot</v>
      </c>
      <c r="L486" t="str">
        <f t="shared" si="51"/>
        <v>Low</v>
      </c>
      <c r="M486" t="str">
        <f t="shared" si="52"/>
        <v>Medium Wind</v>
      </c>
      <c r="N486" t="str">
        <f t="shared" si="53"/>
        <v>Low</v>
      </c>
      <c r="O486" t="str">
        <f t="shared" si="54"/>
        <v>Low</v>
      </c>
      <c r="P486" t="str">
        <f t="shared" si="55"/>
        <v>Low Demand</v>
      </c>
    </row>
    <row r="487" spans="1:16" ht="13.8">
      <c r="A487" s="13">
        <v>485</v>
      </c>
      <c r="B487" s="13">
        <v>486</v>
      </c>
      <c r="C487" s="13">
        <v>1.52E-2</v>
      </c>
      <c r="D487" s="13">
        <v>0.44</v>
      </c>
      <c r="E487" s="13">
        <v>0.28360000000000002</v>
      </c>
      <c r="F487" s="13">
        <v>0</v>
      </c>
      <c r="G487" s="13">
        <v>8</v>
      </c>
      <c r="H487" s="13">
        <v>8</v>
      </c>
      <c r="J487" t="str">
        <f t="shared" si="49"/>
        <v>Unique</v>
      </c>
      <c r="K487" t="str">
        <f t="shared" si="50"/>
        <v>Hot</v>
      </c>
      <c r="L487" t="str">
        <f t="shared" si="51"/>
        <v>Low</v>
      </c>
      <c r="M487" t="str">
        <f t="shared" si="52"/>
        <v>Medium Wind</v>
      </c>
      <c r="N487" t="str">
        <f t="shared" si="53"/>
        <v>Low</v>
      </c>
      <c r="O487" t="str">
        <f t="shared" si="54"/>
        <v>Low</v>
      </c>
      <c r="P487" t="str">
        <f t="shared" si="55"/>
        <v>Low Demand</v>
      </c>
    </row>
    <row r="488" spans="1:16" ht="13.8">
      <c r="A488" s="13">
        <v>486</v>
      </c>
      <c r="B488" s="13">
        <v>487</v>
      </c>
      <c r="C488" s="13">
        <v>0</v>
      </c>
      <c r="D488" s="13">
        <v>0.44</v>
      </c>
      <c r="E488" s="13">
        <v>0.32840000000000003</v>
      </c>
      <c r="F488" s="13">
        <v>1</v>
      </c>
      <c r="G488" s="13">
        <v>26</v>
      </c>
      <c r="H488" s="13">
        <v>27</v>
      </c>
      <c r="J488" t="str">
        <f t="shared" si="49"/>
        <v>Unique</v>
      </c>
      <c r="K488" t="str">
        <f t="shared" si="50"/>
        <v>Hot</v>
      </c>
      <c r="L488" t="str">
        <f t="shared" si="51"/>
        <v>Low</v>
      </c>
      <c r="M488" t="str">
        <f t="shared" si="52"/>
        <v>Medium Wind</v>
      </c>
      <c r="N488" t="str">
        <f t="shared" si="53"/>
        <v>Low</v>
      </c>
      <c r="O488" t="str">
        <f t="shared" si="54"/>
        <v>Low</v>
      </c>
      <c r="P488" t="str">
        <f t="shared" si="55"/>
        <v>Low Demand</v>
      </c>
    </row>
    <row r="489" spans="1:16" ht="13.8">
      <c r="A489" s="13">
        <v>487</v>
      </c>
      <c r="B489" s="13">
        <v>488</v>
      </c>
      <c r="C489" s="13">
        <v>3.0300000000000001E-2</v>
      </c>
      <c r="D489" s="13">
        <v>0.41</v>
      </c>
      <c r="E489" s="13">
        <v>0.25369999999999998</v>
      </c>
      <c r="F489" s="13">
        <v>3</v>
      </c>
      <c r="G489" s="13">
        <v>37</v>
      </c>
      <c r="H489" s="13">
        <v>40</v>
      </c>
      <c r="J489" t="str">
        <f t="shared" si="49"/>
        <v>Unique</v>
      </c>
      <c r="K489" t="str">
        <f t="shared" si="50"/>
        <v>Hot</v>
      </c>
      <c r="L489" t="str">
        <f t="shared" si="51"/>
        <v>Low</v>
      </c>
      <c r="M489" t="str">
        <f t="shared" si="52"/>
        <v>Medium Wind</v>
      </c>
      <c r="N489" t="str">
        <f t="shared" si="53"/>
        <v>Low</v>
      </c>
      <c r="O489" t="str">
        <f t="shared" si="54"/>
        <v>Low</v>
      </c>
      <c r="P489" t="str">
        <f t="shared" si="55"/>
        <v>Low Demand</v>
      </c>
    </row>
    <row r="490" spans="1:16" ht="13.8">
      <c r="A490" s="13">
        <v>488</v>
      </c>
      <c r="B490" s="13">
        <v>489</v>
      </c>
      <c r="C490" s="13">
        <v>6.0600000000000001E-2</v>
      </c>
      <c r="D490" s="13">
        <v>0.41</v>
      </c>
      <c r="E490" s="13">
        <v>0.16420000000000001</v>
      </c>
      <c r="F490" s="13">
        <v>3</v>
      </c>
      <c r="G490" s="13">
        <v>50</v>
      </c>
      <c r="H490" s="13">
        <v>53</v>
      </c>
      <c r="J490" t="str">
        <f t="shared" si="49"/>
        <v>Unique</v>
      </c>
      <c r="K490" t="str">
        <f t="shared" si="50"/>
        <v>Hot</v>
      </c>
      <c r="L490" t="str">
        <f t="shared" si="51"/>
        <v>Low</v>
      </c>
      <c r="M490" t="str">
        <f t="shared" si="52"/>
        <v>Medium Wind</v>
      </c>
      <c r="N490" t="str">
        <f t="shared" si="53"/>
        <v>Low</v>
      </c>
      <c r="O490" t="str">
        <f t="shared" si="54"/>
        <v>Low</v>
      </c>
      <c r="P490" t="str">
        <f t="shared" si="55"/>
        <v>Low Demand</v>
      </c>
    </row>
    <row r="491" spans="1:16" ht="13.8">
      <c r="A491" s="13">
        <v>489</v>
      </c>
      <c r="B491" s="13">
        <v>490</v>
      </c>
      <c r="C491" s="13">
        <v>7.5800000000000006E-2</v>
      </c>
      <c r="D491" s="13">
        <v>0.38</v>
      </c>
      <c r="E491" s="13">
        <v>0.1343</v>
      </c>
      <c r="F491" s="13">
        <v>4</v>
      </c>
      <c r="G491" s="13">
        <v>59</v>
      </c>
      <c r="H491" s="13">
        <v>63</v>
      </c>
      <c r="J491" t="str">
        <f t="shared" si="49"/>
        <v>Unique</v>
      </c>
      <c r="K491" t="str">
        <f t="shared" si="50"/>
        <v>Hot</v>
      </c>
      <c r="L491" t="str">
        <f t="shared" si="51"/>
        <v>Low</v>
      </c>
      <c r="M491" t="str">
        <f t="shared" si="52"/>
        <v>Medium Wind</v>
      </c>
      <c r="N491" t="str">
        <f t="shared" si="53"/>
        <v>Low</v>
      </c>
      <c r="O491" t="str">
        <f t="shared" si="54"/>
        <v>Low</v>
      </c>
      <c r="P491" t="str">
        <f t="shared" si="55"/>
        <v>Low Demand</v>
      </c>
    </row>
    <row r="492" spans="1:16" ht="13.8">
      <c r="A492" s="13">
        <v>490</v>
      </c>
      <c r="B492" s="13">
        <v>491</v>
      </c>
      <c r="C492" s="13">
        <v>0.1061</v>
      </c>
      <c r="D492" s="13">
        <v>0.38</v>
      </c>
      <c r="E492" s="13">
        <v>0.1045</v>
      </c>
      <c r="F492" s="13">
        <v>10</v>
      </c>
      <c r="G492" s="13">
        <v>60</v>
      </c>
      <c r="H492" s="13">
        <v>70</v>
      </c>
      <c r="J492" t="str">
        <f t="shared" si="49"/>
        <v>Unique</v>
      </c>
      <c r="K492" t="str">
        <f t="shared" si="50"/>
        <v>Hot</v>
      </c>
      <c r="L492" t="str">
        <f t="shared" si="51"/>
        <v>Low</v>
      </c>
      <c r="M492" t="str">
        <f t="shared" si="52"/>
        <v>Medium Wind</v>
      </c>
      <c r="N492" t="str">
        <f t="shared" si="53"/>
        <v>Low</v>
      </c>
      <c r="O492" t="str">
        <f t="shared" si="54"/>
        <v>Low</v>
      </c>
      <c r="P492" t="str">
        <f t="shared" si="55"/>
        <v>Low Demand</v>
      </c>
    </row>
    <row r="493" spans="1:16" ht="13.8">
      <c r="A493" s="13">
        <v>491</v>
      </c>
      <c r="B493" s="13">
        <v>492</v>
      </c>
      <c r="C493" s="13">
        <v>0.16669999999999999</v>
      </c>
      <c r="D493" s="13">
        <v>0.35</v>
      </c>
      <c r="E493" s="13">
        <v>0</v>
      </c>
      <c r="F493" s="13">
        <v>12</v>
      </c>
      <c r="G493" s="13">
        <v>72</v>
      </c>
      <c r="H493" s="13">
        <v>84</v>
      </c>
      <c r="J493" t="str">
        <f t="shared" si="49"/>
        <v>Unique</v>
      </c>
      <c r="K493" t="str">
        <f t="shared" si="50"/>
        <v>Hot</v>
      </c>
      <c r="L493" t="str">
        <f t="shared" si="51"/>
        <v>Low</v>
      </c>
      <c r="M493" t="str">
        <f t="shared" si="52"/>
        <v>Medium Wind</v>
      </c>
      <c r="N493" t="str">
        <f t="shared" si="53"/>
        <v>Low</v>
      </c>
      <c r="O493" t="str">
        <f t="shared" si="54"/>
        <v>Low</v>
      </c>
      <c r="P493" t="str">
        <f t="shared" si="55"/>
        <v>Low Demand</v>
      </c>
    </row>
    <row r="494" spans="1:16" ht="13.8">
      <c r="A494" s="13">
        <v>492</v>
      </c>
      <c r="B494" s="13">
        <v>493</v>
      </c>
      <c r="C494" s="13">
        <v>0.13639999999999999</v>
      </c>
      <c r="D494" s="13">
        <v>0.33</v>
      </c>
      <c r="E494" s="13">
        <v>0.1045</v>
      </c>
      <c r="F494" s="13">
        <v>11</v>
      </c>
      <c r="G494" s="13">
        <v>64</v>
      </c>
      <c r="H494" s="13">
        <v>75</v>
      </c>
      <c r="J494" t="str">
        <f t="shared" si="49"/>
        <v>Unique</v>
      </c>
      <c r="K494" t="str">
        <f t="shared" si="50"/>
        <v>Hot</v>
      </c>
      <c r="L494" t="str">
        <f t="shared" si="51"/>
        <v>Low</v>
      </c>
      <c r="M494" t="str">
        <f t="shared" si="52"/>
        <v>Medium Wind</v>
      </c>
      <c r="N494" t="str">
        <f t="shared" si="53"/>
        <v>Low</v>
      </c>
      <c r="O494" t="str">
        <f t="shared" si="54"/>
        <v>Low</v>
      </c>
      <c r="P494" t="str">
        <f t="shared" si="55"/>
        <v>Low Demand</v>
      </c>
    </row>
    <row r="495" spans="1:16" ht="13.8">
      <c r="A495" s="13">
        <v>493</v>
      </c>
      <c r="B495" s="13">
        <v>494</v>
      </c>
      <c r="C495" s="13">
        <v>0.1515</v>
      </c>
      <c r="D495" s="13">
        <v>0.28000000000000003</v>
      </c>
      <c r="E495" s="13">
        <v>0</v>
      </c>
      <c r="F495" s="13">
        <v>10</v>
      </c>
      <c r="G495" s="13">
        <v>93</v>
      </c>
      <c r="H495" s="13">
        <v>103</v>
      </c>
      <c r="J495" t="str">
        <f t="shared" si="49"/>
        <v>Unique</v>
      </c>
      <c r="K495" t="str">
        <f t="shared" si="50"/>
        <v>Hot</v>
      </c>
      <c r="L495" t="str">
        <f t="shared" si="51"/>
        <v>Low</v>
      </c>
      <c r="M495" t="str">
        <f t="shared" si="52"/>
        <v>Medium Wind</v>
      </c>
      <c r="N495" t="str">
        <f t="shared" si="53"/>
        <v>Low</v>
      </c>
      <c r="O495" t="str">
        <f t="shared" si="54"/>
        <v>Low</v>
      </c>
      <c r="P495" t="str">
        <f t="shared" si="55"/>
        <v>Low Demand</v>
      </c>
    </row>
    <row r="496" spans="1:16" ht="13.8">
      <c r="A496" s="13">
        <v>494</v>
      </c>
      <c r="B496" s="13">
        <v>495</v>
      </c>
      <c r="C496" s="13">
        <v>0.13639999999999999</v>
      </c>
      <c r="D496" s="13">
        <v>0.28000000000000003</v>
      </c>
      <c r="E496" s="13">
        <v>0.19400000000000001</v>
      </c>
      <c r="F496" s="13">
        <v>11</v>
      </c>
      <c r="G496" s="13">
        <v>72</v>
      </c>
      <c r="H496" s="13">
        <v>83</v>
      </c>
      <c r="J496" t="str">
        <f t="shared" si="49"/>
        <v>Unique</v>
      </c>
      <c r="K496" t="str">
        <f t="shared" si="50"/>
        <v>Hot</v>
      </c>
      <c r="L496" t="str">
        <f t="shared" si="51"/>
        <v>Low</v>
      </c>
      <c r="M496" t="str">
        <f t="shared" si="52"/>
        <v>Medium Wind</v>
      </c>
      <c r="N496" t="str">
        <f t="shared" si="53"/>
        <v>Low</v>
      </c>
      <c r="O496" t="str">
        <f t="shared" si="54"/>
        <v>Low</v>
      </c>
      <c r="P496" t="str">
        <f t="shared" si="55"/>
        <v>Low Demand</v>
      </c>
    </row>
    <row r="497" spans="1:16" ht="13.8">
      <c r="A497" s="13">
        <v>495</v>
      </c>
      <c r="B497" s="13">
        <v>496</v>
      </c>
      <c r="C497" s="13">
        <v>0.19700000000000001</v>
      </c>
      <c r="D497" s="13">
        <v>0.28000000000000003</v>
      </c>
      <c r="E497" s="13">
        <v>0</v>
      </c>
      <c r="F497" s="13">
        <v>8</v>
      </c>
      <c r="G497" s="13">
        <v>59</v>
      </c>
      <c r="H497" s="13">
        <v>67</v>
      </c>
      <c r="J497" t="str">
        <f t="shared" si="49"/>
        <v>Unique</v>
      </c>
      <c r="K497" t="str">
        <f t="shared" si="50"/>
        <v>Hot</v>
      </c>
      <c r="L497" t="str">
        <f t="shared" si="51"/>
        <v>Low</v>
      </c>
      <c r="M497" t="str">
        <f t="shared" si="52"/>
        <v>Medium Wind</v>
      </c>
      <c r="N497" t="str">
        <f t="shared" si="53"/>
        <v>Low</v>
      </c>
      <c r="O497" t="str">
        <f t="shared" si="54"/>
        <v>Low</v>
      </c>
      <c r="P497" t="str">
        <f t="shared" si="55"/>
        <v>Low Demand</v>
      </c>
    </row>
    <row r="498" spans="1:16" ht="13.8">
      <c r="A498" s="13">
        <v>496</v>
      </c>
      <c r="B498" s="13">
        <v>497</v>
      </c>
      <c r="C498" s="13">
        <v>9.0899999999999995E-2</v>
      </c>
      <c r="D498" s="13">
        <v>0.35</v>
      </c>
      <c r="E498" s="13">
        <v>0.19400000000000001</v>
      </c>
      <c r="F498" s="13">
        <v>0</v>
      </c>
      <c r="G498" s="13">
        <v>54</v>
      </c>
      <c r="H498" s="13">
        <v>54</v>
      </c>
      <c r="J498" t="str">
        <f t="shared" si="49"/>
        <v>Unique</v>
      </c>
      <c r="K498" t="str">
        <f t="shared" si="50"/>
        <v>Hot</v>
      </c>
      <c r="L498" t="str">
        <f t="shared" si="51"/>
        <v>Low</v>
      </c>
      <c r="M498" t="str">
        <f t="shared" si="52"/>
        <v>Medium Wind</v>
      </c>
      <c r="N498" t="str">
        <f t="shared" si="53"/>
        <v>Low</v>
      </c>
      <c r="O498" t="str">
        <f t="shared" si="54"/>
        <v>Low</v>
      </c>
      <c r="P498" t="str">
        <f t="shared" si="55"/>
        <v>Low Demand</v>
      </c>
    </row>
    <row r="499" spans="1:16" ht="13.8">
      <c r="A499" s="13">
        <v>497</v>
      </c>
      <c r="B499" s="13">
        <v>498</v>
      </c>
      <c r="C499" s="13">
        <v>0.1061</v>
      </c>
      <c r="D499" s="13">
        <v>0.35</v>
      </c>
      <c r="E499" s="13">
        <v>0.1343</v>
      </c>
      <c r="F499" s="13">
        <v>6</v>
      </c>
      <c r="G499" s="13">
        <v>53</v>
      </c>
      <c r="H499" s="13">
        <v>59</v>
      </c>
      <c r="J499" t="str">
        <f t="shared" si="49"/>
        <v>Unique</v>
      </c>
      <c r="K499" t="str">
        <f t="shared" si="50"/>
        <v>Hot</v>
      </c>
      <c r="L499" t="str">
        <f t="shared" si="51"/>
        <v>Low</v>
      </c>
      <c r="M499" t="str">
        <f t="shared" si="52"/>
        <v>Medium Wind</v>
      </c>
      <c r="N499" t="str">
        <f t="shared" si="53"/>
        <v>Low</v>
      </c>
      <c r="O499" t="str">
        <f t="shared" si="54"/>
        <v>Low</v>
      </c>
      <c r="P499" t="str">
        <f t="shared" si="55"/>
        <v>Low Demand</v>
      </c>
    </row>
    <row r="500" spans="1:16" ht="13.8">
      <c r="A500" s="13">
        <v>498</v>
      </c>
      <c r="B500" s="13">
        <v>499</v>
      </c>
      <c r="C500" s="13">
        <v>7.5800000000000006E-2</v>
      </c>
      <c r="D500" s="13">
        <v>0.45</v>
      </c>
      <c r="E500" s="13">
        <v>0.16420000000000001</v>
      </c>
      <c r="F500" s="13">
        <v>1</v>
      </c>
      <c r="G500" s="13">
        <v>44</v>
      </c>
      <c r="H500" s="13">
        <v>45</v>
      </c>
      <c r="J500" t="str">
        <f t="shared" si="49"/>
        <v>Unique</v>
      </c>
      <c r="K500" t="str">
        <f t="shared" si="50"/>
        <v>Hot</v>
      </c>
      <c r="L500" t="str">
        <f t="shared" si="51"/>
        <v>Low</v>
      </c>
      <c r="M500" t="str">
        <f t="shared" si="52"/>
        <v>Medium Wind</v>
      </c>
      <c r="N500" t="str">
        <f t="shared" si="53"/>
        <v>Low</v>
      </c>
      <c r="O500" t="str">
        <f t="shared" si="54"/>
        <v>Low</v>
      </c>
      <c r="P500" t="str">
        <f t="shared" si="55"/>
        <v>Low Demand</v>
      </c>
    </row>
    <row r="501" spans="1:16" ht="13.8">
      <c r="A501" s="13">
        <v>499</v>
      </c>
      <c r="B501" s="13">
        <v>500</v>
      </c>
      <c r="C501" s="13">
        <v>0.1061</v>
      </c>
      <c r="D501" s="13">
        <v>0.41</v>
      </c>
      <c r="E501" s="13">
        <v>8.9599999999999999E-2</v>
      </c>
      <c r="F501" s="13">
        <v>0</v>
      </c>
      <c r="G501" s="13">
        <v>39</v>
      </c>
      <c r="H501" s="13">
        <v>39</v>
      </c>
      <c r="J501" t="str">
        <f t="shared" si="49"/>
        <v>Unique</v>
      </c>
      <c r="K501" t="str">
        <f t="shared" si="50"/>
        <v>Hot</v>
      </c>
      <c r="L501" t="str">
        <f t="shared" si="51"/>
        <v>Low</v>
      </c>
      <c r="M501" t="str">
        <f t="shared" si="52"/>
        <v>Medium Wind</v>
      </c>
      <c r="N501" t="str">
        <f t="shared" si="53"/>
        <v>Low</v>
      </c>
      <c r="O501" t="str">
        <f t="shared" si="54"/>
        <v>Low</v>
      </c>
      <c r="P501" t="str">
        <f t="shared" si="55"/>
        <v>Low Demand</v>
      </c>
    </row>
    <row r="502" spans="1:16" ht="13.8">
      <c r="A502" s="13">
        <v>500</v>
      </c>
      <c r="B502" s="13">
        <v>501</v>
      </c>
      <c r="C502" s="13">
        <v>0.1515</v>
      </c>
      <c r="D502" s="13">
        <v>0.49</v>
      </c>
      <c r="E502" s="13">
        <v>0</v>
      </c>
      <c r="F502" s="13">
        <v>7</v>
      </c>
      <c r="G502" s="13">
        <v>23</v>
      </c>
      <c r="H502" s="13">
        <v>30</v>
      </c>
      <c r="J502" t="str">
        <f t="shared" si="49"/>
        <v>Unique</v>
      </c>
      <c r="K502" t="str">
        <f t="shared" si="50"/>
        <v>Hot</v>
      </c>
      <c r="L502" t="str">
        <f t="shared" si="51"/>
        <v>Low</v>
      </c>
      <c r="M502" t="str">
        <f t="shared" si="52"/>
        <v>Medium Wind</v>
      </c>
      <c r="N502" t="str">
        <f t="shared" si="53"/>
        <v>Low</v>
      </c>
      <c r="O502" t="str">
        <f t="shared" si="54"/>
        <v>Low</v>
      </c>
      <c r="P502" t="str">
        <f t="shared" si="55"/>
        <v>Low Demand</v>
      </c>
    </row>
    <row r="503" spans="1:16" ht="13.8">
      <c r="A503" s="13">
        <v>501</v>
      </c>
      <c r="B503" s="13">
        <v>502</v>
      </c>
      <c r="C503" s="13">
        <v>7.5800000000000006E-2</v>
      </c>
      <c r="D503" s="13">
        <v>0.56999999999999995</v>
      </c>
      <c r="E503" s="13">
        <v>0.1045</v>
      </c>
      <c r="F503" s="13">
        <v>2</v>
      </c>
      <c r="G503" s="13">
        <v>31</v>
      </c>
      <c r="H503" s="13">
        <v>33</v>
      </c>
      <c r="J503" t="str">
        <f t="shared" si="49"/>
        <v>Unique</v>
      </c>
      <c r="K503" t="str">
        <f t="shared" si="50"/>
        <v>Hot</v>
      </c>
      <c r="L503" t="str">
        <f t="shared" si="51"/>
        <v>Low</v>
      </c>
      <c r="M503" t="str">
        <f t="shared" si="52"/>
        <v>High Wind</v>
      </c>
      <c r="N503" t="str">
        <f t="shared" si="53"/>
        <v>Low</v>
      </c>
      <c r="O503" t="str">
        <f t="shared" si="54"/>
        <v>Low</v>
      </c>
      <c r="P503" t="str">
        <f t="shared" si="55"/>
        <v>Low Demand</v>
      </c>
    </row>
    <row r="504" spans="1:16" ht="13.8">
      <c r="A504" s="13">
        <v>502</v>
      </c>
      <c r="B504" s="13">
        <v>503</v>
      </c>
      <c r="C504" s="13">
        <v>7.5800000000000006E-2</v>
      </c>
      <c r="D504" s="13">
        <v>0.56999999999999995</v>
      </c>
      <c r="E504" s="13">
        <v>0.1045</v>
      </c>
      <c r="F504" s="13">
        <v>2</v>
      </c>
      <c r="G504" s="13">
        <v>20</v>
      </c>
      <c r="H504" s="13">
        <v>22</v>
      </c>
      <c r="J504" t="str">
        <f t="shared" si="49"/>
        <v>Unique</v>
      </c>
      <c r="K504" t="str">
        <f t="shared" si="50"/>
        <v>Hot</v>
      </c>
      <c r="L504" t="str">
        <f t="shared" si="51"/>
        <v>Low</v>
      </c>
      <c r="M504" t="str">
        <f t="shared" si="52"/>
        <v>High Wind</v>
      </c>
      <c r="N504" t="str">
        <f t="shared" si="53"/>
        <v>Low</v>
      </c>
      <c r="O504" t="str">
        <f t="shared" si="54"/>
        <v>Low</v>
      </c>
      <c r="P504" t="str">
        <f t="shared" si="55"/>
        <v>Low Demand</v>
      </c>
    </row>
    <row r="505" spans="1:16" ht="13.8">
      <c r="A505" s="13">
        <v>503</v>
      </c>
      <c r="B505" s="13">
        <v>504</v>
      </c>
      <c r="C505" s="13">
        <v>7.5800000000000006E-2</v>
      </c>
      <c r="D505" s="13">
        <v>0.56999999999999995</v>
      </c>
      <c r="E505" s="13">
        <v>0.1045</v>
      </c>
      <c r="F505" s="13">
        <v>1</v>
      </c>
      <c r="G505" s="13">
        <v>12</v>
      </c>
      <c r="H505" s="13">
        <v>13</v>
      </c>
      <c r="J505" t="str">
        <f t="shared" si="49"/>
        <v>Unique</v>
      </c>
      <c r="K505" t="str">
        <f t="shared" si="50"/>
        <v>Hot</v>
      </c>
      <c r="L505" t="str">
        <f t="shared" si="51"/>
        <v>Low</v>
      </c>
      <c r="M505" t="str">
        <f t="shared" si="52"/>
        <v>High Wind</v>
      </c>
      <c r="N505" t="str">
        <f t="shared" si="53"/>
        <v>Low</v>
      </c>
      <c r="O505" t="str">
        <f t="shared" si="54"/>
        <v>Low</v>
      </c>
      <c r="P505" t="str">
        <f t="shared" si="55"/>
        <v>Low Demand</v>
      </c>
    </row>
    <row r="506" spans="1:16" ht="13.8">
      <c r="A506" s="13">
        <v>504</v>
      </c>
      <c r="B506" s="13">
        <v>505</v>
      </c>
      <c r="C506" s="13">
        <v>6.0600000000000001E-2</v>
      </c>
      <c r="D506" s="13">
        <v>0.62</v>
      </c>
      <c r="E506" s="13">
        <v>0.1343</v>
      </c>
      <c r="F506" s="13">
        <v>3</v>
      </c>
      <c r="G506" s="13">
        <v>15</v>
      </c>
      <c r="H506" s="13">
        <v>18</v>
      </c>
      <c r="J506" t="str">
        <f t="shared" si="49"/>
        <v>Unique</v>
      </c>
      <c r="K506" t="str">
        <f t="shared" si="50"/>
        <v>Hot</v>
      </c>
      <c r="L506" t="str">
        <f t="shared" si="51"/>
        <v>Low</v>
      </c>
      <c r="M506" t="str">
        <f t="shared" si="52"/>
        <v>High Wind</v>
      </c>
      <c r="N506" t="str">
        <f t="shared" si="53"/>
        <v>Low</v>
      </c>
      <c r="O506" t="str">
        <f t="shared" si="54"/>
        <v>Low</v>
      </c>
      <c r="P506" t="str">
        <f t="shared" si="55"/>
        <v>Low Demand</v>
      </c>
    </row>
    <row r="507" spans="1:16" ht="13.8">
      <c r="A507" s="13">
        <v>505</v>
      </c>
      <c r="B507" s="13">
        <v>506</v>
      </c>
      <c r="C507" s="13">
        <v>6.0600000000000001E-2</v>
      </c>
      <c r="D507" s="13">
        <v>0.62</v>
      </c>
      <c r="E507" s="13">
        <v>0.1343</v>
      </c>
      <c r="F507" s="13">
        <v>1</v>
      </c>
      <c r="G507" s="13">
        <v>4</v>
      </c>
      <c r="H507" s="13">
        <v>5</v>
      </c>
      <c r="J507" t="str">
        <f t="shared" si="49"/>
        <v>Unique</v>
      </c>
      <c r="K507" t="str">
        <f t="shared" si="50"/>
        <v>Hot</v>
      </c>
      <c r="L507" t="str">
        <f t="shared" si="51"/>
        <v>Low</v>
      </c>
      <c r="M507" t="str">
        <f t="shared" si="52"/>
        <v>High Wind</v>
      </c>
      <c r="N507" t="str">
        <f t="shared" si="53"/>
        <v>Low</v>
      </c>
      <c r="O507" t="str">
        <f t="shared" si="54"/>
        <v>Low</v>
      </c>
      <c r="P507" t="str">
        <f t="shared" si="55"/>
        <v>Low Demand</v>
      </c>
    </row>
    <row r="508" spans="1:16" ht="13.8">
      <c r="A508" s="13">
        <v>506</v>
      </c>
      <c r="B508" s="13">
        <v>507</v>
      </c>
      <c r="C508" s="13">
        <v>7.5800000000000006E-2</v>
      </c>
      <c r="D508" s="13">
        <v>0.56999999999999995</v>
      </c>
      <c r="E508" s="13">
        <v>0.1045</v>
      </c>
      <c r="F508" s="13">
        <v>0</v>
      </c>
      <c r="G508" s="13">
        <v>3</v>
      </c>
      <c r="H508" s="13">
        <v>3</v>
      </c>
      <c r="J508" t="str">
        <f t="shared" si="49"/>
        <v>Unique</v>
      </c>
      <c r="K508" t="str">
        <f t="shared" si="50"/>
        <v>Hot</v>
      </c>
      <c r="L508" t="str">
        <f t="shared" si="51"/>
        <v>Low</v>
      </c>
      <c r="M508" t="str">
        <f t="shared" si="52"/>
        <v>High Wind</v>
      </c>
      <c r="N508" t="str">
        <f t="shared" si="53"/>
        <v>Low</v>
      </c>
      <c r="O508" t="str">
        <f t="shared" si="54"/>
        <v>Low</v>
      </c>
      <c r="P508" t="str">
        <f t="shared" si="55"/>
        <v>Low Demand</v>
      </c>
    </row>
    <row r="509" spans="1:16" ht="13.8">
      <c r="A509" s="13">
        <v>507</v>
      </c>
      <c r="B509" s="13">
        <v>508</v>
      </c>
      <c r="C509" s="13">
        <v>7.5800000000000006E-2</v>
      </c>
      <c r="D509" s="13">
        <v>0.56999999999999995</v>
      </c>
      <c r="E509" s="13">
        <v>0.1045</v>
      </c>
      <c r="F509" s="13">
        <v>0</v>
      </c>
      <c r="G509" s="13">
        <v>1</v>
      </c>
      <c r="H509" s="13">
        <v>1</v>
      </c>
      <c r="J509" t="str">
        <f t="shared" si="49"/>
        <v>Unique</v>
      </c>
      <c r="K509" t="str">
        <f t="shared" si="50"/>
        <v>Hot</v>
      </c>
      <c r="L509" t="str">
        <f t="shared" si="51"/>
        <v>Low</v>
      </c>
      <c r="M509" t="str">
        <f t="shared" si="52"/>
        <v>High Wind</v>
      </c>
      <c r="N509" t="str">
        <f t="shared" si="53"/>
        <v>Low</v>
      </c>
      <c r="O509" t="str">
        <f t="shared" si="54"/>
        <v>Low</v>
      </c>
      <c r="P509" t="str">
        <f t="shared" si="55"/>
        <v>Low Demand</v>
      </c>
    </row>
    <row r="510" spans="1:16" ht="13.8">
      <c r="A510" s="13">
        <v>508</v>
      </c>
      <c r="B510" s="13">
        <v>509</v>
      </c>
      <c r="C510" s="13">
        <v>0.1061</v>
      </c>
      <c r="D510" s="13">
        <v>0.57999999999999996</v>
      </c>
      <c r="E510" s="13">
        <v>0.16420000000000001</v>
      </c>
      <c r="F510" s="13">
        <v>1</v>
      </c>
      <c r="G510" s="13">
        <v>1</v>
      </c>
      <c r="H510" s="13">
        <v>2</v>
      </c>
      <c r="J510" t="str">
        <f t="shared" si="49"/>
        <v>Unique</v>
      </c>
      <c r="K510" t="str">
        <f t="shared" si="50"/>
        <v>Hot</v>
      </c>
      <c r="L510" t="str">
        <f t="shared" si="51"/>
        <v>Low</v>
      </c>
      <c r="M510" t="str">
        <f t="shared" si="52"/>
        <v>High Wind</v>
      </c>
      <c r="N510" t="str">
        <f t="shared" si="53"/>
        <v>Low</v>
      </c>
      <c r="O510" t="str">
        <f t="shared" si="54"/>
        <v>Low</v>
      </c>
      <c r="P510" t="str">
        <f t="shared" si="55"/>
        <v>Low Demand</v>
      </c>
    </row>
    <row r="511" spans="1:16" ht="13.8">
      <c r="A511" s="13">
        <v>509</v>
      </c>
      <c r="B511" s="13">
        <v>510</v>
      </c>
      <c r="C511" s="13">
        <v>7.5800000000000006E-2</v>
      </c>
      <c r="D511" s="13">
        <v>0.62</v>
      </c>
      <c r="E511" s="13">
        <v>0.16420000000000001</v>
      </c>
      <c r="F511" s="13">
        <v>2</v>
      </c>
      <c r="G511" s="13">
        <v>17</v>
      </c>
      <c r="H511" s="13">
        <v>19</v>
      </c>
      <c r="J511" t="str">
        <f t="shared" si="49"/>
        <v>Unique</v>
      </c>
      <c r="K511" t="str">
        <f t="shared" si="50"/>
        <v>Hot</v>
      </c>
      <c r="L511" t="str">
        <f t="shared" si="51"/>
        <v>Low</v>
      </c>
      <c r="M511" t="str">
        <f t="shared" si="52"/>
        <v>High Wind</v>
      </c>
      <c r="N511" t="str">
        <f t="shared" si="53"/>
        <v>Low</v>
      </c>
      <c r="O511" t="str">
        <f t="shared" si="54"/>
        <v>Low</v>
      </c>
      <c r="P511" t="str">
        <f t="shared" si="55"/>
        <v>Low Demand</v>
      </c>
    </row>
    <row r="512" spans="1:16" ht="13.8">
      <c r="A512" s="13">
        <v>510</v>
      </c>
      <c r="B512" s="13">
        <v>511</v>
      </c>
      <c r="C512" s="13">
        <v>7.5800000000000006E-2</v>
      </c>
      <c r="D512" s="13">
        <v>0.54</v>
      </c>
      <c r="E512" s="13">
        <v>0.35820000000000002</v>
      </c>
      <c r="F512" s="13">
        <v>3</v>
      </c>
      <c r="G512" s="13">
        <v>25</v>
      </c>
      <c r="H512" s="13">
        <v>28</v>
      </c>
      <c r="J512" t="str">
        <f t="shared" si="49"/>
        <v>Unique</v>
      </c>
      <c r="K512" t="str">
        <f t="shared" si="50"/>
        <v>Hot</v>
      </c>
      <c r="L512" t="str">
        <f t="shared" si="51"/>
        <v>Low</v>
      </c>
      <c r="M512" t="str">
        <f t="shared" si="52"/>
        <v>High Wind</v>
      </c>
      <c r="N512" t="str">
        <f t="shared" si="53"/>
        <v>Low</v>
      </c>
      <c r="O512" t="str">
        <f t="shared" si="54"/>
        <v>Low</v>
      </c>
      <c r="P512" t="str">
        <f t="shared" si="55"/>
        <v>Low Demand</v>
      </c>
    </row>
    <row r="513" spans="1:16" ht="13.8">
      <c r="A513" s="13">
        <v>511</v>
      </c>
      <c r="B513" s="13">
        <v>512</v>
      </c>
      <c r="C513" s="13">
        <v>0.1061</v>
      </c>
      <c r="D513" s="13">
        <v>0.46</v>
      </c>
      <c r="E513" s="13">
        <v>0.3881</v>
      </c>
      <c r="F513" s="13">
        <v>7</v>
      </c>
      <c r="G513" s="13">
        <v>51</v>
      </c>
      <c r="H513" s="13">
        <v>58</v>
      </c>
      <c r="J513" t="str">
        <f t="shared" si="49"/>
        <v>Unique</v>
      </c>
      <c r="K513" t="str">
        <f t="shared" si="50"/>
        <v>Hot</v>
      </c>
      <c r="L513" t="str">
        <f t="shared" si="51"/>
        <v>Low</v>
      </c>
      <c r="M513" t="str">
        <f t="shared" si="52"/>
        <v>Medium Wind</v>
      </c>
      <c r="N513" t="str">
        <f t="shared" si="53"/>
        <v>Low</v>
      </c>
      <c r="O513" t="str">
        <f t="shared" si="54"/>
        <v>Low</v>
      </c>
      <c r="P513" t="str">
        <f t="shared" si="55"/>
        <v>Low Demand</v>
      </c>
    </row>
    <row r="514" spans="1:16" ht="13.8">
      <c r="A514" s="13">
        <v>512</v>
      </c>
      <c r="B514" s="13">
        <v>513</v>
      </c>
      <c r="C514" s="13">
        <v>0.13639999999999999</v>
      </c>
      <c r="D514" s="13">
        <v>0.43</v>
      </c>
      <c r="E514" s="13">
        <v>0.22389999999999999</v>
      </c>
      <c r="F514" s="13">
        <v>22</v>
      </c>
      <c r="G514" s="13">
        <v>77</v>
      </c>
      <c r="H514" s="13">
        <v>99</v>
      </c>
      <c r="J514" t="str">
        <f t="shared" si="49"/>
        <v>Unique</v>
      </c>
      <c r="K514" t="str">
        <f t="shared" si="50"/>
        <v>Hot</v>
      </c>
      <c r="L514" t="str">
        <f t="shared" si="51"/>
        <v>Low</v>
      </c>
      <c r="M514" t="str">
        <f t="shared" si="52"/>
        <v>Medium Wind</v>
      </c>
      <c r="N514" t="str">
        <f t="shared" si="53"/>
        <v>Low</v>
      </c>
      <c r="O514" t="str">
        <f t="shared" si="54"/>
        <v>Low</v>
      </c>
      <c r="P514" t="str">
        <f t="shared" si="55"/>
        <v>Low Demand</v>
      </c>
    </row>
    <row r="515" spans="1:16" ht="13.8">
      <c r="A515" s="13">
        <v>513</v>
      </c>
      <c r="B515" s="13">
        <v>514</v>
      </c>
      <c r="C515" s="13">
        <v>0.1212</v>
      </c>
      <c r="D515" s="13">
        <v>0.37</v>
      </c>
      <c r="E515" s="13">
        <v>0.4627</v>
      </c>
      <c r="F515" s="13">
        <v>24</v>
      </c>
      <c r="G515" s="13">
        <v>92</v>
      </c>
      <c r="H515" s="13">
        <v>116</v>
      </c>
      <c r="J515" t="str">
        <f t="shared" ref="J515:J578" si="56">IF(COUNTIF(A:A,A515)&gt;1,"Duplicate","Unique")</f>
        <v>Unique</v>
      </c>
      <c r="K515" t="str">
        <f t="shared" ref="K515:K578" si="57">IF(B515&lt;0.3,"Cold",IF(B515&lt;0.6,"Normal","Hot"))</f>
        <v>Hot</v>
      </c>
      <c r="L515" t="str">
        <f t="shared" ref="L515:L578" si="58">IF(C515&lt;0.4,"Low",IF(C515&lt;0.7,"Medium","High"))</f>
        <v>Low</v>
      </c>
      <c r="M515" t="str">
        <f t="shared" ref="M515:M578" si="59">IF(D515&lt;0.2,"Low Wind",IF(D515&lt;0.5,"Medium Wind","High Wind"))</f>
        <v>Medium Wind</v>
      </c>
      <c r="N515" t="str">
        <f t="shared" ref="N515:N578" si="60">IF(E515&lt;50,"Low",IF(E515&lt;150,"Medium","High"))</f>
        <v>Low</v>
      </c>
      <c r="O515" t="str">
        <f t="shared" ref="O515:O578" si="61">IF(F515&lt;100,"Low",IF(F515&lt;300,"Medium","High"))</f>
        <v>Low</v>
      </c>
      <c r="P515" t="str">
        <f t="shared" ref="P515:P578" si="62">IF(G515&lt;100,"Low Demand",IF(G515&lt;300,"Medium Demand","High Demand"))</f>
        <v>Low Demand</v>
      </c>
    </row>
    <row r="516" spans="1:16" ht="13.8">
      <c r="A516" s="13">
        <v>514</v>
      </c>
      <c r="B516" s="13">
        <v>515</v>
      </c>
      <c r="C516" s="13">
        <v>0.1061</v>
      </c>
      <c r="D516" s="13">
        <v>0.33</v>
      </c>
      <c r="E516" s="13">
        <v>0.3881</v>
      </c>
      <c r="F516" s="13">
        <v>12</v>
      </c>
      <c r="G516" s="13">
        <v>75</v>
      </c>
      <c r="H516" s="13">
        <v>87</v>
      </c>
      <c r="J516" t="str">
        <f t="shared" si="56"/>
        <v>Unique</v>
      </c>
      <c r="K516" t="str">
        <f t="shared" si="57"/>
        <v>Hot</v>
      </c>
      <c r="L516" t="str">
        <f t="shared" si="58"/>
        <v>Low</v>
      </c>
      <c r="M516" t="str">
        <f t="shared" si="59"/>
        <v>Medium Wind</v>
      </c>
      <c r="N516" t="str">
        <f t="shared" si="60"/>
        <v>Low</v>
      </c>
      <c r="O516" t="str">
        <f t="shared" si="61"/>
        <v>Low</v>
      </c>
      <c r="P516" t="str">
        <f t="shared" si="62"/>
        <v>Low Demand</v>
      </c>
    </row>
    <row r="517" spans="1:16" ht="13.8">
      <c r="A517" s="13">
        <v>515</v>
      </c>
      <c r="B517" s="13">
        <v>516</v>
      </c>
      <c r="C517" s="13">
        <v>0.13639999999999999</v>
      </c>
      <c r="D517" s="13">
        <v>0.28000000000000003</v>
      </c>
      <c r="E517" s="13">
        <v>0.35820000000000002</v>
      </c>
      <c r="F517" s="13">
        <v>17</v>
      </c>
      <c r="G517" s="13">
        <v>93</v>
      </c>
      <c r="H517" s="13">
        <v>110</v>
      </c>
      <c r="J517" t="str">
        <f t="shared" si="56"/>
        <v>Unique</v>
      </c>
      <c r="K517" t="str">
        <f t="shared" si="57"/>
        <v>Hot</v>
      </c>
      <c r="L517" t="str">
        <f t="shared" si="58"/>
        <v>Low</v>
      </c>
      <c r="M517" t="str">
        <f t="shared" si="59"/>
        <v>Medium Wind</v>
      </c>
      <c r="N517" t="str">
        <f t="shared" si="60"/>
        <v>Low</v>
      </c>
      <c r="O517" t="str">
        <f t="shared" si="61"/>
        <v>Low</v>
      </c>
      <c r="P517" t="str">
        <f t="shared" si="62"/>
        <v>Low Demand</v>
      </c>
    </row>
    <row r="518" spans="1:16" ht="13.8">
      <c r="A518" s="13">
        <v>516</v>
      </c>
      <c r="B518" s="13">
        <v>517</v>
      </c>
      <c r="C518" s="13">
        <v>0.13639999999999999</v>
      </c>
      <c r="D518" s="13">
        <v>0.28000000000000003</v>
      </c>
      <c r="E518" s="13">
        <v>0.35820000000000002</v>
      </c>
      <c r="F518" s="13">
        <v>13</v>
      </c>
      <c r="G518" s="13">
        <v>64</v>
      </c>
      <c r="H518" s="13">
        <v>77</v>
      </c>
      <c r="J518" t="str">
        <f t="shared" si="56"/>
        <v>Unique</v>
      </c>
      <c r="K518" t="str">
        <f t="shared" si="57"/>
        <v>Hot</v>
      </c>
      <c r="L518" t="str">
        <f t="shared" si="58"/>
        <v>Low</v>
      </c>
      <c r="M518" t="str">
        <f t="shared" si="59"/>
        <v>Medium Wind</v>
      </c>
      <c r="N518" t="str">
        <f t="shared" si="60"/>
        <v>Low</v>
      </c>
      <c r="O518" t="str">
        <f t="shared" si="61"/>
        <v>Low</v>
      </c>
      <c r="P518" t="str">
        <f t="shared" si="62"/>
        <v>Low Demand</v>
      </c>
    </row>
    <row r="519" spans="1:16" ht="13.8">
      <c r="A519" s="13">
        <v>517</v>
      </c>
      <c r="B519" s="13">
        <v>518</v>
      </c>
      <c r="C519" s="13">
        <v>0.13639999999999999</v>
      </c>
      <c r="D519" s="13">
        <v>0.26</v>
      </c>
      <c r="E519" s="13">
        <v>0.32840000000000003</v>
      </c>
      <c r="F519" s="13">
        <v>9</v>
      </c>
      <c r="G519" s="13">
        <v>56</v>
      </c>
      <c r="H519" s="13">
        <v>65</v>
      </c>
      <c r="J519" t="str">
        <f t="shared" si="56"/>
        <v>Unique</v>
      </c>
      <c r="K519" t="str">
        <f t="shared" si="57"/>
        <v>Hot</v>
      </c>
      <c r="L519" t="str">
        <f t="shared" si="58"/>
        <v>Low</v>
      </c>
      <c r="M519" t="str">
        <f t="shared" si="59"/>
        <v>Medium Wind</v>
      </c>
      <c r="N519" t="str">
        <f t="shared" si="60"/>
        <v>Low</v>
      </c>
      <c r="O519" t="str">
        <f t="shared" si="61"/>
        <v>Low</v>
      </c>
      <c r="P519" t="str">
        <f t="shared" si="62"/>
        <v>Low Demand</v>
      </c>
    </row>
    <row r="520" spans="1:16" ht="13.8">
      <c r="A520" s="13">
        <v>518</v>
      </c>
      <c r="B520" s="13">
        <v>519</v>
      </c>
      <c r="C520" s="13">
        <v>0.1061</v>
      </c>
      <c r="D520" s="13">
        <v>0.26</v>
      </c>
      <c r="E520" s="13">
        <v>0.3881</v>
      </c>
      <c r="F520" s="13">
        <v>5</v>
      </c>
      <c r="G520" s="13">
        <v>50</v>
      </c>
      <c r="H520" s="13">
        <v>55</v>
      </c>
      <c r="J520" t="str">
        <f t="shared" si="56"/>
        <v>Unique</v>
      </c>
      <c r="K520" t="str">
        <f t="shared" si="57"/>
        <v>Hot</v>
      </c>
      <c r="L520" t="str">
        <f t="shared" si="58"/>
        <v>Low</v>
      </c>
      <c r="M520" t="str">
        <f t="shared" si="59"/>
        <v>Medium Wind</v>
      </c>
      <c r="N520" t="str">
        <f t="shared" si="60"/>
        <v>Low</v>
      </c>
      <c r="O520" t="str">
        <f t="shared" si="61"/>
        <v>Low</v>
      </c>
      <c r="P520" t="str">
        <f t="shared" si="62"/>
        <v>Low Demand</v>
      </c>
    </row>
    <row r="521" spans="1:16" ht="13.8">
      <c r="A521" s="13">
        <v>519</v>
      </c>
      <c r="B521" s="13">
        <v>520</v>
      </c>
      <c r="C521" s="13">
        <v>0.1212</v>
      </c>
      <c r="D521" s="13">
        <v>0.3</v>
      </c>
      <c r="E521" s="13">
        <v>0.25369999999999998</v>
      </c>
      <c r="F521" s="13">
        <v>5</v>
      </c>
      <c r="G521" s="13">
        <v>44</v>
      </c>
      <c r="H521" s="13">
        <v>49</v>
      </c>
      <c r="J521" t="str">
        <f t="shared" si="56"/>
        <v>Unique</v>
      </c>
      <c r="K521" t="str">
        <f t="shared" si="57"/>
        <v>Hot</v>
      </c>
      <c r="L521" t="str">
        <f t="shared" si="58"/>
        <v>Low</v>
      </c>
      <c r="M521" t="str">
        <f t="shared" si="59"/>
        <v>Medium Wind</v>
      </c>
      <c r="N521" t="str">
        <f t="shared" si="60"/>
        <v>Low</v>
      </c>
      <c r="O521" t="str">
        <f t="shared" si="61"/>
        <v>Low</v>
      </c>
      <c r="P521" t="str">
        <f t="shared" si="62"/>
        <v>Low Demand</v>
      </c>
    </row>
    <row r="522" spans="1:16" ht="13.8">
      <c r="A522" s="13">
        <v>520</v>
      </c>
      <c r="B522" s="13">
        <v>521</v>
      </c>
      <c r="C522" s="13">
        <v>0.1212</v>
      </c>
      <c r="D522" s="13">
        <v>0.3</v>
      </c>
      <c r="E522" s="13">
        <v>0.28360000000000002</v>
      </c>
      <c r="F522" s="13">
        <v>5</v>
      </c>
      <c r="G522" s="13">
        <v>45</v>
      </c>
      <c r="H522" s="13">
        <v>50</v>
      </c>
      <c r="J522" t="str">
        <f t="shared" si="56"/>
        <v>Unique</v>
      </c>
      <c r="K522" t="str">
        <f t="shared" si="57"/>
        <v>Hot</v>
      </c>
      <c r="L522" t="str">
        <f t="shared" si="58"/>
        <v>Low</v>
      </c>
      <c r="M522" t="str">
        <f t="shared" si="59"/>
        <v>Medium Wind</v>
      </c>
      <c r="N522" t="str">
        <f t="shared" si="60"/>
        <v>Low</v>
      </c>
      <c r="O522" t="str">
        <f t="shared" si="61"/>
        <v>Low</v>
      </c>
      <c r="P522" t="str">
        <f t="shared" si="62"/>
        <v>Low Demand</v>
      </c>
    </row>
    <row r="523" spans="1:16" ht="13.8">
      <c r="A523" s="13">
        <v>521</v>
      </c>
      <c r="B523" s="13">
        <v>522</v>
      </c>
      <c r="C523" s="13">
        <v>0.1061</v>
      </c>
      <c r="D523" s="13">
        <v>0.36</v>
      </c>
      <c r="E523" s="13">
        <v>0.25369999999999998</v>
      </c>
      <c r="F523" s="13">
        <v>4</v>
      </c>
      <c r="G523" s="13">
        <v>31</v>
      </c>
      <c r="H523" s="13">
        <v>35</v>
      </c>
      <c r="J523" t="str">
        <f t="shared" si="56"/>
        <v>Unique</v>
      </c>
      <c r="K523" t="str">
        <f t="shared" si="57"/>
        <v>Hot</v>
      </c>
      <c r="L523" t="str">
        <f t="shared" si="58"/>
        <v>Low</v>
      </c>
      <c r="M523" t="str">
        <f t="shared" si="59"/>
        <v>Medium Wind</v>
      </c>
      <c r="N523" t="str">
        <f t="shared" si="60"/>
        <v>Low</v>
      </c>
      <c r="O523" t="str">
        <f t="shared" si="61"/>
        <v>Low</v>
      </c>
      <c r="P523" t="str">
        <f t="shared" si="62"/>
        <v>Low Demand</v>
      </c>
    </row>
    <row r="524" spans="1:16" ht="13.8">
      <c r="A524" s="13">
        <v>522</v>
      </c>
      <c r="B524" s="13">
        <v>523</v>
      </c>
      <c r="C524" s="13">
        <v>0.1061</v>
      </c>
      <c r="D524" s="13">
        <v>0.36</v>
      </c>
      <c r="E524" s="13">
        <v>0.19400000000000001</v>
      </c>
      <c r="F524" s="13">
        <v>5</v>
      </c>
      <c r="G524" s="13">
        <v>20</v>
      </c>
      <c r="H524" s="13">
        <v>25</v>
      </c>
      <c r="J524" t="str">
        <f t="shared" si="56"/>
        <v>Unique</v>
      </c>
      <c r="K524" t="str">
        <f t="shared" si="57"/>
        <v>Hot</v>
      </c>
      <c r="L524" t="str">
        <f t="shared" si="58"/>
        <v>Low</v>
      </c>
      <c r="M524" t="str">
        <f t="shared" si="59"/>
        <v>Medium Wind</v>
      </c>
      <c r="N524" t="str">
        <f t="shared" si="60"/>
        <v>Low</v>
      </c>
      <c r="O524" t="str">
        <f t="shared" si="61"/>
        <v>Low</v>
      </c>
      <c r="P524" t="str">
        <f t="shared" si="62"/>
        <v>Low Demand</v>
      </c>
    </row>
    <row r="525" spans="1:16" ht="13.8">
      <c r="A525" s="13">
        <v>523</v>
      </c>
      <c r="B525" s="13">
        <v>524</v>
      </c>
      <c r="C525" s="13">
        <v>9.0899999999999995E-2</v>
      </c>
      <c r="D525" s="13">
        <v>0.38</v>
      </c>
      <c r="E525" s="13">
        <v>0.19400000000000001</v>
      </c>
      <c r="F525" s="13">
        <v>5</v>
      </c>
      <c r="G525" s="13">
        <v>23</v>
      </c>
      <c r="H525" s="13">
        <v>28</v>
      </c>
      <c r="J525" t="str">
        <f t="shared" si="56"/>
        <v>Unique</v>
      </c>
      <c r="K525" t="str">
        <f t="shared" si="57"/>
        <v>Hot</v>
      </c>
      <c r="L525" t="str">
        <f t="shared" si="58"/>
        <v>Low</v>
      </c>
      <c r="M525" t="str">
        <f t="shared" si="59"/>
        <v>Medium Wind</v>
      </c>
      <c r="N525" t="str">
        <f t="shared" si="60"/>
        <v>Low</v>
      </c>
      <c r="O525" t="str">
        <f t="shared" si="61"/>
        <v>Low</v>
      </c>
      <c r="P525" t="str">
        <f t="shared" si="62"/>
        <v>Low Demand</v>
      </c>
    </row>
    <row r="526" spans="1:16" ht="13.8">
      <c r="A526" s="13">
        <v>524</v>
      </c>
      <c r="B526" s="13">
        <v>525</v>
      </c>
      <c r="C526" s="13">
        <v>6.0600000000000001E-2</v>
      </c>
      <c r="D526" s="13">
        <v>0.41</v>
      </c>
      <c r="E526" s="13">
        <v>0.22389999999999999</v>
      </c>
      <c r="F526" s="13">
        <v>4</v>
      </c>
      <c r="G526" s="13">
        <v>17</v>
      </c>
      <c r="H526" s="13">
        <v>21</v>
      </c>
      <c r="J526" t="str">
        <f t="shared" si="56"/>
        <v>Unique</v>
      </c>
      <c r="K526" t="str">
        <f t="shared" si="57"/>
        <v>Hot</v>
      </c>
      <c r="L526" t="str">
        <f t="shared" si="58"/>
        <v>Low</v>
      </c>
      <c r="M526" t="str">
        <f t="shared" si="59"/>
        <v>Medium Wind</v>
      </c>
      <c r="N526" t="str">
        <f t="shared" si="60"/>
        <v>Low</v>
      </c>
      <c r="O526" t="str">
        <f t="shared" si="61"/>
        <v>Low</v>
      </c>
      <c r="P526" t="str">
        <f t="shared" si="62"/>
        <v>Low Demand</v>
      </c>
    </row>
    <row r="527" spans="1:16" ht="13.8">
      <c r="A527" s="13">
        <v>525</v>
      </c>
      <c r="B527" s="13">
        <v>526</v>
      </c>
      <c r="C527" s="13">
        <v>6.0600000000000001E-2</v>
      </c>
      <c r="D527" s="13">
        <v>0.41</v>
      </c>
      <c r="E527" s="13">
        <v>0.19400000000000001</v>
      </c>
      <c r="F527" s="13">
        <v>0</v>
      </c>
      <c r="G527" s="13">
        <v>7</v>
      </c>
      <c r="H527" s="13">
        <v>7</v>
      </c>
      <c r="J527" t="str">
        <f t="shared" si="56"/>
        <v>Unique</v>
      </c>
      <c r="K527" t="str">
        <f t="shared" si="57"/>
        <v>Hot</v>
      </c>
      <c r="L527" t="str">
        <f t="shared" si="58"/>
        <v>Low</v>
      </c>
      <c r="M527" t="str">
        <f t="shared" si="59"/>
        <v>Medium Wind</v>
      </c>
      <c r="N527" t="str">
        <f t="shared" si="60"/>
        <v>Low</v>
      </c>
      <c r="O527" t="str">
        <f t="shared" si="61"/>
        <v>Low</v>
      </c>
      <c r="P527" t="str">
        <f t="shared" si="62"/>
        <v>Low Demand</v>
      </c>
    </row>
    <row r="528" spans="1:16" ht="13.8">
      <c r="A528" s="13">
        <v>526</v>
      </c>
      <c r="B528" s="13">
        <v>527</v>
      </c>
      <c r="C528" s="13">
        <v>4.5499999999999999E-2</v>
      </c>
      <c r="D528" s="13">
        <v>0.45</v>
      </c>
      <c r="E528" s="13">
        <v>0.19400000000000001</v>
      </c>
      <c r="F528" s="13">
        <v>0</v>
      </c>
      <c r="G528" s="13">
        <v>1</v>
      </c>
      <c r="H528" s="13">
        <v>1</v>
      </c>
      <c r="J528" t="str">
        <f t="shared" si="56"/>
        <v>Unique</v>
      </c>
      <c r="K528" t="str">
        <f t="shared" si="57"/>
        <v>Hot</v>
      </c>
      <c r="L528" t="str">
        <f t="shared" si="58"/>
        <v>Low</v>
      </c>
      <c r="M528" t="str">
        <f t="shared" si="59"/>
        <v>Medium Wind</v>
      </c>
      <c r="N528" t="str">
        <f t="shared" si="60"/>
        <v>Low</v>
      </c>
      <c r="O528" t="str">
        <f t="shared" si="61"/>
        <v>Low</v>
      </c>
      <c r="P528" t="str">
        <f t="shared" si="62"/>
        <v>Low Demand</v>
      </c>
    </row>
    <row r="529" spans="1:16" ht="13.8">
      <c r="A529" s="13">
        <v>527</v>
      </c>
      <c r="B529" s="13">
        <v>528</v>
      </c>
      <c r="C529" s="13">
        <v>3.0300000000000001E-2</v>
      </c>
      <c r="D529" s="13">
        <v>0.45</v>
      </c>
      <c r="E529" s="13">
        <v>0.25369999999999998</v>
      </c>
      <c r="F529" s="13">
        <v>0</v>
      </c>
      <c r="G529" s="13">
        <v>1</v>
      </c>
      <c r="H529" s="13">
        <v>1</v>
      </c>
      <c r="J529" t="str">
        <f t="shared" si="56"/>
        <v>Unique</v>
      </c>
      <c r="K529" t="str">
        <f t="shared" si="57"/>
        <v>Hot</v>
      </c>
      <c r="L529" t="str">
        <f t="shared" si="58"/>
        <v>Low</v>
      </c>
      <c r="M529" t="str">
        <f t="shared" si="59"/>
        <v>Medium Wind</v>
      </c>
      <c r="N529" t="str">
        <f t="shared" si="60"/>
        <v>Low</v>
      </c>
      <c r="O529" t="str">
        <f t="shared" si="61"/>
        <v>Low</v>
      </c>
      <c r="P529" t="str">
        <f t="shared" si="62"/>
        <v>Low Demand</v>
      </c>
    </row>
    <row r="530" spans="1:16" ht="13.8">
      <c r="A530" s="13">
        <v>528</v>
      </c>
      <c r="B530" s="13">
        <v>529</v>
      </c>
      <c r="C530" s="13">
        <v>6.0600000000000001E-2</v>
      </c>
      <c r="D530" s="13">
        <v>0.48</v>
      </c>
      <c r="E530" s="13">
        <v>0.1343</v>
      </c>
      <c r="F530" s="13">
        <v>0</v>
      </c>
      <c r="G530" s="13">
        <v>1</v>
      </c>
      <c r="H530" s="13">
        <v>1</v>
      </c>
      <c r="J530" t="str">
        <f t="shared" si="56"/>
        <v>Unique</v>
      </c>
      <c r="K530" t="str">
        <f t="shared" si="57"/>
        <v>Hot</v>
      </c>
      <c r="L530" t="str">
        <f t="shared" si="58"/>
        <v>Low</v>
      </c>
      <c r="M530" t="str">
        <f t="shared" si="59"/>
        <v>Medium Wind</v>
      </c>
      <c r="N530" t="str">
        <f t="shared" si="60"/>
        <v>Low</v>
      </c>
      <c r="O530" t="str">
        <f t="shared" si="61"/>
        <v>Low</v>
      </c>
      <c r="P530" t="str">
        <f t="shared" si="62"/>
        <v>Low Demand</v>
      </c>
    </row>
    <row r="531" spans="1:16" ht="13.8">
      <c r="A531" s="13">
        <v>529</v>
      </c>
      <c r="B531" s="13">
        <v>530</v>
      </c>
      <c r="C531" s="13">
        <v>6.0600000000000001E-2</v>
      </c>
      <c r="D531" s="13">
        <v>0.48</v>
      </c>
      <c r="E531" s="13">
        <v>0.1343</v>
      </c>
      <c r="F531" s="13">
        <v>0</v>
      </c>
      <c r="G531" s="13">
        <v>5</v>
      </c>
      <c r="H531" s="13">
        <v>5</v>
      </c>
      <c r="J531" t="str">
        <f t="shared" si="56"/>
        <v>Unique</v>
      </c>
      <c r="K531" t="str">
        <f t="shared" si="57"/>
        <v>Hot</v>
      </c>
      <c r="L531" t="str">
        <f t="shared" si="58"/>
        <v>Low</v>
      </c>
      <c r="M531" t="str">
        <f t="shared" si="59"/>
        <v>Medium Wind</v>
      </c>
      <c r="N531" t="str">
        <f t="shared" si="60"/>
        <v>Low</v>
      </c>
      <c r="O531" t="str">
        <f t="shared" si="61"/>
        <v>Low</v>
      </c>
      <c r="P531" t="str">
        <f t="shared" si="62"/>
        <v>Low Demand</v>
      </c>
    </row>
    <row r="532" spans="1:16" ht="13.8">
      <c r="A532" s="13">
        <v>530</v>
      </c>
      <c r="B532" s="13">
        <v>531</v>
      </c>
      <c r="C532" s="13">
        <v>7.5800000000000006E-2</v>
      </c>
      <c r="D532" s="13">
        <v>0.48</v>
      </c>
      <c r="E532" s="13">
        <v>8.9599999999999999E-2</v>
      </c>
      <c r="F532" s="13">
        <v>0</v>
      </c>
      <c r="G532" s="13">
        <v>15</v>
      </c>
      <c r="H532" s="13">
        <v>15</v>
      </c>
      <c r="J532" t="str">
        <f t="shared" si="56"/>
        <v>Unique</v>
      </c>
      <c r="K532" t="str">
        <f t="shared" si="57"/>
        <v>Hot</v>
      </c>
      <c r="L532" t="str">
        <f t="shared" si="58"/>
        <v>Low</v>
      </c>
      <c r="M532" t="str">
        <f t="shared" si="59"/>
        <v>Medium Wind</v>
      </c>
      <c r="N532" t="str">
        <f t="shared" si="60"/>
        <v>Low</v>
      </c>
      <c r="O532" t="str">
        <f t="shared" si="61"/>
        <v>Low</v>
      </c>
      <c r="P532" t="str">
        <f t="shared" si="62"/>
        <v>Low Demand</v>
      </c>
    </row>
    <row r="533" spans="1:16" ht="13.8">
      <c r="A533" s="13">
        <v>531</v>
      </c>
      <c r="B533" s="13">
        <v>532</v>
      </c>
      <c r="C533" s="13">
        <v>0.1212</v>
      </c>
      <c r="D533" s="13">
        <v>0.48</v>
      </c>
      <c r="E533" s="13">
        <v>0</v>
      </c>
      <c r="F533" s="13">
        <v>5</v>
      </c>
      <c r="G533" s="13">
        <v>79</v>
      </c>
      <c r="H533" s="13">
        <v>84</v>
      </c>
      <c r="J533" t="str">
        <f t="shared" si="56"/>
        <v>Unique</v>
      </c>
      <c r="K533" t="str">
        <f t="shared" si="57"/>
        <v>Hot</v>
      </c>
      <c r="L533" t="str">
        <f t="shared" si="58"/>
        <v>Low</v>
      </c>
      <c r="M533" t="str">
        <f t="shared" si="59"/>
        <v>Medium Wind</v>
      </c>
      <c r="N533" t="str">
        <f t="shared" si="60"/>
        <v>Low</v>
      </c>
      <c r="O533" t="str">
        <f t="shared" si="61"/>
        <v>Low</v>
      </c>
      <c r="P533" t="str">
        <f t="shared" si="62"/>
        <v>Low Demand</v>
      </c>
    </row>
    <row r="534" spans="1:16" ht="13.8">
      <c r="A534" s="13">
        <v>532</v>
      </c>
      <c r="B534" s="13">
        <v>533</v>
      </c>
      <c r="C534" s="13">
        <v>0.13639999999999999</v>
      </c>
      <c r="D534" s="13">
        <v>0.49</v>
      </c>
      <c r="E534" s="13">
        <v>0</v>
      </c>
      <c r="F534" s="13">
        <v>6</v>
      </c>
      <c r="G534" s="13">
        <v>171</v>
      </c>
      <c r="H534" s="13">
        <v>177</v>
      </c>
      <c r="J534" t="str">
        <f t="shared" si="56"/>
        <v>Unique</v>
      </c>
      <c r="K534" t="str">
        <f t="shared" si="57"/>
        <v>Hot</v>
      </c>
      <c r="L534" t="str">
        <f t="shared" si="58"/>
        <v>Low</v>
      </c>
      <c r="M534" t="str">
        <f t="shared" si="59"/>
        <v>Medium Wind</v>
      </c>
      <c r="N534" t="str">
        <f t="shared" si="60"/>
        <v>Low</v>
      </c>
      <c r="O534" t="str">
        <f t="shared" si="61"/>
        <v>Low</v>
      </c>
      <c r="P534" t="str">
        <f t="shared" si="62"/>
        <v>Medium Demand</v>
      </c>
    </row>
    <row r="535" spans="1:16" ht="13.8">
      <c r="A535" s="13">
        <v>533</v>
      </c>
      <c r="B535" s="13">
        <v>534</v>
      </c>
      <c r="C535" s="13">
        <v>0.1515</v>
      </c>
      <c r="D535" s="13">
        <v>0.41</v>
      </c>
      <c r="E535" s="13">
        <v>0</v>
      </c>
      <c r="F535" s="13">
        <v>4</v>
      </c>
      <c r="G535" s="13">
        <v>98</v>
      </c>
      <c r="H535" s="13">
        <v>102</v>
      </c>
      <c r="J535" t="str">
        <f t="shared" si="56"/>
        <v>Unique</v>
      </c>
      <c r="K535" t="str">
        <f t="shared" si="57"/>
        <v>Hot</v>
      </c>
      <c r="L535" t="str">
        <f t="shared" si="58"/>
        <v>Low</v>
      </c>
      <c r="M535" t="str">
        <f t="shared" si="59"/>
        <v>Medium Wind</v>
      </c>
      <c r="N535" t="str">
        <f t="shared" si="60"/>
        <v>Low</v>
      </c>
      <c r="O535" t="str">
        <f t="shared" si="61"/>
        <v>Low</v>
      </c>
      <c r="P535" t="str">
        <f t="shared" si="62"/>
        <v>Low Demand</v>
      </c>
    </row>
    <row r="536" spans="1:16" ht="13.8">
      <c r="A536" s="13">
        <v>534</v>
      </c>
      <c r="B536" s="13">
        <v>535</v>
      </c>
      <c r="C536" s="13">
        <v>0.13639999999999999</v>
      </c>
      <c r="D536" s="13">
        <v>0.42</v>
      </c>
      <c r="E536" s="13">
        <v>0</v>
      </c>
      <c r="F536" s="13">
        <v>6</v>
      </c>
      <c r="G536" s="13">
        <v>34</v>
      </c>
      <c r="H536" s="13">
        <v>40</v>
      </c>
      <c r="J536" t="str">
        <f t="shared" si="56"/>
        <v>Unique</v>
      </c>
      <c r="K536" t="str">
        <f t="shared" si="57"/>
        <v>Hot</v>
      </c>
      <c r="L536" t="str">
        <f t="shared" si="58"/>
        <v>Low</v>
      </c>
      <c r="M536" t="str">
        <f t="shared" si="59"/>
        <v>Medium Wind</v>
      </c>
      <c r="N536" t="str">
        <f t="shared" si="60"/>
        <v>Low</v>
      </c>
      <c r="O536" t="str">
        <f t="shared" si="61"/>
        <v>Low</v>
      </c>
      <c r="P536" t="str">
        <f t="shared" si="62"/>
        <v>Low Demand</v>
      </c>
    </row>
    <row r="537" spans="1:16" ht="13.8">
      <c r="A537" s="13">
        <v>535</v>
      </c>
      <c r="B537" s="13">
        <v>536</v>
      </c>
      <c r="C537" s="13">
        <v>0.1212</v>
      </c>
      <c r="D537" s="13">
        <v>0.46</v>
      </c>
      <c r="E537" s="13">
        <v>0.1343</v>
      </c>
      <c r="F537" s="13">
        <v>3</v>
      </c>
      <c r="G537" s="13">
        <v>43</v>
      </c>
      <c r="H537" s="13">
        <v>46</v>
      </c>
      <c r="J537" t="str">
        <f t="shared" si="56"/>
        <v>Unique</v>
      </c>
      <c r="K537" t="str">
        <f t="shared" si="57"/>
        <v>Hot</v>
      </c>
      <c r="L537" t="str">
        <f t="shared" si="58"/>
        <v>Low</v>
      </c>
      <c r="M537" t="str">
        <f t="shared" si="59"/>
        <v>Medium Wind</v>
      </c>
      <c r="N537" t="str">
        <f t="shared" si="60"/>
        <v>Low</v>
      </c>
      <c r="O537" t="str">
        <f t="shared" si="61"/>
        <v>Low</v>
      </c>
      <c r="P537" t="str">
        <f t="shared" si="62"/>
        <v>Low Demand</v>
      </c>
    </row>
    <row r="538" spans="1:16" ht="13.8">
      <c r="A538" s="13">
        <v>536</v>
      </c>
      <c r="B538" s="13">
        <v>537</v>
      </c>
      <c r="C538" s="13">
        <v>0.13639999999999999</v>
      </c>
      <c r="D538" s="13">
        <v>0.42</v>
      </c>
      <c r="E538" s="13">
        <v>0.19400000000000001</v>
      </c>
      <c r="F538" s="13">
        <v>11</v>
      </c>
      <c r="G538" s="13">
        <v>52</v>
      </c>
      <c r="H538" s="13">
        <v>63</v>
      </c>
      <c r="J538" t="str">
        <f t="shared" si="56"/>
        <v>Unique</v>
      </c>
      <c r="K538" t="str">
        <f t="shared" si="57"/>
        <v>Hot</v>
      </c>
      <c r="L538" t="str">
        <f t="shared" si="58"/>
        <v>Low</v>
      </c>
      <c r="M538" t="str">
        <f t="shared" si="59"/>
        <v>Medium Wind</v>
      </c>
      <c r="N538" t="str">
        <f t="shared" si="60"/>
        <v>Low</v>
      </c>
      <c r="O538" t="str">
        <f t="shared" si="61"/>
        <v>Low</v>
      </c>
      <c r="P538" t="str">
        <f t="shared" si="62"/>
        <v>Low Demand</v>
      </c>
    </row>
    <row r="539" spans="1:16" ht="13.8">
      <c r="A539" s="13">
        <v>537</v>
      </c>
      <c r="B539" s="13">
        <v>538</v>
      </c>
      <c r="C539" s="13">
        <v>0.13639999999999999</v>
      </c>
      <c r="D539" s="13">
        <v>0.43</v>
      </c>
      <c r="E539" s="13">
        <v>0.22389999999999999</v>
      </c>
      <c r="F539" s="13">
        <v>6</v>
      </c>
      <c r="G539" s="13">
        <v>54</v>
      </c>
      <c r="H539" s="13">
        <v>60</v>
      </c>
      <c r="J539" t="str">
        <f t="shared" si="56"/>
        <v>Unique</v>
      </c>
      <c r="K539" t="str">
        <f t="shared" si="57"/>
        <v>Hot</v>
      </c>
      <c r="L539" t="str">
        <f t="shared" si="58"/>
        <v>Low</v>
      </c>
      <c r="M539" t="str">
        <f t="shared" si="59"/>
        <v>Medium Wind</v>
      </c>
      <c r="N539" t="str">
        <f t="shared" si="60"/>
        <v>Low</v>
      </c>
      <c r="O539" t="str">
        <f t="shared" si="61"/>
        <v>Low</v>
      </c>
      <c r="P539" t="str">
        <f t="shared" si="62"/>
        <v>Low Demand</v>
      </c>
    </row>
    <row r="540" spans="1:16" ht="13.8">
      <c r="A540" s="13">
        <v>538</v>
      </c>
      <c r="B540" s="13">
        <v>539</v>
      </c>
      <c r="C540" s="13">
        <v>0.13639999999999999</v>
      </c>
      <c r="D540" s="13">
        <v>0.46</v>
      </c>
      <c r="E540" s="13">
        <v>0.22389999999999999</v>
      </c>
      <c r="F540" s="13">
        <v>2</v>
      </c>
      <c r="G540" s="13">
        <v>43</v>
      </c>
      <c r="H540" s="13">
        <v>45</v>
      </c>
      <c r="J540" t="str">
        <f t="shared" si="56"/>
        <v>Unique</v>
      </c>
      <c r="K540" t="str">
        <f t="shared" si="57"/>
        <v>Hot</v>
      </c>
      <c r="L540" t="str">
        <f t="shared" si="58"/>
        <v>Low</v>
      </c>
      <c r="M540" t="str">
        <f t="shared" si="59"/>
        <v>Medium Wind</v>
      </c>
      <c r="N540" t="str">
        <f t="shared" si="60"/>
        <v>Low</v>
      </c>
      <c r="O540" t="str">
        <f t="shared" si="61"/>
        <v>Low</v>
      </c>
      <c r="P540" t="str">
        <f t="shared" si="62"/>
        <v>Low Demand</v>
      </c>
    </row>
    <row r="541" spans="1:16" ht="13.8">
      <c r="A541" s="13">
        <v>539</v>
      </c>
      <c r="B541" s="13">
        <v>540</v>
      </c>
      <c r="C541" s="13">
        <v>0.16669999999999999</v>
      </c>
      <c r="D541" s="13">
        <v>0.4</v>
      </c>
      <c r="E541" s="13">
        <v>0.16420000000000001</v>
      </c>
      <c r="F541" s="13">
        <v>7</v>
      </c>
      <c r="G541" s="13">
        <v>50</v>
      </c>
      <c r="H541" s="13">
        <v>57</v>
      </c>
      <c r="J541" t="str">
        <f t="shared" si="56"/>
        <v>Unique</v>
      </c>
      <c r="K541" t="str">
        <f t="shared" si="57"/>
        <v>Hot</v>
      </c>
      <c r="L541" t="str">
        <f t="shared" si="58"/>
        <v>Low</v>
      </c>
      <c r="M541" t="str">
        <f t="shared" si="59"/>
        <v>Medium Wind</v>
      </c>
      <c r="N541" t="str">
        <f t="shared" si="60"/>
        <v>Low</v>
      </c>
      <c r="O541" t="str">
        <f t="shared" si="61"/>
        <v>Low</v>
      </c>
      <c r="P541" t="str">
        <f t="shared" si="62"/>
        <v>Low Demand</v>
      </c>
    </row>
    <row r="542" spans="1:16" ht="13.8">
      <c r="A542" s="13">
        <v>540</v>
      </c>
      <c r="B542" s="13">
        <v>541</v>
      </c>
      <c r="C542" s="13">
        <v>0.1515</v>
      </c>
      <c r="D542" s="13">
        <v>0.47</v>
      </c>
      <c r="E542" s="13">
        <v>0.25369999999999998</v>
      </c>
      <c r="F542" s="13">
        <v>4</v>
      </c>
      <c r="G542" s="13">
        <v>66</v>
      </c>
      <c r="H542" s="13">
        <v>70</v>
      </c>
      <c r="J542" t="str">
        <f t="shared" si="56"/>
        <v>Unique</v>
      </c>
      <c r="K542" t="str">
        <f t="shared" si="57"/>
        <v>Hot</v>
      </c>
      <c r="L542" t="str">
        <f t="shared" si="58"/>
        <v>Low</v>
      </c>
      <c r="M542" t="str">
        <f t="shared" si="59"/>
        <v>Medium Wind</v>
      </c>
      <c r="N542" t="str">
        <f t="shared" si="60"/>
        <v>Low</v>
      </c>
      <c r="O542" t="str">
        <f t="shared" si="61"/>
        <v>Low</v>
      </c>
      <c r="P542" t="str">
        <f t="shared" si="62"/>
        <v>Low Demand</v>
      </c>
    </row>
    <row r="543" spans="1:16" ht="13.8">
      <c r="A543" s="13">
        <v>541</v>
      </c>
      <c r="B543" s="13">
        <v>542</v>
      </c>
      <c r="C543" s="13">
        <v>0.1212</v>
      </c>
      <c r="D543" s="13">
        <v>0.5</v>
      </c>
      <c r="E543" s="13">
        <v>0.25369999999999998</v>
      </c>
      <c r="F543" s="13">
        <v>6</v>
      </c>
      <c r="G543" s="13">
        <v>178</v>
      </c>
      <c r="H543" s="13">
        <v>184</v>
      </c>
      <c r="J543" t="str">
        <f t="shared" si="56"/>
        <v>Unique</v>
      </c>
      <c r="K543" t="str">
        <f t="shared" si="57"/>
        <v>Hot</v>
      </c>
      <c r="L543" t="str">
        <f t="shared" si="58"/>
        <v>Low</v>
      </c>
      <c r="M543" t="str">
        <f t="shared" si="59"/>
        <v>High Wind</v>
      </c>
      <c r="N543" t="str">
        <f t="shared" si="60"/>
        <v>Low</v>
      </c>
      <c r="O543" t="str">
        <f t="shared" si="61"/>
        <v>Low</v>
      </c>
      <c r="P543" t="str">
        <f t="shared" si="62"/>
        <v>Medium Demand</v>
      </c>
    </row>
    <row r="544" spans="1:16" ht="13.8">
      <c r="A544" s="13">
        <v>542</v>
      </c>
      <c r="B544" s="13">
        <v>543</v>
      </c>
      <c r="C544" s="13">
        <v>0.13639999999999999</v>
      </c>
      <c r="D544" s="13">
        <v>0.59</v>
      </c>
      <c r="E544" s="13">
        <v>0.19400000000000001</v>
      </c>
      <c r="F544" s="13">
        <v>8</v>
      </c>
      <c r="G544" s="13">
        <v>145</v>
      </c>
      <c r="H544" s="13">
        <v>153</v>
      </c>
      <c r="J544" t="str">
        <f t="shared" si="56"/>
        <v>Unique</v>
      </c>
      <c r="K544" t="str">
        <f t="shared" si="57"/>
        <v>Hot</v>
      </c>
      <c r="L544" t="str">
        <f t="shared" si="58"/>
        <v>Low</v>
      </c>
      <c r="M544" t="str">
        <f t="shared" si="59"/>
        <v>High Wind</v>
      </c>
      <c r="N544" t="str">
        <f t="shared" si="60"/>
        <v>Low</v>
      </c>
      <c r="O544" t="str">
        <f t="shared" si="61"/>
        <v>Low</v>
      </c>
      <c r="P544" t="str">
        <f t="shared" si="62"/>
        <v>Medium Demand</v>
      </c>
    </row>
    <row r="545" spans="1:16" ht="13.8">
      <c r="A545" s="13">
        <v>543</v>
      </c>
      <c r="B545" s="13">
        <v>544</v>
      </c>
      <c r="C545" s="13">
        <v>0.1515</v>
      </c>
      <c r="D545" s="13">
        <v>0.54</v>
      </c>
      <c r="E545" s="13">
        <v>0.16420000000000001</v>
      </c>
      <c r="F545" s="13">
        <v>5</v>
      </c>
      <c r="G545" s="13">
        <v>101</v>
      </c>
      <c r="H545" s="13">
        <v>106</v>
      </c>
      <c r="J545" t="str">
        <f t="shared" si="56"/>
        <v>Unique</v>
      </c>
      <c r="K545" t="str">
        <f t="shared" si="57"/>
        <v>Hot</v>
      </c>
      <c r="L545" t="str">
        <f t="shared" si="58"/>
        <v>Low</v>
      </c>
      <c r="M545" t="str">
        <f t="shared" si="59"/>
        <v>High Wind</v>
      </c>
      <c r="N545" t="str">
        <f t="shared" si="60"/>
        <v>Low</v>
      </c>
      <c r="O545" t="str">
        <f t="shared" si="61"/>
        <v>Low</v>
      </c>
      <c r="P545" t="str">
        <f t="shared" si="62"/>
        <v>Medium Demand</v>
      </c>
    </row>
    <row r="546" spans="1:16" ht="13.8">
      <c r="A546" s="13">
        <v>544</v>
      </c>
      <c r="B546" s="13">
        <v>545</v>
      </c>
      <c r="C546" s="13">
        <v>0.13639999999999999</v>
      </c>
      <c r="D546" s="13">
        <v>0.59</v>
      </c>
      <c r="E546" s="13">
        <v>0.19400000000000001</v>
      </c>
      <c r="F546" s="13">
        <v>1</v>
      </c>
      <c r="G546" s="13">
        <v>80</v>
      </c>
      <c r="H546" s="13">
        <v>81</v>
      </c>
      <c r="J546" t="str">
        <f t="shared" si="56"/>
        <v>Unique</v>
      </c>
      <c r="K546" t="str">
        <f t="shared" si="57"/>
        <v>Hot</v>
      </c>
      <c r="L546" t="str">
        <f t="shared" si="58"/>
        <v>Low</v>
      </c>
      <c r="M546" t="str">
        <f t="shared" si="59"/>
        <v>High Wind</v>
      </c>
      <c r="N546" t="str">
        <f t="shared" si="60"/>
        <v>Low</v>
      </c>
      <c r="O546" t="str">
        <f t="shared" si="61"/>
        <v>Low</v>
      </c>
      <c r="P546" t="str">
        <f t="shared" si="62"/>
        <v>Low Demand</v>
      </c>
    </row>
    <row r="547" spans="1:16" ht="13.8">
      <c r="A547" s="13">
        <v>545</v>
      </c>
      <c r="B547" s="13">
        <v>546</v>
      </c>
      <c r="C547" s="13">
        <v>0.1515</v>
      </c>
      <c r="D547" s="13">
        <v>0.63</v>
      </c>
      <c r="E547" s="13">
        <v>0.16420000000000001</v>
      </c>
      <c r="F547" s="13">
        <v>6</v>
      </c>
      <c r="G547" s="13">
        <v>53</v>
      </c>
      <c r="H547" s="13">
        <v>59</v>
      </c>
      <c r="J547" t="str">
        <f t="shared" si="56"/>
        <v>Unique</v>
      </c>
      <c r="K547" t="str">
        <f t="shared" si="57"/>
        <v>Hot</v>
      </c>
      <c r="L547" t="str">
        <f t="shared" si="58"/>
        <v>Low</v>
      </c>
      <c r="M547" t="str">
        <f t="shared" si="59"/>
        <v>High Wind</v>
      </c>
      <c r="N547" t="str">
        <f t="shared" si="60"/>
        <v>Low</v>
      </c>
      <c r="O547" t="str">
        <f t="shared" si="61"/>
        <v>Low</v>
      </c>
      <c r="P547" t="str">
        <f t="shared" si="62"/>
        <v>Low Demand</v>
      </c>
    </row>
    <row r="548" spans="1:16" ht="13.8">
      <c r="A548" s="13">
        <v>546</v>
      </c>
      <c r="B548" s="13">
        <v>547</v>
      </c>
      <c r="C548" s="13">
        <v>0.13639999999999999</v>
      </c>
      <c r="D548" s="13">
        <v>0.63</v>
      </c>
      <c r="E548" s="13">
        <v>0.22389999999999999</v>
      </c>
      <c r="F548" s="13">
        <v>3</v>
      </c>
      <c r="G548" s="13">
        <v>32</v>
      </c>
      <c r="H548" s="13">
        <v>35</v>
      </c>
      <c r="J548" t="str">
        <f t="shared" si="56"/>
        <v>Unique</v>
      </c>
      <c r="K548" t="str">
        <f t="shared" si="57"/>
        <v>Hot</v>
      </c>
      <c r="L548" t="str">
        <f t="shared" si="58"/>
        <v>Low</v>
      </c>
      <c r="M548" t="str">
        <f t="shared" si="59"/>
        <v>High Wind</v>
      </c>
      <c r="N548" t="str">
        <f t="shared" si="60"/>
        <v>Low</v>
      </c>
      <c r="O548" t="str">
        <f t="shared" si="61"/>
        <v>Low</v>
      </c>
      <c r="P548" t="str">
        <f t="shared" si="62"/>
        <v>Low Demand</v>
      </c>
    </row>
    <row r="549" spans="1:16" ht="13.8">
      <c r="A549" s="13">
        <v>547</v>
      </c>
      <c r="B549" s="13">
        <v>548</v>
      </c>
      <c r="C549" s="13">
        <v>0.1515</v>
      </c>
      <c r="D549" s="13">
        <v>0.64</v>
      </c>
      <c r="E549" s="13">
        <v>0.25369999999999998</v>
      </c>
      <c r="F549" s="13">
        <v>3</v>
      </c>
      <c r="G549" s="13">
        <v>21</v>
      </c>
      <c r="H549" s="13">
        <v>24</v>
      </c>
      <c r="J549" t="str">
        <f t="shared" si="56"/>
        <v>Unique</v>
      </c>
      <c r="K549" t="str">
        <f t="shared" si="57"/>
        <v>Hot</v>
      </c>
      <c r="L549" t="str">
        <f t="shared" si="58"/>
        <v>Low</v>
      </c>
      <c r="M549" t="str">
        <f t="shared" si="59"/>
        <v>High Wind</v>
      </c>
      <c r="N549" t="str">
        <f t="shared" si="60"/>
        <v>Low</v>
      </c>
      <c r="O549" t="str">
        <f t="shared" si="61"/>
        <v>Low</v>
      </c>
      <c r="P549" t="str">
        <f t="shared" si="62"/>
        <v>Low Demand</v>
      </c>
    </row>
    <row r="550" spans="1:16" ht="13.8">
      <c r="A550" s="13">
        <v>548</v>
      </c>
      <c r="B550" s="13">
        <v>549</v>
      </c>
      <c r="C550" s="13">
        <v>0.13639999999999999</v>
      </c>
      <c r="D550" s="13">
        <v>0.69</v>
      </c>
      <c r="E550" s="13">
        <v>0.28360000000000002</v>
      </c>
      <c r="F550" s="13">
        <v>3</v>
      </c>
      <c r="G550" s="13">
        <v>6</v>
      </c>
      <c r="H550" s="13">
        <v>9</v>
      </c>
      <c r="J550" t="str">
        <f t="shared" si="56"/>
        <v>Unique</v>
      </c>
      <c r="K550" t="str">
        <f t="shared" si="57"/>
        <v>Hot</v>
      </c>
      <c r="L550" t="str">
        <f t="shared" si="58"/>
        <v>Low</v>
      </c>
      <c r="M550" t="str">
        <f t="shared" si="59"/>
        <v>High Wind</v>
      </c>
      <c r="N550" t="str">
        <f t="shared" si="60"/>
        <v>Low</v>
      </c>
      <c r="O550" t="str">
        <f t="shared" si="61"/>
        <v>Low</v>
      </c>
      <c r="P550" t="str">
        <f t="shared" si="62"/>
        <v>Low Demand</v>
      </c>
    </row>
    <row r="551" spans="1:16" ht="13.8">
      <c r="A551" s="13">
        <v>549</v>
      </c>
      <c r="B551" s="13">
        <v>550</v>
      </c>
      <c r="C551" s="13">
        <v>0.16669999999999999</v>
      </c>
      <c r="D551" s="13">
        <v>0.69</v>
      </c>
      <c r="E551" s="13">
        <v>0.16420000000000001</v>
      </c>
      <c r="F551" s="13">
        <v>0</v>
      </c>
      <c r="G551" s="13">
        <v>5</v>
      </c>
      <c r="H551" s="13">
        <v>5</v>
      </c>
      <c r="J551" t="str">
        <f t="shared" si="56"/>
        <v>Unique</v>
      </c>
      <c r="K551" t="str">
        <f t="shared" si="57"/>
        <v>Hot</v>
      </c>
      <c r="L551" t="str">
        <f t="shared" si="58"/>
        <v>Low</v>
      </c>
      <c r="M551" t="str">
        <f t="shared" si="59"/>
        <v>High Wind</v>
      </c>
      <c r="N551" t="str">
        <f t="shared" si="60"/>
        <v>Low</v>
      </c>
      <c r="O551" t="str">
        <f t="shared" si="61"/>
        <v>Low</v>
      </c>
      <c r="P551" t="str">
        <f t="shared" si="62"/>
        <v>Low Demand</v>
      </c>
    </row>
    <row r="552" spans="1:16" ht="13.8">
      <c r="A552" s="13">
        <v>550</v>
      </c>
      <c r="B552" s="13">
        <v>551</v>
      </c>
      <c r="C552" s="13">
        <v>0.1515</v>
      </c>
      <c r="D552" s="13">
        <v>0.69</v>
      </c>
      <c r="E552" s="13">
        <v>0.22389999999999999</v>
      </c>
      <c r="F552" s="13">
        <v>0</v>
      </c>
      <c r="G552" s="13">
        <v>2</v>
      </c>
      <c r="H552" s="13">
        <v>2</v>
      </c>
      <c r="J552" t="str">
        <f t="shared" si="56"/>
        <v>Unique</v>
      </c>
      <c r="K552" t="str">
        <f t="shared" si="57"/>
        <v>Hot</v>
      </c>
      <c r="L552" t="str">
        <f t="shared" si="58"/>
        <v>Low</v>
      </c>
      <c r="M552" t="str">
        <f t="shared" si="59"/>
        <v>High Wind</v>
      </c>
      <c r="N552" t="str">
        <f t="shared" si="60"/>
        <v>Low</v>
      </c>
      <c r="O552" t="str">
        <f t="shared" si="61"/>
        <v>Low</v>
      </c>
      <c r="P552" t="str">
        <f t="shared" si="62"/>
        <v>Low Demand</v>
      </c>
    </row>
    <row r="553" spans="1:16" ht="13.8">
      <c r="A553" s="13">
        <v>551</v>
      </c>
      <c r="B553" s="13">
        <v>552</v>
      </c>
      <c r="C553" s="13">
        <v>0.16669999999999999</v>
      </c>
      <c r="D553" s="13">
        <v>0.74</v>
      </c>
      <c r="E553" s="13">
        <v>0.1045</v>
      </c>
      <c r="F553" s="13">
        <v>0</v>
      </c>
      <c r="G553" s="13">
        <v>1</v>
      </c>
      <c r="H553" s="13">
        <v>1</v>
      </c>
      <c r="J553" t="str">
        <f t="shared" si="56"/>
        <v>Unique</v>
      </c>
      <c r="K553" t="str">
        <f t="shared" si="57"/>
        <v>Hot</v>
      </c>
      <c r="L553" t="str">
        <f t="shared" si="58"/>
        <v>Low</v>
      </c>
      <c r="M553" t="str">
        <f t="shared" si="59"/>
        <v>High Wind</v>
      </c>
      <c r="N553" t="str">
        <f t="shared" si="60"/>
        <v>Low</v>
      </c>
      <c r="O553" t="str">
        <f t="shared" si="61"/>
        <v>Low</v>
      </c>
      <c r="P553" t="str">
        <f t="shared" si="62"/>
        <v>Low Demand</v>
      </c>
    </row>
    <row r="554" spans="1:16" ht="13.8">
      <c r="A554" s="13">
        <v>552</v>
      </c>
      <c r="B554" s="13">
        <v>553</v>
      </c>
      <c r="C554" s="13">
        <v>0.13639999999999999</v>
      </c>
      <c r="D554" s="13">
        <v>0.74</v>
      </c>
      <c r="E554" s="13">
        <v>0.22389999999999999</v>
      </c>
      <c r="F554" s="13">
        <v>0</v>
      </c>
      <c r="G554" s="13">
        <v>9</v>
      </c>
      <c r="H554" s="13">
        <v>9</v>
      </c>
      <c r="J554" t="str">
        <f t="shared" si="56"/>
        <v>Unique</v>
      </c>
      <c r="K554" t="str">
        <f t="shared" si="57"/>
        <v>Hot</v>
      </c>
      <c r="L554" t="str">
        <f t="shared" si="58"/>
        <v>Low</v>
      </c>
      <c r="M554" t="str">
        <f t="shared" si="59"/>
        <v>High Wind</v>
      </c>
      <c r="N554" t="str">
        <f t="shared" si="60"/>
        <v>Low</v>
      </c>
      <c r="O554" t="str">
        <f t="shared" si="61"/>
        <v>Low</v>
      </c>
      <c r="P554" t="str">
        <f t="shared" si="62"/>
        <v>Low Demand</v>
      </c>
    </row>
    <row r="555" spans="1:16" ht="13.8">
      <c r="A555" s="13">
        <v>553</v>
      </c>
      <c r="B555" s="13">
        <v>554</v>
      </c>
      <c r="C555" s="13">
        <v>0.18179999999999999</v>
      </c>
      <c r="D555" s="13">
        <v>0.74</v>
      </c>
      <c r="E555" s="13">
        <v>0.1045</v>
      </c>
      <c r="F555" s="13">
        <v>1</v>
      </c>
      <c r="G555" s="13">
        <v>35</v>
      </c>
      <c r="H555" s="13">
        <v>36</v>
      </c>
      <c r="J555" t="str">
        <f t="shared" si="56"/>
        <v>Unique</v>
      </c>
      <c r="K555" t="str">
        <f t="shared" si="57"/>
        <v>Hot</v>
      </c>
      <c r="L555" t="str">
        <f t="shared" si="58"/>
        <v>Low</v>
      </c>
      <c r="M555" t="str">
        <f t="shared" si="59"/>
        <v>High Wind</v>
      </c>
      <c r="N555" t="str">
        <f t="shared" si="60"/>
        <v>Low</v>
      </c>
      <c r="O555" t="str">
        <f t="shared" si="61"/>
        <v>Low</v>
      </c>
      <c r="P555" t="str">
        <f t="shared" si="62"/>
        <v>Low Demand</v>
      </c>
    </row>
    <row r="556" spans="1:16" ht="13.8">
      <c r="A556" s="13">
        <v>554</v>
      </c>
      <c r="B556" s="13">
        <v>555</v>
      </c>
      <c r="C556" s="13">
        <v>0.1515</v>
      </c>
      <c r="D556" s="13">
        <v>0.74</v>
      </c>
      <c r="E556" s="13">
        <v>0.22389999999999999</v>
      </c>
      <c r="F556" s="13">
        <v>5</v>
      </c>
      <c r="G556" s="13">
        <v>103</v>
      </c>
      <c r="H556" s="13">
        <v>108</v>
      </c>
      <c r="J556" t="str">
        <f t="shared" si="56"/>
        <v>Unique</v>
      </c>
      <c r="K556" t="str">
        <f t="shared" si="57"/>
        <v>Hot</v>
      </c>
      <c r="L556" t="str">
        <f t="shared" si="58"/>
        <v>Low</v>
      </c>
      <c r="M556" t="str">
        <f t="shared" si="59"/>
        <v>High Wind</v>
      </c>
      <c r="N556" t="str">
        <f t="shared" si="60"/>
        <v>Low</v>
      </c>
      <c r="O556" t="str">
        <f t="shared" si="61"/>
        <v>Low</v>
      </c>
      <c r="P556" t="str">
        <f t="shared" si="62"/>
        <v>Medium Demand</v>
      </c>
    </row>
    <row r="557" spans="1:16" ht="13.8">
      <c r="A557" s="13">
        <v>555</v>
      </c>
      <c r="B557" s="13">
        <v>556</v>
      </c>
      <c r="C557" s="13">
        <v>0.18179999999999999</v>
      </c>
      <c r="D557" s="13">
        <v>0.74</v>
      </c>
      <c r="E557" s="13">
        <v>0.1343</v>
      </c>
      <c r="F557" s="13">
        <v>5</v>
      </c>
      <c r="G557" s="13">
        <v>233</v>
      </c>
      <c r="H557" s="13">
        <v>238</v>
      </c>
      <c r="J557" t="str">
        <f t="shared" si="56"/>
        <v>Unique</v>
      </c>
      <c r="K557" t="str">
        <f t="shared" si="57"/>
        <v>Hot</v>
      </c>
      <c r="L557" t="str">
        <f t="shared" si="58"/>
        <v>Low</v>
      </c>
      <c r="M557" t="str">
        <f t="shared" si="59"/>
        <v>High Wind</v>
      </c>
      <c r="N557" t="str">
        <f t="shared" si="60"/>
        <v>Low</v>
      </c>
      <c r="O557" t="str">
        <f t="shared" si="61"/>
        <v>Low</v>
      </c>
      <c r="P557" t="str">
        <f t="shared" si="62"/>
        <v>Medium Demand</v>
      </c>
    </row>
    <row r="558" spans="1:16" ht="13.8">
      <c r="A558" s="13">
        <v>556</v>
      </c>
      <c r="B558" s="13">
        <v>557</v>
      </c>
      <c r="C558" s="13">
        <v>0.2273</v>
      </c>
      <c r="D558" s="13">
        <v>0.64</v>
      </c>
      <c r="E558" s="13">
        <v>8.9599999999999999E-2</v>
      </c>
      <c r="F558" s="13">
        <v>10</v>
      </c>
      <c r="G558" s="13">
        <v>134</v>
      </c>
      <c r="H558" s="13">
        <v>144</v>
      </c>
      <c r="J558" t="str">
        <f t="shared" si="56"/>
        <v>Unique</v>
      </c>
      <c r="K558" t="str">
        <f t="shared" si="57"/>
        <v>Hot</v>
      </c>
      <c r="L558" t="str">
        <f t="shared" si="58"/>
        <v>Low</v>
      </c>
      <c r="M558" t="str">
        <f t="shared" si="59"/>
        <v>High Wind</v>
      </c>
      <c r="N558" t="str">
        <f t="shared" si="60"/>
        <v>Low</v>
      </c>
      <c r="O558" t="str">
        <f t="shared" si="61"/>
        <v>Low</v>
      </c>
      <c r="P558" t="str">
        <f t="shared" si="62"/>
        <v>Medium Demand</v>
      </c>
    </row>
    <row r="559" spans="1:16" ht="13.8">
      <c r="A559" s="13">
        <v>557</v>
      </c>
      <c r="B559" s="13">
        <v>558</v>
      </c>
      <c r="C559" s="13">
        <v>0.2424</v>
      </c>
      <c r="D559" s="13">
        <v>0.6</v>
      </c>
      <c r="E559" s="13">
        <v>0.1045</v>
      </c>
      <c r="F559" s="13">
        <v>6</v>
      </c>
      <c r="G559" s="13">
        <v>49</v>
      </c>
      <c r="H559" s="13">
        <v>55</v>
      </c>
      <c r="J559" t="str">
        <f t="shared" si="56"/>
        <v>Unique</v>
      </c>
      <c r="K559" t="str">
        <f t="shared" si="57"/>
        <v>Hot</v>
      </c>
      <c r="L559" t="str">
        <f t="shared" si="58"/>
        <v>Low</v>
      </c>
      <c r="M559" t="str">
        <f t="shared" si="59"/>
        <v>High Wind</v>
      </c>
      <c r="N559" t="str">
        <f t="shared" si="60"/>
        <v>Low</v>
      </c>
      <c r="O559" t="str">
        <f t="shared" si="61"/>
        <v>Low</v>
      </c>
      <c r="P559" t="str">
        <f t="shared" si="62"/>
        <v>Low Demand</v>
      </c>
    </row>
    <row r="560" spans="1:16" ht="13.8">
      <c r="A560" s="13">
        <v>558</v>
      </c>
      <c r="B560" s="13">
        <v>559</v>
      </c>
      <c r="C560" s="13">
        <v>0.2424</v>
      </c>
      <c r="D560" s="13">
        <v>0.6</v>
      </c>
      <c r="E560" s="13">
        <v>0.1343</v>
      </c>
      <c r="F560" s="13">
        <v>6</v>
      </c>
      <c r="G560" s="13">
        <v>55</v>
      </c>
      <c r="H560" s="13">
        <v>61</v>
      </c>
      <c r="J560" t="str">
        <f t="shared" si="56"/>
        <v>Unique</v>
      </c>
      <c r="K560" t="str">
        <f t="shared" si="57"/>
        <v>Hot</v>
      </c>
      <c r="L560" t="str">
        <f t="shared" si="58"/>
        <v>Low</v>
      </c>
      <c r="M560" t="str">
        <f t="shared" si="59"/>
        <v>High Wind</v>
      </c>
      <c r="N560" t="str">
        <f t="shared" si="60"/>
        <v>Low</v>
      </c>
      <c r="O560" t="str">
        <f t="shared" si="61"/>
        <v>Low</v>
      </c>
      <c r="P560" t="str">
        <f t="shared" si="62"/>
        <v>Low Demand</v>
      </c>
    </row>
    <row r="561" spans="1:16" ht="13.8">
      <c r="A561" s="13">
        <v>559</v>
      </c>
      <c r="B561" s="13">
        <v>560</v>
      </c>
      <c r="C561" s="13">
        <v>0.28789999999999999</v>
      </c>
      <c r="D561" s="13">
        <v>0.56000000000000005</v>
      </c>
      <c r="E561" s="13">
        <v>8.9599999999999999E-2</v>
      </c>
      <c r="F561" s="13">
        <v>21</v>
      </c>
      <c r="G561" s="13">
        <v>85</v>
      </c>
      <c r="H561" s="13">
        <v>106</v>
      </c>
      <c r="J561" t="str">
        <f t="shared" si="56"/>
        <v>Unique</v>
      </c>
      <c r="K561" t="str">
        <f t="shared" si="57"/>
        <v>Hot</v>
      </c>
      <c r="L561" t="str">
        <f t="shared" si="58"/>
        <v>Low</v>
      </c>
      <c r="M561" t="str">
        <f t="shared" si="59"/>
        <v>High Wind</v>
      </c>
      <c r="N561" t="str">
        <f t="shared" si="60"/>
        <v>Low</v>
      </c>
      <c r="O561" t="str">
        <f t="shared" si="61"/>
        <v>Low</v>
      </c>
      <c r="P561" t="str">
        <f t="shared" si="62"/>
        <v>Low Demand</v>
      </c>
    </row>
    <row r="562" spans="1:16" ht="13.8">
      <c r="A562" s="13">
        <v>560</v>
      </c>
      <c r="B562" s="13">
        <v>561</v>
      </c>
      <c r="C562" s="13">
        <v>0.2727</v>
      </c>
      <c r="D562" s="13">
        <v>0.56000000000000005</v>
      </c>
      <c r="E562" s="13">
        <v>0.1343</v>
      </c>
      <c r="F562" s="13">
        <v>21</v>
      </c>
      <c r="G562" s="13">
        <v>72</v>
      </c>
      <c r="H562" s="13">
        <v>93</v>
      </c>
      <c r="J562" t="str">
        <f t="shared" si="56"/>
        <v>Unique</v>
      </c>
      <c r="K562" t="str">
        <f t="shared" si="57"/>
        <v>Hot</v>
      </c>
      <c r="L562" t="str">
        <f t="shared" si="58"/>
        <v>Low</v>
      </c>
      <c r="M562" t="str">
        <f t="shared" si="59"/>
        <v>High Wind</v>
      </c>
      <c r="N562" t="str">
        <f t="shared" si="60"/>
        <v>Low</v>
      </c>
      <c r="O562" t="str">
        <f t="shared" si="61"/>
        <v>Low</v>
      </c>
      <c r="P562" t="str">
        <f t="shared" si="62"/>
        <v>Low Demand</v>
      </c>
    </row>
    <row r="563" spans="1:16" ht="13.8">
      <c r="A563" s="13">
        <v>561</v>
      </c>
      <c r="B563" s="13">
        <v>562</v>
      </c>
      <c r="C563" s="13">
        <v>0.33329999999999999</v>
      </c>
      <c r="D563" s="13">
        <v>0.45</v>
      </c>
      <c r="E563" s="13">
        <v>0</v>
      </c>
      <c r="F563" s="13">
        <v>11</v>
      </c>
      <c r="G563" s="13">
        <v>57</v>
      </c>
      <c r="H563" s="13">
        <v>68</v>
      </c>
      <c r="J563" t="str">
        <f t="shared" si="56"/>
        <v>Unique</v>
      </c>
      <c r="K563" t="str">
        <f t="shared" si="57"/>
        <v>Hot</v>
      </c>
      <c r="L563" t="str">
        <f t="shared" si="58"/>
        <v>Low</v>
      </c>
      <c r="M563" t="str">
        <f t="shared" si="59"/>
        <v>Medium Wind</v>
      </c>
      <c r="N563" t="str">
        <f t="shared" si="60"/>
        <v>Low</v>
      </c>
      <c r="O563" t="str">
        <f t="shared" si="61"/>
        <v>Low</v>
      </c>
      <c r="P563" t="str">
        <f t="shared" si="62"/>
        <v>Low Demand</v>
      </c>
    </row>
    <row r="564" spans="1:16" ht="13.8">
      <c r="A564" s="13">
        <v>562</v>
      </c>
      <c r="B564" s="13">
        <v>563</v>
      </c>
      <c r="C564" s="13">
        <v>0.34849999999999998</v>
      </c>
      <c r="D564" s="13">
        <v>0.42</v>
      </c>
      <c r="E564" s="13">
        <v>0</v>
      </c>
      <c r="F564" s="13">
        <v>21</v>
      </c>
      <c r="G564" s="13">
        <v>63</v>
      </c>
      <c r="H564" s="13">
        <v>84</v>
      </c>
      <c r="J564" t="str">
        <f t="shared" si="56"/>
        <v>Unique</v>
      </c>
      <c r="K564" t="str">
        <f t="shared" si="57"/>
        <v>Hot</v>
      </c>
      <c r="L564" t="str">
        <f t="shared" si="58"/>
        <v>Low</v>
      </c>
      <c r="M564" t="str">
        <f t="shared" si="59"/>
        <v>Medium Wind</v>
      </c>
      <c r="N564" t="str">
        <f t="shared" si="60"/>
        <v>Low</v>
      </c>
      <c r="O564" t="str">
        <f t="shared" si="61"/>
        <v>Low</v>
      </c>
      <c r="P564" t="str">
        <f t="shared" si="62"/>
        <v>Low Demand</v>
      </c>
    </row>
    <row r="565" spans="1:16" ht="13.8">
      <c r="A565" s="13">
        <v>563</v>
      </c>
      <c r="B565" s="13">
        <v>564</v>
      </c>
      <c r="C565" s="13">
        <v>0.34849999999999998</v>
      </c>
      <c r="D565" s="13">
        <v>0.42</v>
      </c>
      <c r="E565" s="13">
        <v>0</v>
      </c>
      <c r="F565" s="13">
        <v>14</v>
      </c>
      <c r="G565" s="13">
        <v>102</v>
      </c>
      <c r="H565" s="13">
        <v>116</v>
      </c>
      <c r="J565" t="str">
        <f t="shared" si="56"/>
        <v>Unique</v>
      </c>
      <c r="K565" t="str">
        <f t="shared" si="57"/>
        <v>Hot</v>
      </c>
      <c r="L565" t="str">
        <f t="shared" si="58"/>
        <v>Low</v>
      </c>
      <c r="M565" t="str">
        <f t="shared" si="59"/>
        <v>Medium Wind</v>
      </c>
      <c r="N565" t="str">
        <f t="shared" si="60"/>
        <v>Low</v>
      </c>
      <c r="O565" t="str">
        <f t="shared" si="61"/>
        <v>Low</v>
      </c>
      <c r="P565" t="str">
        <f t="shared" si="62"/>
        <v>Medium Demand</v>
      </c>
    </row>
    <row r="566" spans="1:16" ht="13.8">
      <c r="A566" s="13">
        <v>564</v>
      </c>
      <c r="B566" s="13">
        <v>565</v>
      </c>
      <c r="C566" s="13">
        <v>0.33329999999999999</v>
      </c>
      <c r="D566" s="13">
        <v>0.45</v>
      </c>
      <c r="E566" s="13">
        <v>0</v>
      </c>
      <c r="F566" s="13">
        <v>14</v>
      </c>
      <c r="G566" s="13">
        <v>208</v>
      </c>
      <c r="H566" s="13">
        <v>222</v>
      </c>
      <c r="J566" t="str">
        <f t="shared" si="56"/>
        <v>Unique</v>
      </c>
      <c r="K566" t="str">
        <f t="shared" si="57"/>
        <v>Hot</v>
      </c>
      <c r="L566" t="str">
        <f t="shared" si="58"/>
        <v>Low</v>
      </c>
      <c r="M566" t="str">
        <f t="shared" si="59"/>
        <v>Medium Wind</v>
      </c>
      <c r="N566" t="str">
        <f t="shared" si="60"/>
        <v>Low</v>
      </c>
      <c r="O566" t="str">
        <f t="shared" si="61"/>
        <v>Low</v>
      </c>
      <c r="P566" t="str">
        <f t="shared" si="62"/>
        <v>Medium Demand</v>
      </c>
    </row>
    <row r="567" spans="1:16" ht="13.8">
      <c r="A567" s="13">
        <v>565</v>
      </c>
      <c r="B567" s="13">
        <v>566</v>
      </c>
      <c r="C567" s="13">
        <v>0.31819999999999998</v>
      </c>
      <c r="D567" s="13">
        <v>0.49</v>
      </c>
      <c r="E567" s="13">
        <v>8.9599999999999999E-2</v>
      </c>
      <c r="F567" s="13">
        <v>7</v>
      </c>
      <c r="G567" s="13">
        <v>218</v>
      </c>
      <c r="H567" s="13">
        <v>225</v>
      </c>
      <c r="J567" t="str">
        <f t="shared" si="56"/>
        <v>Unique</v>
      </c>
      <c r="K567" t="str">
        <f t="shared" si="57"/>
        <v>Hot</v>
      </c>
      <c r="L567" t="str">
        <f t="shared" si="58"/>
        <v>Low</v>
      </c>
      <c r="M567" t="str">
        <f t="shared" si="59"/>
        <v>Medium Wind</v>
      </c>
      <c r="N567" t="str">
        <f t="shared" si="60"/>
        <v>Low</v>
      </c>
      <c r="O567" t="str">
        <f t="shared" si="61"/>
        <v>Low</v>
      </c>
      <c r="P567" t="str">
        <f t="shared" si="62"/>
        <v>Medium Demand</v>
      </c>
    </row>
    <row r="568" spans="1:16" ht="13.8">
      <c r="A568" s="13">
        <v>566</v>
      </c>
      <c r="B568" s="13">
        <v>567</v>
      </c>
      <c r="C568" s="13">
        <v>0.2576</v>
      </c>
      <c r="D568" s="13">
        <v>0.65</v>
      </c>
      <c r="E568" s="13">
        <v>0.16420000000000001</v>
      </c>
      <c r="F568" s="13">
        <v>13</v>
      </c>
      <c r="G568" s="13">
        <v>133</v>
      </c>
      <c r="H568" s="13">
        <v>146</v>
      </c>
      <c r="J568" t="str">
        <f t="shared" si="56"/>
        <v>Unique</v>
      </c>
      <c r="K568" t="str">
        <f t="shared" si="57"/>
        <v>Hot</v>
      </c>
      <c r="L568" t="str">
        <f t="shared" si="58"/>
        <v>Low</v>
      </c>
      <c r="M568" t="str">
        <f t="shared" si="59"/>
        <v>High Wind</v>
      </c>
      <c r="N568" t="str">
        <f t="shared" si="60"/>
        <v>Low</v>
      </c>
      <c r="O568" t="str">
        <f t="shared" si="61"/>
        <v>Low</v>
      </c>
      <c r="P568" t="str">
        <f t="shared" si="62"/>
        <v>Medium Demand</v>
      </c>
    </row>
    <row r="569" spans="1:16" ht="13.8">
      <c r="A569" s="13">
        <v>567</v>
      </c>
      <c r="B569" s="13">
        <v>568</v>
      </c>
      <c r="C569" s="13">
        <v>0.2273</v>
      </c>
      <c r="D569" s="13">
        <v>0.65</v>
      </c>
      <c r="E569" s="13">
        <v>0.19400000000000001</v>
      </c>
      <c r="F569" s="13">
        <v>16</v>
      </c>
      <c r="G569" s="13">
        <v>103</v>
      </c>
      <c r="H569" s="13">
        <v>119</v>
      </c>
      <c r="J569" t="str">
        <f t="shared" si="56"/>
        <v>Unique</v>
      </c>
      <c r="K569" t="str">
        <f t="shared" si="57"/>
        <v>Hot</v>
      </c>
      <c r="L569" t="str">
        <f t="shared" si="58"/>
        <v>Low</v>
      </c>
      <c r="M569" t="str">
        <f t="shared" si="59"/>
        <v>High Wind</v>
      </c>
      <c r="N569" t="str">
        <f t="shared" si="60"/>
        <v>Low</v>
      </c>
      <c r="O569" t="str">
        <f t="shared" si="61"/>
        <v>Low</v>
      </c>
      <c r="P569" t="str">
        <f t="shared" si="62"/>
        <v>Medium Demand</v>
      </c>
    </row>
    <row r="570" spans="1:16" ht="13.8">
      <c r="A570" s="13">
        <v>568</v>
      </c>
      <c r="B570" s="13">
        <v>569</v>
      </c>
      <c r="C570" s="13">
        <v>0.2273</v>
      </c>
      <c r="D570" s="13">
        <v>0.65</v>
      </c>
      <c r="E570" s="13">
        <v>0.19400000000000001</v>
      </c>
      <c r="F570" s="13">
        <v>5</v>
      </c>
      <c r="G570" s="13">
        <v>40</v>
      </c>
      <c r="H570" s="13">
        <v>45</v>
      </c>
      <c r="J570" t="str">
        <f t="shared" si="56"/>
        <v>Unique</v>
      </c>
      <c r="K570" t="str">
        <f t="shared" si="57"/>
        <v>Hot</v>
      </c>
      <c r="L570" t="str">
        <f t="shared" si="58"/>
        <v>Low</v>
      </c>
      <c r="M570" t="str">
        <f t="shared" si="59"/>
        <v>High Wind</v>
      </c>
      <c r="N570" t="str">
        <f t="shared" si="60"/>
        <v>Low</v>
      </c>
      <c r="O570" t="str">
        <f t="shared" si="61"/>
        <v>Low</v>
      </c>
      <c r="P570" t="str">
        <f t="shared" si="62"/>
        <v>Low Demand</v>
      </c>
    </row>
    <row r="571" spans="1:16" ht="13.8">
      <c r="A571" s="13">
        <v>569</v>
      </c>
      <c r="B571" s="13">
        <v>570</v>
      </c>
      <c r="C571" s="13">
        <v>0.2273</v>
      </c>
      <c r="D571" s="13">
        <v>0.64</v>
      </c>
      <c r="E571" s="13">
        <v>0.16420000000000001</v>
      </c>
      <c r="F571" s="13">
        <v>4</v>
      </c>
      <c r="G571" s="13">
        <v>49</v>
      </c>
      <c r="H571" s="13">
        <v>53</v>
      </c>
      <c r="J571" t="str">
        <f t="shared" si="56"/>
        <v>Unique</v>
      </c>
      <c r="K571" t="str">
        <f t="shared" si="57"/>
        <v>Hot</v>
      </c>
      <c r="L571" t="str">
        <f t="shared" si="58"/>
        <v>Low</v>
      </c>
      <c r="M571" t="str">
        <f t="shared" si="59"/>
        <v>High Wind</v>
      </c>
      <c r="N571" t="str">
        <f t="shared" si="60"/>
        <v>Low</v>
      </c>
      <c r="O571" t="str">
        <f t="shared" si="61"/>
        <v>Low</v>
      </c>
      <c r="P571" t="str">
        <f t="shared" si="62"/>
        <v>Low Demand</v>
      </c>
    </row>
    <row r="572" spans="1:16" ht="13.8">
      <c r="A572" s="13">
        <v>570</v>
      </c>
      <c r="B572" s="13">
        <v>571</v>
      </c>
      <c r="C572" s="13">
        <v>0.2273</v>
      </c>
      <c r="D572" s="13">
        <v>0.64</v>
      </c>
      <c r="E572" s="13">
        <v>0.16420000000000001</v>
      </c>
      <c r="F572" s="13">
        <v>3</v>
      </c>
      <c r="G572" s="13">
        <v>37</v>
      </c>
      <c r="H572" s="13">
        <v>40</v>
      </c>
      <c r="J572" t="str">
        <f t="shared" si="56"/>
        <v>Unique</v>
      </c>
      <c r="K572" t="str">
        <f t="shared" si="57"/>
        <v>Hot</v>
      </c>
      <c r="L572" t="str">
        <f t="shared" si="58"/>
        <v>Low</v>
      </c>
      <c r="M572" t="str">
        <f t="shared" si="59"/>
        <v>High Wind</v>
      </c>
      <c r="N572" t="str">
        <f t="shared" si="60"/>
        <v>Low</v>
      </c>
      <c r="O572" t="str">
        <f t="shared" si="61"/>
        <v>Low</v>
      </c>
      <c r="P572" t="str">
        <f t="shared" si="62"/>
        <v>Low Demand</v>
      </c>
    </row>
    <row r="573" spans="1:16" ht="13.8">
      <c r="A573" s="13">
        <v>571</v>
      </c>
      <c r="B573" s="13">
        <v>572</v>
      </c>
      <c r="C573" s="13">
        <v>0.2273</v>
      </c>
      <c r="D573" s="13">
        <v>0.69</v>
      </c>
      <c r="E573" s="13">
        <v>0.1343</v>
      </c>
      <c r="F573" s="13">
        <v>3</v>
      </c>
      <c r="G573" s="13">
        <v>14</v>
      </c>
      <c r="H573" s="13">
        <v>17</v>
      </c>
      <c r="J573" t="str">
        <f t="shared" si="56"/>
        <v>Unique</v>
      </c>
      <c r="K573" t="str">
        <f t="shared" si="57"/>
        <v>Hot</v>
      </c>
      <c r="L573" t="str">
        <f t="shared" si="58"/>
        <v>Low</v>
      </c>
      <c r="M573" t="str">
        <f t="shared" si="59"/>
        <v>High Wind</v>
      </c>
      <c r="N573" t="str">
        <f t="shared" si="60"/>
        <v>Low</v>
      </c>
      <c r="O573" t="str">
        <f t="shared" si="61"/>
        <v>Low</v>
      </c>
      <c r="P573" t="str">
        <f t="shared" si="62"/>
        <v>Low Demand</v>
      </c>
    </row>
    <row r="574" spans="1:16" ht="13.8">
      <c r="A574" s="13">
        <v>572</v>
      </c>
      <c r="B574" s="13">
        <v>573</v>
      </c>
      <c r="C574" s="13">
        <v>0.2424</v>
      </c>
      <c r="D574" s="13">
        <v>0.65</v>
      </c>
      <c r="E574" s="13">
        <v>0.1343</v>
      </c>
      <c r="F574" s="13">
        <v>0</v>
      </c>
      <c r="G574" s="13">
        <v>5</v>
      </c>
      <c r="H574" s="13">
        <v>5</v>
      </c>
      <c r="J574" t="str">
        <f t="shared" si="56"/>
        <v>Unique</v>
      </c>
      <c r="K574" t="str">
        <f t="shared" si="57"/>
        <v>Hot</v>
      </c>
      <c r="L574" t="str">
        <f t="shared" si="58"/>
        <v>Low</v>
      </c>
      <c r="M574" t="str">
        <f t="shared" si="59"/>
        <v>High Wind</v>
      </c>
      <c r="N574" t="str">
        <f t="shared" si="60"/>
        <v>Low</v>
      </c>
      <c r="O574" t="str">
        <f t="shared" si="61"/>
        <v>Low</v>
      </c>
      <c r="P574" t="str">
        <f t="shared" si="62"/>
        <v>Low Demand</v>
      </c>
    </row>
    <row r="575" spans="1:16" ht="13.8">
      <c r="A575" s="13">
        <v>573</v>
      </c>
      <c r="B575" s="13">
        <v>574</v>
      </c>
      <c r="C575" s="13">
        <v>0.2273</v>
      </c>
      <c r="D575" s="13">
        <v>0.69</v>
      </c>
      <c r="E575" s="13">
        <v>0.19400000000000001</v>
      </c>
      <c r="F575" s="13">
        <v>3</v>
      </c>
      <c r="G575" s="13">
        <v>7</v>
      </c>
      <c r="H575" s="13">
        <v>10</v>
      </c>
      <c r="J575" t="str">
        <f t="shared" si="56"/>
        <v>Unique</v>
      </c>
      <c r="K575" t="str">
        <f t="shared" si="57"/>
        <v>Hot</v>
      </c>
      <c r="L575" t="str">
        <f t="shared" si="58"/>
        <v>Low</v>
      </c>
      <c r="M575" t="str">
        <f t="shared" si="59"/>
        <v>High Wind</v>
      </c>
      <c r="N575" t="str">
        <f t="shared" si="60"/>
        <v>Low</v>
      </c>
      <c r="O575" t="str">
        <f t="shared" si="61"/>
        <v>Low</v>
      </c>
      <c r="P575" t="str">
        <f t="shared" si="62"/>
        <v>Low Demand</v>
      </c>
    </row>
    <row r="576" spans="1:16" ht="13.8">
      <c r="A576" s="13">
        <v>574</v>
      </c>
      <c r="B576" s="13">
        <v>575</v>
      </c>
      <c r="C576" s="13">
        <v>0.18179999999999999</v>
      </c>
      <c r="D576" s="13">
        <v>0.86</v>
      </c>
      <c r="E576" s="13">
        <v>0.28360000000000002</v>
      </c>
      <c r="F576" s="13">
        <v>0</v>
      </c>
      <c r="G576" s="13">
        <v>1</v>
      </c>
      <c r="H576" s="13">
        <v>1</v>
      </c>
      <c r="J576" t="str">
        <f t="shared" si="56"/>
        <v>Unique</v>
      </c>
      <c r="K576" t="str">
        <f t="shared" si="57"/>
        <v>Hot</v>
      </c>
      <c r="L576" t="str">
        <f t="shared" si="58"/>
        <v>Low</v>
      </c>
      <c r="M576" t="str">
        <f t="shared" si="59"/>
        <v>High Wind</v>
      </c>
      <c r="N576" t="str">
        <f t="shared" si="60"/>
        <v>Low</v>
      </c>
      <c r="O576" t="str">
        <f t="shared" si="61"/>
        <v>Low</v>
      </c>
      <c r="P576" t="str">
        <f t="shared" si="62"/>
        <v>Low Demand</v>
      </c>
    </row>
    <row r="577" spans="1:16" ht="13.8">
      <c r="A577" s="13">
        <v>575</v>
      </c>
      <c r="B577" s="13">
        <v>576</v>
      </c>
      <c r="C577" s="13">
        <v>0.18179999999999999</v>
      </c>
      <c r="D577" s="13">
        <v>0.86</v>
      </c>
      <c r="E577" s="13">
        <v>0.28360000000000002</v>
      </c>
      <c r="F577" s="13">
        <v>0</v>
      </c>
      <c r="G577" s="13">
        <v>8</v>
      </c>
      <c r="H577" s="13">
        <v>8</v>
      </c>
      <c r="J577" t="str">
        <f t="shared" si="56"/>
        <v>Unique</v>
      </c>
      <c r="K577" t="str">
        <f t="shared" si="57"/>
        <v>Hot</v>
      </c>
      <c r="L577" t="str">
        <f t="shared" si="58"/>
        <v>Low</v>
      </c>
      <c r="M577" t="str">
        <f t="shared" si="59"/>
        <v>High Wind</v>
      </c>
      <c r="N577" t="str">
        <f t="shared" si="60"/>
        <v>Low</v>
      </c>
      <c r="O577" t="str">
        <f t="shared" si="61"/>
        <v>Low</v>
      </c>
      <c r="P577" t="str">
        <f t="shared" si="62"/>
        <v>Low Demand</v>
      </c>
    </row>
    <row r="578" spans="1:16" ht="13.8">
      <c r="A578" s="13">
        <v>576</v>
      </c>
      <c r="B578" s="13">
        <v>577</v>
      </c>
      <c r="C578" s="13">
        <v>0.21210000000000001</v>
      </c>
      <c r="D578" s="13">
        <v>0.87</v>
      </c>
      <c r="E578" s="13">
        <v>0.29849999999999999</v>
      </c>
      <c r="F578" s="13">
        <v>1</v>
      </c>
      <c r="G578" s="13">
        <v>29</v>
      </c>
      <c r="H578" s="13">
        <v>30</v>
      </c>
      <c r="J578" t="str">
        <f t="shared" si="56"/>
        <v>Unique</v>
      </c>
      <c r="K578" t="str">
        <f t="shared" si="57"/>
        <v>Hot</v>
      </c>
      <c r="L578" t="str">
        <f t="shared" si="58"/>
        <v>Low</v>
      </c>
      <c r="M578" t="str">
        <f t="shared" si="59"/>
        <v>High Wind</v>
      </c>
      <c r="N578" t="str">
        <f t="shared" si="60"/>
        <v>Low</v>
      </c>
      <c r="O578" t="str">
        <f t="shared" si="61"/>
        <v>Low</v>
      </c>
      <c r="P578" t="str">
        <f t="shared" si="62"/>
        <v>Low Demand</v>
      </c>
    </row>
    <row r="579" spans="1:16" ht="13.8">
      <c r="A579" s="13">
        <v>577</v>
      </c>
      <c r="B579" s="13">
        <v>578</v>
      </c>
      <c r="C579" s="13">
        <v>0.21210000000000001</v>
      </c>
      <c r="D579" s="13">
        <v>0.87</v>
      </c>
      <c r="E579" s="13">
        <v>0.29849999999999999</v>
      </c>
      <c r="F579" s="13">
        <v>3</v>
      </c>
      <c r="G579" s="13">
        <v>69</v>
      </c>
      <c r="H579" s="13">
        <v>72</v>
      </c>
      <c r="J579" t="str">
        <f t="shared" ref="J579:J609" si="63">IF(COUNTIF(A:A,A579)&gt;1,"Duplicate","Unique")</f>
        <v>Unique</v>
      </c>
      <c r="K579" t="str">
        <f t="shared" ref="K579:K611" si="64">IF(B579&lt;0.3,"Cold",IF(B579&lt;0.6,"Normal","Hot"))</f>
        <v>Hot</v>
      </c>
      <c r="L579" t="str">
        <f t="shared" ref="L579:L611" si="65">IF(C579&lt;0.4,"Low",IF(C579&lt;0.7,"Medium","High"))</f>
        <v>Low</v>
      </c>
      <c r="M579" t="str">
        <f t="shared" ref="M579:M611" si="66">IF(D579&lt;0.2,"Low Wind",IF(D579&lt;0.5,"Medium Wind","High Wind"))</f>
        <v>High Wind</v>
      </c>
      <c r="N579" t="str">
        <f t="shared" ref="N579:N611" si="67">IF(E579&lt;50,"Low",IF(E579&lt;150,"Medium","High"))</f>
        <v>Low</v>
      </c>
      <c r="O579" t="str">
        <f t="shared" ref="O579:O611" si="68">IF(F579&lt;100,"Low",IF(F579&lt;300,"Medium","High"))</f>
        <v>Low</v>
      </c>
      <c r="P579" t="str">
        <f t="shared" ref="P579:P611" si="69">IF(G579&lt;100,"Low Demand",IF(G579&lt;300,"Medium Demand","High Demand"))</f>
        <v>Low Demand</v>
      </c>
    </row>
    <row r="580" spans="1:16" ht="13.8">
      <c r="A580" s="13">
        <v>578</v>
      </c>
      <c r="B580" s="13">
        <v>579</v>
      </c>
      <c r="C580" s="13">
        <v>0.21210000000000001</v>
      </c>
      <c r="D580" s="13">
        <v>0.87</v>
      </c>
      <c r="E580" s="13">
        <v>0.29849999999999999</v>
      </c>
      <c r="F580" s="13">
        <v>3</v>
      </c>
      <c r="G580" s="13">
        <v>55</v>
      </c>
      <c r="H580" s="13">
        <v>58</v>
      </c>
      <c r="J580" t="str">
        <f t="shared" si="63"/>
        <v>Unique</v>
      </c>
      <c r="K580" t="str">
        <f t="shared" si="64"/>
        <v>Hot</v>
      </c>
      <c r="L580" t="str">
        <f t="shared" si="65"/>
        <v>Low</v>
      </c>
      <c r="M580" t="str">
        <f t="shared" si="66"/>
        <v>High Wind</v>
      </c>
      <c r="N580" t="str">
        <f t="shared" si="67"/>
        <v>Low</v>
      </c>
      <c r="O580" t="str">
        <f t="shared" si="68"/>
        <v>Low</v>
      </c>
      <c r="P580" t="str">
        <f t="shared" si="69"/>
        <v>Low Demand</v>
      </c>
    </row>
    <row r="581" spans="1:16" ht="13.8">
      <c r="A581" s="13">
        <v>579</v>
      </c>
      <c r="B581" s="13">
        <v>580</v>
      </c>
      <c r="C581" s="13">
        <v>0.21210000000000001</v>
      </c>
      <c r="D581" s="13">
        <v>0.93</v>
      </c>
      <c r="E581" s="13">
        <v>0.28360000000000002</v>
      </c>
      <c r="F581" s="13">
        <v>2</v>
      </c>
      <c r="G581" s="13">
        <v>26</v>
      </c>
      <c r="H581" s="13">
        <v>28</v>
      </c>
      <c r="J581" t="str">
        <f t="shared" si="63"/>
        <v>Unique</v>
      </c>
      <c r="K581" t="str">
        <f t="shared" si="64"/>
        <v>Hot</v>
      </c>
      <c r="L581" t="str">
        <f t="shared" si="65"/>
        <v>Low</v>
      </c>
      <c r="M581" t="str">
        <f t="shared" si="66"/>
        <v>High Wind</v>
      </c>
      <c r="N581" t="str">
        <f t="shared" si="67"/>
        <v>Low</v>
      </c>
      <c r="O581" t="str">
        <f t="shared" si="68"/>
        <v>Low</v>
      </c>
      <c r="P581" t="str">
        <f t="shared" si="69"/>
        <v>Low Demand</v>
      </c>
    </row>
    <row r="582" spans="1:16" ht="13.8">
      <c r="A582" s="13">
        <v>580</v>
      </c>
      <c r="B582" s="13">
        <v>581</v>
      </c>
      <c r="C582" s="13">
        <v>0.19700000000000001</v>
      </c>
      <c r="D582" s="13">
        <v>0.93</v>
      </c>
      <c r="E582" s="13">
        <v>0.32840000000000003</v>
      </c>
      <c r="F582" s="13">
        <v>6</v>
      </c>
      <c r="G582" s="13">
        <v>35</v>
      </c>
      <c r="H582" s="13">
        <v>41</v>
      </c>
      <c r="J582" t="str">
        <f t="shared" si="63"/>
        <v>Unique</v>
      </c>
      <c r="K582" t="str">
        <f t="shared" si="64"/>
        <v>Hot</v>
      </c>
      <c r="L582" t="str">
        <f t="shared" si="65"/>
        <v>Low</v>
      </c>
      <c r="M582" t="str">
        <f t="shared" si="66"/>
        <v>High Wind</v>
      </c>
      <c r="N582" t="str">
        <f t="shared" si="67"/>
        <v>Low</v>
      </c>
      <c r="O582" t="str">
        <f t="shared" si="68"/>
        <v>Low</v>
      </c>
      <c r="P582" t="str">
        <f t="shared" si="69"/>
        <v>Low Demand</v>
      </c>
    </row>
    <row r="583" spans="1:16" ht="13.8">
      <c r="A583" s="13">
        <v>581</v>
      </c>
      <c r="B583" s="13">
        <v>582</v>
      </c>
      <c r="C583" s="13">
        <v>0.19700000000000001</v>
      </c>
      <c r="D583" s="13">
        <v>0.93</v>
      </c>
      <c r="E583" s="13">
        <v>0.32840000000000003</v>
      </c>
      <c r="F583" s="13">
        <v>7</v>
      </c>
      <c r="G583" s="13">
        <v>41</v>
      </c>
      <c r="H583" s="13">
        <v>48</v>
      </c>
      <c r="J583" t="str">
        <f t="shared" si="63"/>
        <v>Unique</v>
      </c>
      <c r="K583" t="str">
        <f t="shared" si="64"/>
        <v>Hot</v>
      </c>
      <c r="L583" t="str">
        <f t="shared" si="65"/>
        <v>Low</v>
      </c>
      <c r="M583" t="str">
        <f t="shared" si="66"/>
        <v>High Wind</v>
      </c>
      <c r="N583" t="str">
        <f t="shared" si="67"/>
        <v>Low</v>
      </c>
      <c r="O583" t="str">
        <f t="shared" si="68"/>
        <v>Low</v>
      </c>
      <c r="P583" t="str">
        <f t="shared" si="69"/>
        <v>Low Demand</v>
      </c>
    </row>
    <row r="584" spans="1:16" ht="13.8">
      <c r="A584" s="13">
        <v>582</v>
      </c>
      <c r="B584" s="13">
        <v>583</v>
      </c>
      <c r="C584" s="13">
        <v>0.19700000000000001</v>
      </c>
      <c r="D584" s="13">
        <v>0.93</v>
      </c>
      <c r="E584" s="13">
        <v>0.32840000000000003</v>
      </c>
      <c r="F584" s="13">
        <v>4</v>
      </c>
      <c r="G584" s="13">
        <v>43</v>
      </c>
      <c r="H584" s="13">
        <v>47</v>
      </c>
      <c r="J584" t="str">
        <f t="shared" si="63"/>
        <v>Unique</v>
      </c>
      <c r="K584" t="str">
        <f t="shared" si="64"/>
        <v>Hot</v>
      </c>
      <c r="L584" t="str">
        <f t="shared" si="65"/>
        <v>Low</v>
      </c>
      <c r="M584" t="str">
        <f t="shared" si="66"/>
        <v>High Wind</v>
      </c>
      <c r="N584" t="str">
        <f t="shared" si="67"/>
        <v>Low</v>
      </c>
      <c r="O584" t="str">
        <f t="shared" si="68"/>
        <v>Low</v>
      </c>
      <c r="P584" t="str">
        <f t="shared" si="69"/>
        <v>Low Demand</v>
      </c>
    </row>
    <row r="585" spans="1:16" ht="13.8">
      <c r="A585" s="13">
        <v>583</v>
      </c>
      <c r="B585" s="13">
        <v>584</v>
      </c>
      <c r="C585" s="13">
        <v>0.19700000000000001</v>
      </c>
      <c r="D585" s="13">
        <v>0.93</v>
      </c>
      <c r="E585" s="13">
        <v>0.35820000000000002</v>
      </c>
      <c r="F585" s="13">
        <v>0</v>
      </c>
      <c r="G585" s="13">
        <v>36</v>
      </c>
      <c r="H585" s="13">
        <v>36</v>
      </c>
      <c r="J585" t="str">
        <f t="shared" si="63"/>
        <v>Unique</v>
      </c>
      <c r="K585" t="str">
        <f t="shared" si="64"/>
        <v>Hot</v>
      </c>
      <c r="L585" t="str">
        <f t="shared" si="65"/>
        <v>Low</v>
      </c>
      <c r="M585" t="str">
        <f t="shared" si="66"/>
        <v>High Wind</v>
      </c>
      <c r="N585" t="str">
        <f t="shared" si="67"/>
        <v>Low</v>
      </c>
      <c r="O585" t="str">
        <f t="shared" si="68"/>
        <v>Low</v>
      </c>
      <c r="P585" t="str">
        <f t="shared" si="69"/>
        <v>Low Demand</v>
      </c>
    </row>
    <row r="586" spans="1:16" ht="13.8">
      <c r="A586" s="13">
        <v>584</v>
      </c>
      <c r="B586" s="13">
        <v>585</v>
      </c>
      <c r="C586" s="13">
        <v>0.18179999999999999</v>
      </c>
      <c r="D586" s="13">
        <v>0.93</v>
      </c>
      <c r="E586" s="13">
        <v>0.4627</v>
      </c>
      <c r="F586" s="13">
        <v>1</v>
      </c>
      <c r="G586" s="13">
        <v>42</v>
      </c>
      <c r="H586" s="13">
        <v>43</v>
      </c>
      <c r="J586" t="str">
        <f t="shared" si="63"/>
        <v>Unique</v>
      </c>
      <c r="K586" t="str">
        <f t="shared" si="64"/>
        <v>Hot</v>
      </c>
      <c r="L586" t="str">
        <f t="shared" si="65"/>
        <v>Low</v>
      </c>
      <c r="M586" t="str">
        <f t="shared" si="66"/>
        <v>High Wind</v>
      </c>
      <c r="N586" t="str">
        <f t="shared" si="67"/>
        <v>Low</v>
      </c>
      <c r="O586" t="str">
        <f t="shared" si="68"/>
        <v>Low</v>
      </c>
      <c r="P586" t="str">
        <f t="shared" si="69"/>
        <v>Low Demand</v>
      </c>
    </row>
    <row r="587" spans="1:16" ht="13.8">
      <c r="A587" s="13">
        <v>585</v>
      </c>
      <c r="B587" s="13">
        <v>586</v>
      </c>
      <c r="C587" s="13">
        <v>0.19700000000000001</v>
      </c>
      <c r="D587" s="13">
        <v>0.93</v>
      </c>
      <c r="E587" s="13">
        <v>0.32840000000000003</v>
      </c>
      <c r="F587" s="13">
        <v>1</v>
      </c>
      <c r="G587" s="13">
        <v>35</v>
      </c>
      <c r="H587" s="13">
        <v>36</v>
      </c>
      <c r="J587" t="str">
        <f t="shared" si="63"/>
        <v>Unique</v>
      </c>
      <c r="K587" t="str">
        <f t="shared" si="64"/>
        <v>Hot</v>
      </c>
      <c r="L587" t="str">
        <f t="shared" si="65"/>
        <v>Low</v>
      </c>
      <c r="M587" t="str">
        <f t="shared" si="66"/>
        <v>High Wind</v>
      </c>
      <c r="N587" t="str">
        <f t="shared" si="67"/>
        <v>Low</v>
      </c>
      <c r="O587" t="str">
        <f t="shared" si="68"/>
        <v>Low</v>
      </c>
      <c r="P587" t="str">
        <f t="shared" si="69"/>
        <v>Low Demand</v>
      </c>
    </row>
    <row r="588" spans="1:16" ht="13.8">
      <c r="A588" s="13">
        <v>586</v>
      </c>
      <c r="B588" s="13">
        <v>587</v>
      </c>
      <c r="C588" s="13">
        <v>0.18179999999999999</v>
      </c>
      <c r="D588" s="13">
        <v>0.93</v>
      </c>
      <c r="E588" s="13">
        <v>0.35820000000000002</v>
      </c>
      <c r="F588" s="13">
        <v>0</v>
      </c>
      <c r="G588" s="13">
        <v>26</v>
      </c>
      <c r="H588" s="13">
        <v>26</v>
      </c>
      <c r="J588" t="str">
        <f t="shared" si="63"/>
        <v>Unique</v>
      </c>
      <c r="K588" t="str">
        <f t="shared" si="64"/>
        <v>Hot</v>
      </c>
      <c r="L588" t="str">
        <f t="shared" si="65"/>
        <v>Low</v>
      </c>
      <c r="M588" t="str">
        <f t="shared" si="66"/>
        <v>High Wind</v>
      </c>
      <c r="N588" t="str">
        <f t="shared" si="67"/>
        <v>Low</v>
      </c>
      <c r="O588" t="str">
        <f t="shared" si="68"/>
        <v>Low</v>
      </c>
      <c r="P588" t="str">
        <f t="shared" si="69"/>
        <v>Low Demand</v>
      </c>
    </row>
    <row r="589" spans="1:16" ht="13.8">
      <c r="A589" s="13">
        <v>587</v>
      </c>
      <c r="B589" s="13">
        <v>588</v>
      </c>
      <c r="C589" s="13">
        <v>0.2273</v>
      </c>
      <c r="D589" s="13">
        <v>0.55000000000000004</v>
      </c>
      <c r="E589" s="13">
        <v>0.19400000000000001</v>
      </c>
      <c r="F589" s="13">
        <v>1</v>
      </c>
      <c r="G589" s="13">
        <v>23</v>
      </c>
      <c r="H589" s="13">
        <v>24</v>
      </c>
      <c r="J589" t="str">
        <f t="shared" si="63"/>
        <v>Unique</v>
      </c>
      <c r="K589" t="str">
        <f t="shared" si="64"/>
        <v>Hot</v>
      </c>
      <c r="L589" t="str">
        <f t="shared" si="65"/>
        <v>Low</v>
      </c>
      <c r="M589" t="str">
        <f t="shared" si="66"/>
        <v>High Wind</v>
      </c>
      <c r="N589" t="str">
        <f t="shared" si="67"/>
        <v>Low</v>
      </c>
      <c r="O589" t="str">
        <f t="shared" si="68"/>
        <v>Low</v>
      </c>
      <c r="P589" t="str">
        <f t="shared" si="69"/>
        <v>Low Demand</v>
      </c>
    </row>
    <row r="590" spans="1:16" ht="13.8">
      <c r="A590" s="13">
        <v>588</v>
      </c>
      <c r="B590" s="13">
        <v>589</v>
      </c>
      <c r="C590" s="13">
        <v>0.2424</v>
      </c>
      <c r="D590" s="13">
        <v>0.55000000000000004</v>
      </c>
      <c r="E590" s="13">
        <v>0.1045</v>
      </c>
      <c r="F590" s="13">
        <v>2</v>
      </c>
      <c r="G590" s="13">
        <v>82</v>
      </c>
      <c r="H590" s="13">
        <v>84</v>
      </c>
      <c r="J590" t="str">
        <f t="shared" si="63"/>
        <v>Unique</v>
      </c>
      <c r="K590" t="str">
        <f t="shared" si="64"/>
        <v>Hot</v>
      </c>
      <c r="L590" t="str">
        <f t="shared" si="65"/>
        <v>Low</v>
      </c>
      <c r="M590" t="str">
        <f t="shared" si="66"/>
        <v>High Wind</v>
      </c>
      <c r="N590" t="str">
        <f t="shared" si="67"/>
        <v>Low</v>
      </c>
      <c r="O590" t="str">
        <f t="shared" si="68"/>
        <v>Low</v>
      </c>
      <c r="P590" t="str">
        <f t="shared" si="69"/>
        <v>Low Demand</v>
      </c>
    </row>
    <row r="591" spans="1:16" ht="13.8">
      <c r="A591" s="13">
        <v>589</v>
      </c>
      <c r="B591" s="13">
        <v>590</v>
      </c>
      <c r="C591" s="13">
        <v>0.2273</v>
      </c>
      <c r="D591" s="13">
        <v>0.69</v>
      </c>
      <c r="E591" s="13">
        <v>8.9599999999999999E-2</v>
      </c>
      <c r="F591" s="13">
        <v>3</v>
      </c>
      <c r="G591" s="13">
        <v>101</v>
      </c>
      <c r="H591" s="13">
        <v>104</v>
      </c>
      <c r="J591" t="str">
        <f t="shared" si="63"/>
        <v>Unique</v>
      </c>
      <c r="K591" t="str">
        <f t="shared" si="64"/>
        <v>Hot</v>
      </c>
      <c r="L591" t="str">
        <f t="shared" si="65"/>
        <v>Low</v>
      </c>
      <c r="M591" t="str">
        <f t="shared" si="66"/>
        <v>High Wind</v>
      </c>
      <c r="N591" t="str">
        <f t="shared" si="67"/>
        <v>Low</v>
      </c>
      <c r="O591" t="str">
        <f t="shared" si="68"/>
        <v>Low</v>
      </c>
      <c r="P591" t="str">
        <f t="shared" si="69"/>
        <v>Medium Demand</v>
      </c>
    </row>
    <row r="592" spans="1:16" ht="13.8">
      <c r="A592" s="13">
        <v>590</v>
      </c>
      <c r="B592" s="13">
        <v>591</v>
      </c>
      <c r="C592" s="13">
        <v>0.2273</v>
      </c>
      <c r="D592" s="13">
        <v>0.69</v>
      </c>
      <c r="E592" s="13">
        <v>8.9599999999999999E-2</v>
      </c>
      <c r="F592" s="13">
        <v>3</v>
      </c>
      <c r="G592" s="13">
        <v>76</v>
      </c>
      <c r="H592" s="13">
        <v>79</v>
      </c>
      <c r="J592" t="str">
        <f t="shared" si="63"/>
        <v>Unique</v>
      </c>
      <c r="K592" t="str">
        <f t="shared" si="64"/>
        <v>Hot</v>
      </c>
      <c r="L592" t="str">
        <f t="shared" si="65"/>
        <v>Low</v>
      </c>
      <c r="M592" t="str">
        <f t="shared" si="66"/>
        <v>High Wind</v>
      </c>
      <c r="N592" t="str">
        <f t="shared" si="67"/>
        <v>Low</v>
      </c>
      <c r="O592" t="str">
        <f t="shared" si="68"/>
        <v>Low</v>
      </c>
      <c r="P592" t="str">
        <f t="shared" si="69"/>
        <v>Low Demand</v>
      </c>
    </row>
    <row r="593" spans="1:16" ht="13.8">
      <c r="A593" s="13">
        <v>591</v>
      </c>
      <c r="B593" s="13">
        <v>592</v>
      </c>
      <c r="C593" s="13">
        <v>0.21210000000000001</v>
      </c>
      <c r="D593" s="13">
        <v>0.74</v>
      </c>
      <c r="E593" s="13">
        <v>8.9599999999999999E-2</v>
      </c>
      <c r="F593" s="13">
        <v>4</v>
      </c>
      <c r="G593" s="13">
        <v>55</v>
      </c>
      <c r="H593" s="13">
        <v>59</v>
      </c>
      <c r="J593" t="str">
        <f t="shared" si="63"/>
        <v>Unique</v>
      </c>
      <c r="K593" t="str">
        <f t="shared" si="64"/>
        <v>Hot</v>
      </c>
      <c r="L593" t="str">
        <f t="shared" si="65"/>
        <v>Low</v>
      </c>
      <c r="M593" t="str">
        <f t="shared" si="66"/>
        <v>High Wind</v>
      </c>
      <c r="N593" t="str">
        <f t="shared" si="67"/>
        <v>Low</v>
      </c>
      <c r="O593" t="str">
        <f t="shared" si="68"/>
        <v>Low</v>
      </c>
      <c r="P593" t="str">
        <f t="shared" si="69"/>
        <v>Low Demand</v>
      </c>
    </row>
    <row r="594" spans="1:16" ht="13.8">
      <c r="A594" s="13">
        <v>592</v>
      </c>
      <c r="B594" s="13">
        <v>593</v>
      </c>
      <c r="C594" s="13">
        <v>0.21210000000000001</v>
      </c>
      <c r="D594" s="13">
        <v>0.74</v>
      </c>
      <c r="E594" s="13">
        <v>8.9599999999999999E-2</v>
      </c>
      <c r="F594" s="13">
        <v>2</v>
      </c>
      <c r="G594" s="13">
        <v>36</v>
      </c>
      <c r="H594" s="13">
        <v>38</v>
      </c>
      <c r="J594" t="str">
        <f t="shared" si="63"/>
        <v>Unique</v>
      </c>
      <c r="K594" t="str">
        <f t="shared" si="64"/>
        <v>Hot</v>
      </c>
      <c r="L594" t="str">
        <f t="shared" si="65"/>
        <v>Low</v>
      </c>
      <c r="M594" t="str">
        <f t="shared" si="66"/>
        <v>High Wind</v>
      </c>
      <c r="N594" t="str">
        <f t="shared" si="67"/>
        <v>Low</v>
      </c>
      <c r="O594" t="str">
        <f t="shared" si="68"/>
        <v>Low</v>
      </c>
      <c r="P594" t="str">
        <f t="shared" si="69"/>
        <v>Low Demand</v>
      </c>
    </row>
    <row r="595" spans="1:16" ht="13.8">
      <c r="A595" s="13">
        <v>593</v>
      </c>
      <c r="B595" s="13">
        <v>594</v>
      </c>
      <c r="C595" s="13">
        <v>0.21210000000000001</v>
      </c>
      <c r="D595" s="13">
        <v>0.74</v>
      </c>
      <c r="E595" s="13">
        <v>8.9599999999999999E-2</v>
      </c>
      <c r="F595" s="13">
        <v>0</v>
      </c>
      <c r="G595" s="13">
        <v>27</v>
      </c>
      <c r="H595" s="13">
        <v>27</v>
      </c>
      <c r="J595" t="str">
        <f t="shared" si="63"/>
        <v>Unique</v>
      </c>
      <c r="K595" t="str">
        <f t="shared" si="64"/>
        <v>Hot</v>
      </c>
      <c r="L595" t="str">
        <f t="shared" si="65"/>
        <v>Low</v>
      </c>
      <c r="M595" t="str">
        <f t="shared" si="66"/>
        <v>High Wind</v>
      </c>
      <c r="N595" t="str">
        <f t="shared" si="67"/>
        <v>Low</v>
      </c>
      <c r="O595" t="str">
        <f t="shared" si="68"/>
        <v>Low</v>
      </c>
      <c r="P595" t="str">
        <f t="shared" si="69"/>
        <v>Low Demand</v>
      </c>
    </row>
    <row r="596" spans="1:16" ht="13.8">
      <c r="A596" s="13">
        <v>594</v>
      </c>
      <c r="B596" s="13">
        <v>595</v>
      </c>
      <c r="C596" s="13">
        <v>0.19700000000000001</v>
      </c>
      <c r="D596" s="13">
        <v>0.8</v>
      </c>
      <c r="E596" s="13">
        <v>0.16420000000000001</v>
      </c>
      <c r="F596" s="13">
        <v>0</v>
      </c>
      <c r="G596" s="13">
        <v>16</v>
      </c>
      <c r="H596" s="13">
        <v>16</v>
      </c>
      <c r="J596" t="str">
        <f t="shared" si="63"/>
        <v>Unique</v>
      </c>
      <c r="K596" t="str">
        <f t="shared" si="64"/>
        <v>Hot</v>
      </c>
      <c r="L596" t="str">
        <f t="shared" si="65"/>
        <v>Low</v>
      </c>
      <c r="M596" t="str">
        <f t="shared" si="66"/>
        <v>High Wind</v>
      </c>
      <c r="N596" t="str">
        <f t="shared" si="67"/>
        <v>Low</v>
      </c>
      <c r="O596" t="str">
        <f t="shared" si="68"/>
        <v>Low</v>
      </c>
      <c r="P596" t="str">
        <f t="shared" si="69"/>
        <v>Low Demand</v>
      </c>
    </row>
    <row r="597" spans="1:16" ht="13.8">
      <c r="A597" s="13">
        <v>595</v>
      </c>
      <c r="B597" s="13">
        <v>596</v>
      </c>
      <c r="C597" s="13">
        <v>0.21210000000000001</v>
      </c>
      <c r="D597" s="13">
        <v>0.75</v>
      </c>
      <c r="E597" s="13">
        <v>0.1343</v>
      </c>
      <c r="F597" s="13">
        <v>0</v>
      </c>
      <c r="G597" s="13">
        <v>9</v>
      </c>
      <c r="H597" s="13">
        <v>9</v>
      </c>
      <c r="J597" t="str">
        <f t="shared" si="63"/>
        <v>Unique</v>
      </c>
      <c r="K597" t="str">
        <f t="shared" si="64"/>
        <v>Hot</v>
      </c>
      <c r="L597" t="str">
        <f t="shared" si="65"/>
        <v>Low</v>
      </c>
      <c r="M597" t="str">
        <f t="shared" si="66"/>
        <v>High Wind</v>
      </c>
      <c r="N597" t="str">
        <f t="shared" si="67"/>
        <v>Low</v>
      </c>
      <c r="O597" t="str">
        <f t="shared" si="68"/>
        <v>Low</v>
      </c>
      <c r="P597" t="str">
        <f t="shared" si="69"/>
        <v>Low Demand</v>
      </c>
    </row>
    <row r="598" spans="1:16" ht="13.8">
      <c r="A598" s="13">
        <v>596</v>
      </c>
      <c r="B598" s="13">
        <v>597</v>
      </c>
      <c r="C598" s="13">
        <v>0.21210000000000001</v>
      </c>
      <c r="D598" s="13">
        <v>0.75</v>
      </c>
      <c r="E598" s="13">
        <v>0.1343</v>
      </c>
      <c r="F598" s="13">
        <v>1</v>
      </c>
      <c r="G598" s="13">
        <v>2</v>
      </c>
      <c r="H598" s="13">
        <v>3</v>
      </c>
      <c r="J598" t="str">
        <f t="shared" si="63"/>
        <v>Unique</v>
      </c>
      <c r="K598" t="str">
        <f t="shared" si="64"/>
        <v>Hot</v>
      </c>
      <c r="L598" t="str">
        <f t="shared" si="65"/>
        <v>Low</v>
      </c>
      <c r="M598" t="str">
        <f t="shared" si="66"/>
        <v>High Wind</v>
      </c>
      <c r="N598" t="str">
        <f t="shared" si="67"/>
        <v>Low</v>
      </c>
      <c r="O598" t="str">
        <f t="shared" si="68"/>
        <v>Low</v>
      </c>
      <c r="P598" t="str">
        <f t="shared" si="69"/>
        <v>Low Demand</v>
      </c>
    </row>
    <row r="599" spans="1:16" ht="13.8">
      <c r="A599" s="13">
        <v>597</v>
      </c>
      <c r="B599" s="13">
        <v>598</v>
      </c>
      <c r="C599" s="13">
        <v>0.21210000000000001</v>
      </c>
      <c r="D599" s="13">
        <v>0.75</v>
      </c>
      <c r="E599" s="13">
        <v>0.16420000000000001</v>
      </c>
      <c r="F599" s="13">
        <v>0</v>
      </c>
      <c r="G599" s="13">
        <v>2</v>
      </c>
      <c r="H599" s="13">
        <v>2</v>
      </c>
      <c r="J599" t="str">
        <f t="shared" si="63"/>
        <v>Unique</v>
      </c>
      <c r="K599" t="str">
        <f t="shared" si="64"/>
        <v>Hot</v>
      </c>
      <c r="L599" t="str">
        <f t="shared" si="65"/>
        <v>Low</v>
      </c>
      <c r="M599" t="str">
        <f t="shared" si="66"/>
        <v>High Wind</v>
      </c>
      <c r="N599" t="str">
        <f t="shared" si="67"/>
        <v>Low</v>
      </c>
      <c r="O599" t="str">
        <f t="shared" si="68"/>
        <v>Low</v>
      </c>
      <c r="P599" t="str">
        <f t="shared" si="69"/>
        <v>Low Demand</v>
      </c>
    </row>
    <row r="600" spans="1:16" ht="13.8">
      <c r="A600" s="13">
        <v>598</v>
      </c>
      <c r="B600" s="13">
        <v>599</v>
      </c>
      <c r="C600" s="13">
        <v>0.2273</v>
      </c>
      <c r="D600" s="13">
        <v>0.75</v>
      </c>
      <c r="E600" s="13">
        <v>0.1045</v>
      </c>
      <c r="F600" s="13">
        <v>1</v>
      </c>
      <c r="G600" s="13">
        <v>0</v>
      </c>
      <c r="H600" s="13">
        <v>1</v>
      </c>
      <c r="J600" t="str">
        <f t="shared" si="63"/>
        <v>Unique</v>
      </c>
      <c r="K600" t="str">
        <f t="shared" si="64"/>
        <v>Hot</v>
      </c>
      <c r="L600" t="str">
        <f t="shared" si="65"/>
        <v>Low</v>
      </c>
      <c r="M600" t="str">
        <f t="shared" si="66"/>
        <v>High Wind</v>
      </c>
      <c r="N600" t="str">
        <f t="shared" si="67"/>
        <v>Low</v>
      </c>
      <c r="O600" t="str">
        <f t="shared" si="68"/>
        <v>Low</v>
      </c>
      <c r="P600" t="str">
        <f t="shared" si="69"/>
        <v>Low Demand</v>
      </c>
    </row>
    <row r="601" spans="1:16" ht="13.8">
      <c r="A601" s="13">
        <v>599</v>
      </c>
      <c r="B601" s="13">
        <v>600</v>
      </c>
      <c r="C601" s="13">
        <v>0.21210000000000001</v>
      </c>
      <c r="D601" s="13">
        <v>0.8</v>
      </c>
      <c r="E601" s="13">
        <v>0.1045</v>
      </c>
      <c r="F601" s="13">
        <v>0</v>
      </c>
      <c r="G601" s="13">
        <v>4</v>
      </c>
      <c r="H601" s="13">
        <v>4</v>
      </c>
      <c r="J601" t="str">
        <f t="shared" si="63"/>
        <v>Unique</v>
      </c>
      <c r="K601" t="str">
        <f t="shared" si="64"/>
        <v>Hot</v>
      </c>
      <c r="L601" t="str">
        <f t="shared" si="65"/>
        <v>Low</v>
      </c>
      <c r="M601" t="str">
        <f t="shared" si="66"/>
        <v>High Wind</v>
      </c>
      <c r="N601" t="str">
        <f t="shared" si="67"/>
        <v>Low</v>
      </c>
      <c r="O601" t="str">
        <f t="shared" si="68"/>
        <v>Low</v>
      </c>
      <c r="P601" t="str">
        <f t="shared" si="69"/>
        <v>Low Demand</v>
      </c>
    </row>
    <row r="602" spans="1:16" ht="13.8">
      <c r="A602" s="13">
        <v>600</v>
      </c>
      <c r="B602" s="13">
        <v>601</v>
      </c>
      <c r="C602" s="13">
        <v>0.19700000000000001</v>
      </c>
      <c r="D602" s="13">
        <v>0.8</v>
      </c>
      <c r="E602" s="13">
        <v>0.1343</v>
      </c>
      <c r="F602" s="13">
        <v>0</v>
      </c>
      <c r="G602" s="13">
        <v>16</v>
      </c>
      <c r="H602" s="13">
        <v>16</v>
      </c>
      <c r="J602" t="str">
        <f t="shared" si="63"/>
        <v>Unique</v>
      </c>
      <c r="K602" t="str">
        <f t="shared" si="64"/>
        <v>Hot</v>
      </c>
      <c r="L602" t="str">
        <f t="shared" si="65"/>
        <v>Low</v>
      </c>
      <c r="M602" t="str">
        <f t="shared" si="66"/>
        <v>High Wind</v>
      </c>
      <c r="N602" t="str">
        <f t="shared" si="67"/>
        <v>Low</v>
      </c>
      <c r="O602" t="str">
        <f t="shared" si="68"/>
        <v>Low</v>
      </c>
      <c r="P602" t="str">
        <f t="shared" si="69"/>
        <v>Low Demand</v>
      </c>
    </row>
    <row r="603" spans="1:16" ht="13.8">
      <c r="A603" s="13">
        <v>601</v>
      </c>
      <c r="B603" s="13">
        <v>602</v>
      </c>
      <c r="C603" s="13">
        <v>0.19700000000000001</v>
      </c>
      <c r="D603" s="13">
        <v>0.86</v>
      </c>
      <c r="E603" s="13">
        <v>8.9599999999999999E-2</v>
      </c>
      <c r="F603" s="13">
        <v>2</v>
      </c>
      <c r="G603" s="13">
        <v>58</v>
      </c>
      <c r="H603" s="13">
        <v>60</v>
      </c>
      <c r="J603" t="str">
        <f t="shared" si="63"/>
        <v>Unique</v>
      </c>
      <c r="K603" t="str">
        <f t="shared" si="64"/>
        <v>Hot</v>
      </c>
      <c r="L603" t="str">
        <f t="shared" si="65"/>
        <v>Low</v>
      </c>
      <c r="M603" t="str">
        <f t="shared" si="66"/>
        <v>High Wind</v>
      </c>
      <c r="N603" t="str">
        <f t="shared" si="67"/>
        <v>Low</v>
      </c>
      <c r="O603" t="str">
        <f t="shared" si="68"/>
        <v>Low</v>
      </c>
      <c r="P603" t="str">
        <f t="shared" si="69"/>
        <v>Low Demand</v>
      </c>
    </row>
    <row r="604" spans="1:16" ht="13.8">
      <c r="A604" s="13">
        <v>602</v>
      </c>
      <c r="B604" s="13">
        <v>603</v>
      </c>
      <c r="C604" s="13">
        <v>0.19700000000000001</v>
      </c>
      <c r="D604" s="13">
        <v>0.86</v>
      </c>
      <c r="E604" s="13">
        <v>8.9599999999999999E-2</v>
      </c>
      <c r="F604" s="13">
        <v>2</v>
      </c>
      <c r="G604" s="13">
        <v>155</v>
      </c>
      <c r="H604" s="13">
        <v>157</v>
      </c>
      <c r="J604" t="str">
        <f t="shared" si="63"/>
        <v>Unique</v>
      </c>
      <c r="K604" t="str">
        <f t="shared" si="64"/>
        <v>Hot</v>
      </c>
      <c r="L604" t="str">
        <f t="shared" si="65"/>
        <v>Low</v>
      </c>
      <c r="M604" t="str">
        <f t="shared" si="66"/>
        <v>High Wind</v>
      </c>
      <c r="N604" t="str">
        <f t="shared" si="67"/>
        <v>Low</v>
      </c>
      <c r="O604" t="str">
        <f t="shared" si="68"/>
        <v>Low</v>
      </c>
      <c r="P604" t="str">
        <f t="shared" si="69"/>
        <v>Medium Demand</v>
      </c>
    </row>
    <row r="605" spans="1:16" ht="13.8">
      <c r="A605" s="13">
        <v>603</v>
      </c>
      <c r="B605" s="13">
        <v>604</v>
      </c>
      <c r="C605" s="13">
        <v>0.21210000000000001</v>
      </c>
      <c r="D605" s="13">
        <v>0.86</v>
      </c>
      <c r="E605" s="13">
        <v>8.9599999999999999E-2</v>
      </c>
      <c r="F605" s="13">
        <v>6</v>
      </c>
      <c r="G605" s="13">
        <v>95</v>
      </c>
      <c r="H605" s="13">
        <v>101</v>
      </c>
      <c r="J605" t="str">
        <f t="shared" si="63"/>
        <v>Unique</v>
      </c>
      <c r="K605" t="str">
        <f t="shared" si="64"/>
        <v>Hot</v>
      </c>
      <c r="L605" t="str">
        <f t="shared" si="65"/>
        <v>Low</v>
      </c>
      <c r="M605" t="str">
        <f t="shared" si="66"/>
        <v>High Wind</v>
      </c>
      <c r="N605" t="str">
        <f t="shared" si="67"/>
        <v>Low</v>
      </c>
      <c r="O605" t="str">
        <f t="shared" si="68"/>
        <v>Low</v>
      </c>
      <c r="P605" t="str">
        <f t="shared" si="69"/>
        <v>Low Demand</v>
      </c>
    </row>
    <row r="606" spans="1:16" ht="13.8">
      <c r="A606" s="13">
        <v>604</v>
      </c>
      <c r="B606" s="13">
        <v>605</v>
      </c>
      <c r="C606" s="13">
        <v>0.21210000000000001</v>
      </c>
      <c r="D606" s="13">
        <v>0.86</v>
      </c>
      <c r="E606" s="13">
        <v>0.1045</v>
      </c>
      <c r="F606" s="13">
        <v>0</v>
      </c>
      <c r="G606" s="13">
        <v>49</v>
      </c>
      <c r="H606" s="13">
        <v>49</v>
      </c>
      <c r="J606" t="str">
        <f t="shared" si="63"/>
        <v>Unique</v>
      </c>
      <c r="K606" t="str">
        <f t="shared" si="64"/>
        <v>Hot</v>
      </c>
      <c r="L606" t="str">
        <f t="shared" si="65"/>
        <v>Low</v>
      </c>
      <c r="M606" t="str">
        <f t="shared" si="66"/>
        <v>High Wind</v>
      </c>
      <c r="N606" t="str">
        <f t="shared" si="67"/>
        <v>Low</v>
      </c>
      <c r="O606" t="str">
        <f t="shared" si="68"/>
        <v>Low</v>
      </c>
      <c r="P606" t="str">
        <f t="shared" si="69"/>
        <v>Low Demand</v>
      </c>
    </row>
    <row r="607" spans="1:16" ht="13.8">
      <c r="A607" s="13">
        <v>605</v>
      </c>
      <c r="B607" s="13">
        <v>606</v>
      </c>
      <c r="C607" s="13">
        <v>0.21210000000000001</v>
      </c>
      <c r="D607" s="13">
        <v>0.93</v>
      </c>
      <c r="E607" s="13">
        <v>0.1045</v>
      </c>
      <c r="F607" s="13">
        <v>0</v>
      </c>
      <c r="G607" s="13">
        <v>30</v>
      </c>
      <c r="H607" s="13">
        <v>30</v>
      </c>
      <c r="J607" t="str">
        <f t="shared" si="63"/>
        <v>Unique</v>
      </c>
      <c r="K607" t="str">
        <f t="shared" si="64"/>
        <v>Hot</v>
      </c>
      <c r="L607" t="str">
        <f t="shared" si="65"/>
        <v>Low</v>
      </c>
      <c r="M607" t="str">
        <f t="shared" si="66"/>
        <v>High Wind</v>
      </c>
      <c r="N607" t="str">
        <f t="shared" si="67"/>
        <v>Low</v>
      </c>
      <c r="O607" t="str">
        <f t="shared" si="68"/>
        <v>Low</v>
      </c>
      <c r="P607" t="str">
        <f t="shared" si="69"/>
        <v>Low Demand</v>
      </c>
    </row>
    <row r="608" spans="1:16" ht="13.8">
      <c r="A608" s="13">
        <v>606</v>
      </c>
      <c r="B608" s="13">
        <v>607</v>
      </c>
      <c r="C608" s="13">
        <v>0.21210000000000001</v>
      </c>
      <c r="D608" s="13">
        <v>0.93</v>
      </c>
      <c r="E608" s="13">
        <v>0.1045</v>
      </c>
      <c r="F608" s="13">
        <v>1</v>
      </c>
      <c r="G608" s="13">
        <v>28</v>
      </c>
      <c r="H608" s="13">
        <v>29</v>
      </c>
      <c r="J608" t="str">
        <f t="shared" si="63"/>
        <v>Unique</v>
      </c>
      <c r="K608" t="str">
        <f t="shared" si="64"/>
        <v>Hot</v>
      </c>
      <c r="L608" t="str">
        <f t="shared" si="65"/>
        <v>Low</v>
      </c>
      <c r="M608" t="str">
        <f t="shared" si="66"/>
        <v>High Wind</v>
      </c>
      <c r="N608" t="str">
        <f t="shared" si="67"/>
        <v>Low</v>
      </c>
      <c r="O608" t="str">
        <f t="shared" si="68"/>
        <v>Low</v>
      </c>
      <c r="P608" t="str">
        <f t="shared" si="69"/>
        <v>Low Demand</v>
      </c>
    </row>
    <row r="609" spans="1:16" ht="13.8">
      <c r="A609" s="13">
        <v>607</v>
      </c>
      <c r="B609" s="13">
        <v>608</v>
      </c>
      <c r="C609" s="13">
        <v>0.21210000000000001</v>
      </c>
      <c r="D609" s="13">
        <v>0.93</v>
      </c>
      <c r="E609" s="13">
        <v>0.1045</v>
      </c>
      <c r="F609" s="13">
        <v>0</v>
      </c>
      <c r="G609" s="13">
        <v>31</v>
      </c>
      <c r="H609" s="13">
        <v>31</v>
      </c>
      <c r="J609" t="str">
        <f t="shared" si="63"/>
        <v>Unique</v>
      </c>
      <c r="K609" t="str">
        <f t="shared" si="64"/>
        <v>Hot</v>
      </c>
      <c r="L609" t="str">
        <f t="shared" si="65"/>
        <v>Low</v>
      </c>
      <c r="M609" t="str">
        <f t="shared" si="66"/>
        <v>High Wind</v>
      </c>
      <c r="N609" t="str">
        <f t="shared" si="67"/>
        <v>Low</v>
      </c>
      <c r="O609" t="str">
        <f t="shared" si="68"/>
        <v>Low</v>
      </c>
      <c r="P609" t="str">
        <f t="shared" si="69"/>
        <v>Low Demand</v>
      </c>
    </row>
    <row r="610" spans="1:16" ht="13.8">
      <c r="A610" s="13">
        <v>608</v>
      </c>
      <c r="B610" s="13">
        <v>609</v>
      </c>
      <c r="C610" s="13">
        <v>0.2727</v>
      </c>
      <c r="D610" s="13">
        <v>0.8</v>
      </c>
      <c r="E610" s="13">
        <v>0</v>
      </c>
      <c r="F610" s="13">
        <v>2</v>
      </c>
      <c r="G610" s="13">
        <v>36</v>
      </c>
      <c r="H610" s="13">
        <v>38</v>
      </c>
      <c r="J610" t="str">
        <f>IF(COUNTIF(A:A,A610)&gt;1,"Duplicate","Unique")</f>
        <v>Unique</v>
      </c>
      <c r="K610" t="str">
        <f t="shared" si="64"/>
        <v>Hot</v>
      </c>
      <c r="L610" t="str">
        <f t="shared" si="65"/>
        <v>Low</v>
      </c>
      <c r="M610" t="str">
        <f t="shared" si="66"/>
        <v>High Wind</v>
      </c>
      <c r="N610" t="str">
        <f t="shared" si="67"/>
        <v>Low</v>
      </c>
      <c r="O610" t="str">
        <f t="shared" si="68"/>
        <v>Low</v>
      </c>
      <c r="P610" t="str">
        <f t="shared" si="69"/>
        <v>Low Demand</v>
      </c>
    </row>
    <row r="611" spans="1:16" ht="13.8">
      <c r="A611" s="13">
        <v>609</v>
      </c>
      <c r="B611" s="13">
        <v>610</v>
      </c>
      <c r="C611" s="13">
        <v>0.2576</v>
      </c>
      <c r="D611" s="13">
        <v>0.86</v>
      </c>
      <c r="E611" s="13">
        <v>0</v>
      </c>
      <c r="F611" s="13">
        <v>1</v>
      </c>
      <c r="G611" s="13">
        <v>40</v>
      </c>
      <c r="H611" s="13">
        <v>41</v>
      </c>
      <c r="J611" t="str">
        <f t="shared" ref="J611" si="70">IF(COUNTIF(A:A,A611)&gt;1,"Duplicate","Unique")</f>
        <v>Unique</v>
      </c>
      <c r="K611" t="str">
        <f t="shared" si="64"/>
        <v>Hot</v>
      </c>
      <c r="L611" t="str">
        <f t="shared" si="65"/>
        <v>Low</v>
      </c>
      <c r="M611" t="str">
        <f t="shared" si="66"/>
        <v>High Wind</v>
      </c>
      <c r="N611" t="str">
        <f t="shared" si="67"/>
        <v>Low</v>
      </c>
      <c r="O611" t="str">
        <f t="shared" si="68"/>
        <v>Low</v>
      </c>
      <c r="P611" t="str">
        <f t="shared" si="69"/>
        <v>Low Demand</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30F72-0C6F-4F0E-B268-640D3B20F89A}">
  <dimension ref="A1:C47"/>
  <sheetViews>
    <sheetView topLeftCell="A10" workbookViewId="0">
      <selection activeCell="A21" sqref="A21"/>
    </sheetView>
  </sheetViews>
  <sheetFormatPr defaultRowHeight="13.2"/>
  <cols>
    <col min="1" max="1" width="67.109375" customWidth="1"/>
    <col min="2" max="2" width="59" customWidth="1"/>
    <col min="3" max="3" width="79.5546875" customWidth="1"/>
  </cols>
  <sheetData>
    <row r="1" spans="1:3">
      <c r="A1" s="6" t="s">
        <v>19</v>
      </c>
    </row>
    <row r="2" spans="1:3">
      <c r="A2" s="6"/>
    </row>
    <row r="3" spans="1:3">
      <c r="A3" s="6" t="s">
        <v>20</v>
      </c>
    </row>
    <row r="4" spans="1:3">
      <c r="A4" s="6" t="s">
        <v>21</v>
      </c>
    </row>
    <row r="5" spans="1:3">
      <c r="A5" s="6" t="s">
        <v>22</v>
      </c>
    </row>
    <row r="6" spans="1:3">
      <c r="A6" s="6" t="s">
        <v>23</v>
      </c>
    </row>
    <row r="7" spans="1:3">
      <c r="A7" s="6" t="s">
        <v>24</v>
      </c>
    </row>
    <row r="8" spans="1:3">
      <c r="A8" s="5" t="s">
        <v>25</v>
      </c>
    </row>
    <row r="9" spans="1:3">
      <c r="A9" s="7"/>
    </row>
    <row r="10" spans="1:3">
      <c r="A10" s="4"/>
    </row>
    <row r="11" spans="1:3">
      <c r="A11" s="4"/>
    </row>
    <row r="12" spans="1:3">
      <c r="A12" s="4"/>
    </row>
    <row r="13" spans="1:3">
      <c r="A13" s="4"/>
    </row>
    <row r="14" spans="1:3" ht="22.8">
      <c r="A14" s="8" t="s">
        <v>26</v>
      </c>
      <c r="B14" s="8" t="s">
        <v>31</v>
      </c>
      <c r="C14" s="8" t="s">
        <v>58</v>
      </c>
    </row>
    <row r="16" spans="1:3">
      <c r="A16" s="7" t="s">
        <v>27</v>
      </c>
      <c r="B16" s="7" t="s">
        <v>32</v>
      </c>
      <c r="C16" s="7" t="s">
        <v>35</v>
      </c>
    </row>
    <row r="18" spans="1:3">
      <c r="A18" s="7" t="s">
        <v>30</v>
      </c>
      <c r="B18" s="7" t="s">
        <v>34</v>
      </c>
      <c r="C18" s="7" t="s">
        <v>37</v>
      </c>
    </row>
    <row r="19" spans="1:3">
      <c r="A19" s="9"/>
      <c r="B19" s="9"/>
      <c r="C19" s="9"/>
    </row>
    <row r="20" spans="1:3">
      <c r="A20" s="10"/>
      <c r="B20" s="10"/>
      <c r="C20" s="10"/>
    </row>
    <row r="21" spans="1:3" ht="22.8">
      <c r="A21" s="8" t="s">
        <v>38</v>
      </c>
    </row>
    <row r="22" spans="1:3">
      <c r="A22" s="7" t="s">
        <v>28</v>
      </c>
      <c r="B22" s="7" t="s">
        <v>28</v>
      </c>
      <c r="C22" s="7" t="s">
        <v>28</v>
      </c>
    </row>
    <row r="23" spans="1:3">
      <c r="A23" s="7" t="s">
        <v>29</v>
      </c>
      <c r="B23" s="7" t="s">
        <v>33</v>
      </c>
      <c r="C23" s="7" t="s">
        <v>36</v>
      </c>
    </row>
    <row r="26" spans="1:3" ht="22.8">
      <c r="B26" s="11" t="s">
        <v>42</v>
      </c>
      <c r="C26" s="8" t="s">
        <v>46</v>
      </c>
    </row>
    <row r="28" spans="1:3">
      <c r="A28" s="7" t="s">
        <v>39</v>
      </c>
      <c r="B28" s="7" t="s">
        <v>43</v>
      </c>
      <c r="C28" s="7" t="s">
        <v>47</v>
      </c>
    </row>
    <row r="30" spans="1:3">
      <c r="A30" s="7" t="s">
        <v>41</v>
      </c>
      <c r="B30" s="7"/>
      <c r="C30" s="7" t="s">
        <v>49</v>
      </c>
    </row>
    <row r="31" spans="1:3" ht="13.8">
      <c r="A31" s="9"/>
      <c r="B31" s="12" t="s">
        <v>45</v>
      </c>
      <c r="C31" s="9"/>
    </row>
    <row r="32" spans="1:3">
      <c r="A32" s="10"/>
      <c r="B32" s="10"/>
      <c r="C32" s="10"/>
    </row>
    <row r="34" spans="1:3">
      <c r="A34" s="7" t="s">
        <v>28</v>
      </c>
      <c r="B34" s="7" t="s">
        <v>28</v>
      </c>
      <c r="C34" s="7" t="s">
        <v>28</v>
      </c>
    </row>
    <row r="35" spans="1:3">
      <c r="A35" s="7" t="s">
        <v>40</v>
      </c>
      <c r="B35" s="7" t="s">
        <v>44</v>
      </c>
      <c r="C35" s="7" t="s">
        <v>48</v>
      </c>
    </row>
    <row r="38" spans="1:3" ht="22.8">
      <c r="A38" s="8" t="s">
        <v>50</v>
      </c>
      <c r="B38" s="8" t="s">
        <v>54</v>
      </c>
    </row>
    <row r="40" spans="1:3">
      <c r="A40" s="7" t="s">
        <v>51</v>
      </c>
      <c r="B40" s="7" t="s">
        <v>55</v>
      </c>
    </row>
    <row r="42" spans="1:3">
      <c r="A42" s="7" t="s">
        <v>53</v>
      </c>
      <c r="B42" s="7" t="s">
        <v>57</v>
      </c>
    </row>
    <row r="43" spans="1:3">
      <c r="A43" s="9"/>
      <c r="B43" s="9"/>
    </row>
    <row r="44" spans="1:3">
      <c r="A44" s="10"/>
      <c r="B44" s="10"/>
    </row>
    <row r="46" spans="1:3">
      <c r="A46" s="7" t="s">
        <v>28</v>
      </c>
      <c r="B46" s="7" t="s">
        <v>28</v>
      </c>
    </row>
    <row r="47" spans="1:3">
      <c r="A47" s="7" t="s">
        <v>52</v>
      </c>
      <c r="B47" s="7" t="s">
        <v>56</v>
      </c>
    </row>
  </sheetData>
  <sortState xmlns:xlrd2="http://schemas.microsoft.com/office/spreadsheetml/2017/richdata2" ref="A30:B30">
    <sortCondition sortBy="cellColor" ref="B30"/>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74776-9DD4-4AD8-9944-068E977575C3}">
  <dimension ref="A1:A18"/>
  <sheetViews>
    <sheetView workbookViewId="0">
      <selection activeCell="C15" sqref="C15"/>
    </sheetView>
  </sheetViews>
  <sheetFormatPr defaultRowHeight="13.2"/>
  <cols>
    <col min="1" max="1" width="78.77734375" customWidth="1"/>
  </cols>
  <sheetData>
    <row r="1" spans="1:1" ht="21">
      <c r="A1" s="16" t="s">
        <v>71</v>
      </c>
    </row>
    <row r="2" spans="1:1" ht="17.399999999999999">
      <c r="A2" s="17" t="s">
        <v>72</v>
      </c>
    </row>
    <row r="4" spans="1:1" ht="27.6">
      <c r="A4" s="18" t="s">
        <v>73</v>
      </c>
    </row>
    <row r="6" spans="1:1" ht="27.6">
      <c r="A6" s="18" t="s">
        <v>74</v>
      </c>
    </row>
    <row r="8" spans="1:1" ht="27.6">
      <c r="A8" s="18" t="s">
        <v>75</v>
      </c>
    </row>
    <row r="10" spans="1:1" ht="41.4">
      <c r="A10" s="18" t="s">
        <v>76</v>
      </c>
    </row>
    <row r="12" spans="1:1" ht="27.6">
      <c r="A12" s="18" t="s">
        <v>77</v>
      </c>
    </row>
    <row r="14" spans="1:1" ht="27.6">
      <c r="A14" s="18" t="s">
        <v>78</v>
      </c>
    </row>
    <row r="16" spans="1:1" ht="27.6">
      <c r="A16" s="18" t="s">
        <v>79</v>
      </c>
    </row>
    <row r="18" spans="1:1" ht="13.8">
      <c r="A18" s="15" t="s">
        <v>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091B2-4C89-416F-A54F-4EFA482CA233}">
  <dimension ref="A1:V623"/>
  <sheetViews>
    <sheetView topLeftCell="A584" zoomScale="103" workbookViewId="0">
      <selection sqref="A1:P611"/>
    </sheetView>
  </sheetViews>
  <sheetFormatPr defaultRowHeight="13.2"/>
  <cols>
    <col min="2" max="2" width="10.33203125" bestFit="1" customWidth="1"/>
    <col min="7" max="7" width="10.33203125" customWidth="1"/>
    <col min="8" max="8" width="10.5546875" customWidth="1"/>
    <col min="9" max="9" width="10.6640625" customWidth="1"/>
    <col min="10" max="10" width="10.44140625" customWidth="1"/>
    <col min="11" max="11" width="11.44140625" customWidth="1"/>
    <col min="12" max="12" width="9.77734375" customWidth="1"/>
    <col min="13" max="13" width="16.33203125" customWidth="1"/>
    <col min="14" max="14" width="13.77734375" customWidth="1"/>
    <col min="15" max="15" width="16.109375" customWidth="1"/>
    <col min="16" max="16" width="10.21875" customWidth="1"/>
  </cols>
  <sheetData>
    <row r="1" spans="1:20">
      <c r="A1" s="1" t="s">
        <v>0</v>
      </c>
      <c r="B1" s="1" t="s">
        <v>1</v>
      </c>
      <c r="C1" s="1" t="s">
        <v>2</v>
      </c>
      <c r="D1" s="1" t="s">
        <v>3</v>
      </c>
      <c r="E1" s="1" t="s">
        <v>4</v>
      </c>
      <c r="F1" s="1" t="s">
        <v>5</v>
      </c>
      <c r="G1" s="1" t="s">
        <v>6</v>
      </c>
      <c r="H1" s="1" t="s">
        <v>7</v>
      </c>
      <c r="I1" s="1" t="s">
        <v>8</v>
      </c>
      <c r="J1" s="1" t="s">
        <v>9</v>
      </c>
      <c r="K1" s="28" t="s">
        <v>60</v>
      </c>
      <c r="L1" s="29" t="s">
        <v>61</v>
      </c>
      <c r="M1" s="29" t="s">
        <v>62</v>
      </c>
      <c r="N1" s="29" t="s">
        <v>63</v>
      </c>
      <c r="O1" s="29" t="s">
        <v>64</v>
      </c>
      <c r="P1" s="30" t="s">
        <v>65</v>
      </c>
    </row>
    <row r="2" spans="1:20">
      <c r="A2" s="1">
        <v>1</v>
      </c>
      <c r="B2" s="2">
        <v>40544</v>
      </c>
      <c r="C2" s="1">
        <v>1</v>
      </c>
      <c r="D2" s="1">
        <v>0</v>
      </c>
      <c r="E2" s="1">
        <v>1</v>
      </c>
      <c r="F2" s="1">
        <v>0</v>
      </c>
      <c r="G2" s="1" t="b">
        <v>0</v>
      </c>
      <c r="H2" s="1">
        <v>6</v>
      </c>
      <c r="I2" s="1">
        <v>1</v>
      </c>
      <c r="J2" s="1">
        <v>0.24</v>
      </c>
      <c r="K2" s="19">
        <v>0.28789999999999999</v>
      </c>
      <c r="L2" s="21">
        <v>0.81</v>
      </c>
      <c r="M2" s="21">
        <v>0</v>
      </c>
      <c r="N2" s="21">
        <v>3</v>
      </c>
      <c r="O2" s="21">
        <v>13</v>
      </c>
      <c r="P2" s="22">
        <v>16</v>
      </c>
    </row>
    <row r="3" spans="1:20">
      <c r="A3" s="1">
        <v>2</v>
      </c>
      <c r="B3" s="2">
        <v>40544</v>
      </c>
      <c r="C3" s="1">
        <v>1</v>
      </c>
      <c r="D3" s="1">
        <v>0</v>
      </c>
      <c r="E3" s="1">
        <v>1</v>
      </c>
      <c r="F3" s="1">
        <v>1</v>
      </c>
      <c r="G3" s="1" t="b">
        <v>0</v>
      </c>
      <c r="H3" s="1">
        <v>6</v>
      </c>
      <c r="I3" s="1">
        <v>1</v>
      </c>
      <c r="J3" s="1">
        <v>0.22</v>
      </c>
      <c r="K3" s="20">
        <v>0.2727</v>
      </c>
      <c r="L3" s="23">
        <v>0.8</v>
      </c>
      <c r="M3" s="23">
        <v>0</v>
      </c>
      <c r="N3" s="23">
        <v>8</v>
      </c>
      <c r="O3" s="23">
        <v>32</v>
      </c>
      <c r="P3" s="24">
        <v>40</v>
      </c>
    </row>
    <row r="4" spans="1:20">
      <c r="A4" s="1">
        <v>3</v>
      </c>
      <c r="B4" s="2">
        <v>40544</v>
      </c>
      <c r="C4" s="1">
        <v>1</v>
      </c>
      <c r="D4" s="1">
        <v>0</v>
      </c>
      <c r="E4" s="1">
        <v>1</v>
      </c>
      <c r="F4" s="1">
        <v>2</v>
      </c>
      <c r="G4" s="1" t="b">
        <v>0</v>
      </c>
      <c r="H4" s="1">
        <v>6</v>
      </c>
      <c r="I4" s="1">
        <v>1</v>
      </c>
      <c r="J4" s="1">
        <v>0.22</v>
      </c>
      <c r="K4" s="19">
        <v>0.2727</v>
      </c>
      <c r="L4" s="21">
        <v>0.8</v>
      </c>
      <c r="M4" s="21">
        <v>0</v>
      </c>
      <c r="N4" s="21">
        <v>5</v>
      </c>
      <c r="O4" s="21">
        <v>27</v>
      </c>
      <c r="P4" s="22">
        <v>32</v>
      </c>
      <c r="T4" s="31"/>
    </row>
    <row r="5" spans="1:20">
      <c r="A5" s="1">
        <v>4</v>
      </c>
      <c r="B5" s="2">
        <v>40544</v>
      </c>
      <c r="C5" s="1">
        <v>1</v>
      </c>
      <c r="D5" s="1">
        <v>0</v>
      </c>
      <c r="E5" s="1">
        <v>1</v>
      </c>
      <c r="F5" s="1">
        <v>3</v>
      </c>
      <c r="G5" s="1" t="b">
        <v>0</v>
      </c>
      <c r="H5" s="1">
        <v>6</v>
      </c>
      <c r="I5" s="1">
        <v>1</v>
      </c>
      <c r="J5" s="1">
        <v>0.24</v>
      </c>
      <c r="K5" s="20">
        <v>0.28789999999999999</v>
      </c>
      <c r="L5" s="23">
        <v>0.75</v>
      </c>
      <c r="M5" s="23">
        <v>0</v>
      </c>
      <c r="N5" s="23">
        <v>3</v>
      </c>
      <c r="O5" s="23">
        <v>10</v>
      </c>
      <c r="P5" s="24">
        <v>13</v>
      </c>
    </row>
    <row r="6" spans="1:20">
      <c r="A6" s="1">
        <v>5</v>
      </c>
      <c r="B6" s="2">
        <v>40544</v>
      </c>
      <c r="C6" s="1">
        <v>1</v>
      </c>
      <c r="D6" s="1">
        <v>0</v>
      </c>
      <c r="E6" s="1">
        <v>1</v>
      </c>
      <c r="F6" s="1">
        <v>4</v>
      </c>
      <c r="G6" s="1" t="b">
        <v>0</v>
      </c>
      <c r="H6" s="1">
        <v>6</v>
      </c>
      <c r="I6" s="1">
        <v>1</v>
      </c>
      <c r="J6" s="1">
        <v>0.24</v>
      </c>
      <c r="K6" s="19">
        <v>0.28789999999999999</v>
      </c>
      <c r="L6" s="21">
        <v>0.75</v>
      </c>
      <c r="M6" s="21">
        <v>0</v>
      </c>
      <c r="N6" s="21">
        <v>0</v>
      </c>
      <c r="O6" s="21">
        <v>1</v>
      </c>
      <c r="P6" s="22">
        <v>1</v>
      </c>
    </row>
    <row r="7" spans="1:20">
      <c r="A7" s="1">
        <v>6</v>
      </c>
      <c r="B7" s="2">
        <v>40544</v>
      </c>
      <c r="C7" s="1">
        <v>1</v>
      </c>
      <c r="D7" s="1">
        <v>0</v>
      </c>
      <c r="E7" s="1">
        <v>1</v>
      </c>
      <c r="F7" s="1">
        <v>5</v>
      </c>
      <c r="G7" s="1" t="b">
        <v>0</v>
      </c>
      <c r="H7" s="1">
        <v>6</v>
      </c>
      <c r="I7" s="1">
        <v>2</v>
      </c>
      <c r="J7" s="1">
        <v>0.24</v>
      </c>
      <c r="K7" s="20">
        <v>0.2576</v>
      </c>
      <c r="L7" s="23">
        <v>0.75</v>
      </c>
      <c r="M7" s="23">
        <v>8.9599999999999999E-2</v>
      </c>
      <c r="N7" s="23">
        <v>0</v>
      </c>
      <c r="O7" s="23">
        <v>1</v>
      </c>
      <c r="P7" s="24">
        <v>1</v>
      </c>
    </row>
    <row r="8" spans="1:20">
      <c r="A8" s="1">
        <v>7</v>
      </c>
      <c r="B8" s="2">
        <v>40544</v>
      </c>
      <c r="C8" s="1">
        <v>1</v>
      </c>
      <c r="D8" s="1">
        <v>0</v>
      </c>
      <c r="E8" s="1">
        <v>1</v>
      </c>
      <c r="F8" s="1">
        <v>6</v>
      </c>
      <c r="G8" s="1" t="b">
        <v>0</v>
      </c>
      <c r="H8" s="1">
        <v>6</v>
      </c>
      <c r="I8" s="1">
        <v>1</v>
      </c>
      <c r="J8" s="1">
        <v>0.22</v>
      </c>
      <c r="K8" s="19">
        <v>0.2727</v>
      </c>
      <c r="L8" s="21">
        <v>0.8</v>
      </c>
      <c r="M8" s="21">
        <v>0</v>
      </c>
      <c r="N8" s="21">
        <v>2</v>
      </c>
      <c r="O8" s="21">
        <v>0</v>
      </c>
      <c r="P8" s="22">
        <v>2</v>
      </c>
    </row>
    <row r="9" spans="1:20">
      <c r="A9" s="1">
        <v>8</v>
      </c>
      <c r="B9" s="2">
        <v>40544</v>
      </c>
      <c r="C9" s="1">
        <v>1</v>
      </c>
      <c r="D9" s="1">
        <v>0</v>
      </c>
      <c r="E9" s="1">
        <v>1</v>
      </c>
      <c r="F9" s="1">
        <v>7</v>
      </c>
      <c r="G9" s="1" t="b">
        <v>0</v>
      </c>
      <c r="H9" s="1">
        <v>6</v>
      </c>
      <c r="I9" s="1">
        <v>1</v>
      </c>
      <c r="J9" s="1">
        <v>0.2</v>
      </c>
      <c r="K9" s="20">
        <v>0.2576</v>
      </c>
      <c r="L9" s="23">
        <v>0.86</v>
      </c>
      <c r="M9" s="23">
        <v>0</v>
      </c>
      <c r="N9" s="23">
        <v>1</v>
      </c>
      <c r="O9" s="23">
        <v>2</v>
      </c>
      <c r="P9" s="24">
        <v>3</v>
      </c>
    </row>
    <row r="10" spans="1:20">
      <c r="A10" s="1">
        <v>9</v>
      </c>
      <c r="B10" s="2">
        <v>40544</v>
      </c>
      <c r="C10" s="1">
        <v>1</v>
      </c>
      <c r="D10" s="1">
        <v>0</v>
      </c>
      <c r="E10" s="1">
        <v>1</v>
      </c>
      <c r="F10" s="1">
        <v>8</v>
      </c>
      <c r="G10" s="1" t="b">
        <v>0</v>
      </c>
      <c r="H10" s="1">
        <v>6</v>
      </c>
      <c r="I10" s="1">
        <v>1</v>
      </c>
      <c r="J10" s="1">
        <v>0.24</v>
      </c>
      <c r="K10" s="19">
        <v>0</v>
      </c>
      <c r="L10" s="21">
        <v>0.75</v>
      </c>
      <c r="M10" s="21">
        <v>0</v>
      </c>
      <c r="N10" s="21">
        <v>1</v>
      </c>
      <c r="O10" s="21">
        <v>7</v>
      </c>
      <c r="P10" s="22">
        <v>8</v>
      </c>
    </row>
    <row r="11" spans="1:20">
      <c r="A11" s="1">
        <v>10</v>
      </c>
      <c r="B11" s="2">
        <v>40544</v>
      </c>
      <c r="C11" s="1">
        <v>1</v>
      </c>
      <c r="D11" s="1">
        <v>0</v>
      </c>
      <c r="E11" s="1">
        <v>1</v>
      </c>
      <c r="F11" s="1">
        <v>9</v>
      </c>
      <c r="G11" s="1" t="b">
        <v>0</v>
      </c>
      <c r="H11" s="1">
        <v>6</v>
      </c>
      <c r="I11" s="1">
        <v>1</v>
      </c>
      <c r="J11" s="1">
        <v>0.32</v>
      </c>
      <c r="K11" s="20">
        <v>0.34849999999999998</v>
      </c>
      <c r="L11" s="23">
        <v>0.76</v>
      </c>
      <c r="M11" s="23">
        <v>0</v>
      </c>
      <c r="N11" s="23">
        <v>8</v>
      </c>
      <c r="O11" s="23">
        <v>6</v>
      </c>
      <c r="P11" s="24">
        <v>14</v>
      </c>
    </row>
    <row r="12" spans="1:20">
      <c r="A12" s="1">
        <v>11</v>
      </c>
      <c r="B12" s="2">
        <v>40544</v>
      </c>
      <c r="C12" s="1">
        <v>1</v>
      </c>
      <c r="D12" s="1">
        <v>0</v>
      </c>
      <c r="E12" s="1">
        <v>1</v>
      </c>
      <c r="F12" s="1">
        <v>10</v>
      </c>
      <c r="G12" s="1" t="b">
        <v>0</v>
      </c>
      <c r="H12" s="1">
        <v>6</v>
      </c>
      <c r="I12" s="1">
        <v>1</v>
      </c>
      <c r="J12" s="1">
        <v>0.38</v>
      </c>
      <c r="K12" s="19">
        <v>0.39389999999999997</v>
      </c>
      <c r="L12" s="21">
        <v>0.76</v>
      </c>
      <c r="M12" s="21">
        <v>0.25369999999999998</v>
      </c>
      <c r="N12" s="21">
        <v>12</v>
      </c>
      <c r="O12" s="21">
        <v>24</v>
      </c>
      <c r="P12" s="22">
        <v>36</v>
      </c>
    </row>
    <row r="13" spans="1:20">
      <c r="A13" s="1">
        <v>12</v>
      </c>
      <c r="B13" s="2">
        <v>40544</v>
      </c>
      <c r="C13" s="1">
        <v>1</v>
      </c>
      <c r="D13" s="1">
        <v>0</v>
      </c>
      <c r="E13" s="1">
        <v>1</v>
      </c>
      <c r="F13" s="1">
        <v>11</v>
      </c>
      <c r="G13" s="1" t="b">
        <v>0</v>
      </c>
      <c r="H13" s="1">
        <v>6</v>
      </c>
      <c r="I13" s="1">
        <v>1</v>
      </c>
      <c r="J13" s="1">
        <v>0.36</v>
      </c>
      <c r="K13" s="20">
        <v>0.33329999999999999</v>
      </c>
      <c r="L13" s="23">
        <v>0.81</v>
      </c>
      <c r="M13" s="23">
        <v>0.28360000000000002</v>
      </c>
      <c r="N13" s="23">
        <v>26</v>
      </c>
      <c r="O13" s="23">
        <v>30</v>
      </c>
      <c r="P13" s="24">
        <v>56</v>
      </c>
    </row>
    <row r="14" spans="1:20">
      <c r="A14" s="1">
        <v>13</v>
      </c>
      <c r="B14" s="2">
        <v>40544</v>
      </c>
      <c r="C14" s="1">
        <v>1</v>
      </c>
      <c r="D14" s="1">
        <v>0</v>
      </c>
      <c r="E14" s="1">
        <v>1</v>
      </c>
      <c r="F14" s="1">
        <v>12</v>
      </c>
      <c r="G14" s="1" t="b">
        <v>0</v>
      </c>
      <c r="H14" s="1">
        <v>6</v>
      </c>
      <c r="I14" s="1">
        <v>1</v>
      </c>
      <c r="J14" s="1">
        <v>0.42</v>
      </c>
      <c r="K14" s="19">
        <v>0.42420000000000002</v>
      </c>
      <c r="L14" s="21">
        <v>0.77</v>
      </c>
      <c r="M14" s="21">
        <v>0.28360000000000002</v>
      </c>
      <c r="N14" s="21">
        <v>29</v>
      </c>
      <c r="O14" s="21">
        <v>55</v>
      </c>
      <c r="P14" s="22">
        <v>84</v>
      </c>
    </row>
    <row r="15" spans="1:20">
      <c r="A15" s="1">
        <v>14</v>
      </c>
      <c r="B15" s="2">
        <v>40544</v>
      </c>
      <c r="C15" s="1">
        <v>1</v>
      </c>
      <c r="D15" s="1">
        <v>0</v>
      </c>
      <c r="E15" s="1">
        <v>1</v>
      </c>
      <c r="F15" s="1">
        <v>13</v>
      </c>
      <c r="G15" s="1" t="b">
        <v>0</v>
      </c>
      <c r="H15" s="1">
        <v>6</v>
      </c>
      <c r="I15" s="1">
        <v>2</v>
      </c>
      <c r="J15" s="1">
        <v>0.46</v>
      </c>
      <c r="K15" s="20">
        <v>0.45450000000000002</v>
      </c>
      <c r="L15" s="23">
        <v>0.72</v>
      </c>
      <c r="M15" s="23">
        <v>0.29849999999999999</v>
      </c>
      <c r="N15" s="23">
        <v>47</v>
      </c>
      <c r="O15" s="23">
        <v>47</v>
      </c>
      <c r="P15" s="24">
        <v>94</v>
      </c>
    </row>
    <row r="16" spans="1:20">
      <c r="A16" s="1">
        <v>15</v>
      </c>
      <c r="B16" s="2">
        <v>40544</v>
      </c>
      <c r="C16" s="1">
        <v>1</v>
      </c>
      <c r="D16" s="1">
        <v>0</v>
      </c>
      <c r="E16" s="1">
        <v>1</v>
      </c>
      <c r="F16" s="1">
        <v>14</v>
      </c>
      <c r="G16" s="1" t="b">
        <v>0</v>
      </c>
      <c r="H16" s="1">
        <v>6</v>
      </c>
      <c r="I16" s="1">
        <v>2</v>
      </c>
      <c r="J16" s="1">
        <v>0.46</v>
      </c>
      <c r="K16" s="19">
        <v>0.45450000000000002</v>
      </c>
      <c r="L16" s="21">
        <v>0.72</v>
      </c>
      <c r="M16" s="21">
        <v>0.28360000000000002</v>
      </c>
      <c r="N16" s="21">
        <v>35</v>
      </c>
      <c r="O16" s="21">
        <v>71</v>
      </c>
      <c r="P16" s="22">
        <v>106</v>
      </c>
    </row>
    <row r="17" spans="1:16">
      <c r="A17" s="1">
        <v>16</v>
      </c>
      <c r="B17" s="2">
        <v>40544</v>
      </c>
      <c r="C17" s="1">
        <v>1</v>
      </c>
      <c r="D17" s="1">
        <v>0</v>
      </c>
      <c r="E17" s="1">
        <v>1</v>
      </c>
      <c r="F17" s="1">
        <v>15</v>
      </c>
      <c r="G17" s="1" t="b">
        <v>0</v>
      </c>
      <c r="H17" s="1">
        <v>6</v>
      </c>
      <c r="I17" s="1">
        <v>2</v>
      </c>
      <c r="J17" s="1">
        <v>0.44</v>
      </c>
      <c r="K17" s="20">
        <v>0.43940000000000001</v>
      </c>
      <c r="L17" s="23">
        <v>0.77</v>
      </c>
      <c r="M17" s="23">
        <v>0.29849999999999999</v>
      </c>
      <c r="N17" s="23">
        <v>40</v>
      </c>
      <c r="O17" s="23">
        <v>70</v>
      </c>
      <c r="P17" s="24">
        <v>110</v>
      </c>
    </row>
    <row r="18" spans="1:16">
      <c r="A18" s="1">
        <v>17</v>
      </c>
      <c r="B18" s="2">
        <v>40544</v>
      </c>
      <c r="C18" s="1">
        <v>1</v>
      </c>
      <c r="D18" s="1">
        <v>0</v>
      </c>
      <c r="E18" s="1">
        <v>1</v>
      </c>
      <c r="F18" s="1">
        <v>16</v>
      </c>
      <c r="G18" s="1" t="b">
        <v>0</v>
      </c>
      <c r="H18" s="1">
        <v>6</v>
      </c>
      <c r="I18" s="1">
        <v>2</v>
      </c>
      <c r="J18" s="1">
        <v>0.42</v>
      </c>
      <c r="K18" s="19">
        <v>0.42420000000000002</v>
      </c>
      <c r="L18" s="21">
        <v>0.82</v>
      </c>
      <c r="M18" s="21">
        <v>0.29849999999999999</v>
      </c>
      <c r="N18" s="21">
        <v>41</v>
      </c>
      <c r="O18" s="21">
        <v>52</v>
      </c>
      <c r="P18" s="22">
        <v>93</v>
      </c>
    </row>
    <row r="19" spans="1:16">
      <c r="A19" s="1">
        <v>18</v>
      </c>
      <c r="B19" s="2">
        <v>40544</v>
      </c>
      <c r="C19" s="1">
        <v>1</v>
      </c>
      <c r="D19" s="1">
        <v>0</v>
      </c>
      <c r="E19" s="1">
        <v>1</v>
      </c>
      <c r="F19" s="1">
        <v>17</v>
      </c>
      <c r="G19" s="1" t="b">
        <v>0</v>
      </c>
      <c r="H19" s="1">
        <v>6</v>
      </c>
      <c r="I19" s="1">
        <v>2</v>
      </c>
      <c r="J19" s="1">
        <v>0.44</v>
      </c>
      <c r="K19" s="20">
        <v>0</v>
      </c>
      <c r="L19" s="23">
        <v>0.82</v>
      </c>
      <c r="M19" s="23">
        <v>0.28360000000000002</v>
      </c>
      <c r="N19" s="23">
        <v>15</v>
      </c>
      <c r="O19" s="23">
        <v>52</v>
      </c>
      <c r="P19" s="24">
        <v>67</v>
      </c>
    </row>
    <row r="20" spans="1:16">
      <c r="A20" s="1">
        <v>19</v>
      </c>
      <c r="B20" s="2">
        <v>40544</v>
      </c>
      <c r="C20" s="1">
        <v>1</v>
      </c>
      <c r="D20" s="1">
        <v>0</v>
      </c>
      <c r="E20" s="1">
        <v>1</v>
      </c>
      <c r="F20" s="1">
        <v>18</v>
      </c>
      <c r="G20" s="1" t="b">
        <v>0</v>
      </c>
      <c r="H20" s="1">
        <v>6</v>
      </c>
      <c r="I20" s="1">
        <v>3</v>
      </c>
      <c r="J20" s="1">
        <v>0.42</v>
      </c>
      <c r="K20" s="19">
        <v>0.42420000000000002</v>
      </c>
      <c r="L20" s="21">
        <v>0.88</v>
      </c>
      <c r="M20" s="21">
        <v>0.25369999999999998</v>
      </c>
      <c r="N20" s="21">
        <v>9</v>
      </c>
      <c r="O20" s="21">
        <v>26</v>
      </c>
      <c r="P20" s="22">
        <v>35</v>
      </c>
    </row>
    <row r="21" spans="1:16">
      <c r="A21" s="1">
        <v>20</v>
      </c>
      <c r="B21" s="2">
        <v>40544</v>
      </c>
      <c r="C21" s="1">
        <v>1</v>
      </c>
      <c r="D21" s="1">
        <v>0</v>
      </c>
      <c r="E21" s="1">
        <v>1</v>
      </c>
      <c r="F21" s="1">
        <v>19</v>
      </c>
      <c r="G21" s="1" t="b">
        <v>0</v>
      </c>
      <c r="H21" s="1">
        <v>6</v>
      </c>
      <c r="I21" s="1">
        <v>3</v>
      </c>
      <c r="J21" s="1">
        <v>0.42</v>
      </c>
      <c r="K21" s="20">
        <v>0.42420000000000002</v>
      </c>
      <c r="L21" s="23">
        <v>0.88</v>
      </c>
      <c r="M21" s="23">
        <v>0.25369999999999998</v>
      </c>
      <c r="N21" s="23">
        <v>6</v>
      </c>
      <c r="O21" s="23">
        <v>31</v>
      </c>
      <c r="P21" s="24">
        <v>37</v>
      </c>
    </row>
    <row r="22" spans="1:16">
      <c r="A22" s="1">
        <v>21</v>
      </c>
      <c r="B22" s="2">
        <v>40544</v>
      </c>
      <c r="C22" s="1">
        <v>1</v>
      </c>
      <c r="D22" s="1">
        <v>0</v>
      </c>
      <c r="E22" s="1">
        <v>1</v>
      </c>
      <c r="F22" s="1">
        <v>20</v>
      </c>
      <c r="G22" s="1" t="b">
        <v>0</v>
      </c>
      <c r="H22" s="1">
        <v>6</v>
      </c>
      <c r="I22" s="1">
        <v>2</v>
      </c>
      <c r="J22" s="1">
        <v>0.4</v>
      </c>
      <c r="K22" s="19">
        <v>0.40910000000000002</v>
      </c>
      <c r="L22" s="21">
        <v>0.87</v>
      </c>
      <c r="M22" s="21">
        <v>0.25369999999999998</v>
      </c>
      <c r="N22" s="21">
        <v>11</v>
      </c>
      <c r="O22" s="21">
        <v>25</v>
      </c>
      <c r="P22" s="22">
        <v>36</v>
      </c>
    </row>
    <row r="23" spans="1:16">
      <c r="A23" s="1">
        <v>22</v>
      </c>
      <c r="B23" s="2">
        <v>40544</v>
      </c>
      <c r="C23" s="1">
        <v>1</v>
      </c>
      <c r="D23" s="1">
        <v>0</v>
      </c>
      <c r="E23" s="1">
        <v>1</v>
      </c>
      <c r="F23" s="1">
        <v>21</v>
      </c>
      <c r="G23" s="1" t="b">
        <v>0</v>
      </c>
      <c r="H23" s="1">
        <v>6</v>
      </c>
      <c r="I23" s="1">
        <v>2</v>
      </c>
      <c r="J23" s="1">
        <v>0.4</v>
      </c>
      <c r="K23" s="20">
        <v>0.40910000000000002</v>
      </c>
      <c r="L23" s="23">
        <v>0.87</v>
      </c>
      <c r="M23" s="23">
        <v>0.19400000000000001</v>
      </c>
      <c r="N23" s="23">
        <v>3</v>
      </c>
      <c r="O23" s="23">
        <v>31</v>
      </c>
      <c r="P23" s="24">
        <v>34</v>
      </c>
    </row>
    <row r="24" spans="1:16">
      <c r="A24" s="1">
        <v>23</v>
      </c>
      <c r="B24" s="2">
        <v>40544</v>
      </c>
      <c r="C24" s="1">
        <v>1</v>
      </c>
      <c r="D24" s="1">
        <v>0</v>
      </c>
      <c r="E24" s="1">
        <v>1</v>
      </c>
      <c r="F24" s="1">
        <v>22</v>
      </c>
      <c r="G24" s="1" t="b">
        <v>0</v>
      </c>
      <c r="H24" s="1">
        <v>6</v>
      </c>
      <c r="I24" s="1">
        <v>2</v>
      </c>
      <c r="J24" s="1">
        <v>0.4</v>
      </c>
      <c r="K24" s="19">
        <v>0.40910000000000002</v>
      </c>
      <c r="L24" s="21">
        <v>0.94</v>
      </c>
      <c r="M24" s="21">
        <v>0.22389999999999999</v>
      </c>
      <c r="N24" s="21">
        <v>11</v>
      </c>
      <c r="O24" s="21">
        <v>17</v>
      </c>
      <c r="P24" s="22">
        <v>28</v>
      </c>
    </row>
    <row r="25" spans="1:16">
      <c r="A25" s="1">
        <v>24</v>
      </c>
      <c r="B25" s="2">
        <v>40544</v>
      </c>
      <c r="C25" s="1">
        <v>1</v>
      </c>
      <c r="D25" s="1">
        <v>0</v>
      </c>
      <c r="E25" s="1">
        <v>1</v>
      </c>
      <c r="F25" s="1">
        <v>23</v>
      </c>
      <c r="G25" s="1" t="b">
        <v>0</v>
      </c>
      <c r="H25" s="1">
        <v>6</v>
      </c>
      <c r="I25" s="1">
        <v>2</v>
      </c>
      <c r="J25" s="1">
        <v>0.46</v>
      </c>
      <c r="K25" s="20">
        <v>0</v>
      </c>
      <c r="L25" s="23">
        <v>0.88</v>
      </c>
      <c r="M25" s="23">
        <v>0.29849999999999999</v>
      </c>
      <c r="N25" s="23">
        <v>15</v>
      </c>
      <c r="O25" s="23">
        <v>24</v>
      </c>
      <c r="P25" s="24">
        <v>39</v>
      </c>
    </row>
    <row r="26" spans="1:16">
      <c r="A26" s="1">
        <v>25</v>
      </c>
      <c r="B26" s="2">
        <v>40545</v>
      </c>
      <c r="C26" s="1">
        <v>1</v>
      </c>
      <c r="D26" s="1">
        <v>0</v>
      </c>
      <c r="E26" s="1">
        <v>1</v>
      </c>
      <c r="F26" s="1">
        <v>0</v>
      </c>
      <c r="G26" s="1" t="b">
        <v>0</v>
      </c>
      <c r="H26" s="1">
        <v>0</v>
      </c>
      <c r="I26" s="1">
        <v>2</v>
      </c>
      <c r="J26" s="1">
        <v>0.46</v>
      </c>
      <c r="K26" s="19">
        <v>0.45450000000000002</v>
      </c>
      <c r="L26" s="21">
        <v>0.88</v>
      </c>
      <c r="M26" s="21">
        <v>0.29849999999999999</v>
      </c>
      <c r="N26" s="21">
        <v>4</v>
      </c>
      <c r="O26" s="21">
        <v>13</v>
      </c>
      <c r="P26" s="22">
        <v>17</v>
      </c>
    </row>
    <row r="27" spans="1:16">
      <c r="A27" s="1">
        <v>26</v>
      </c>
      <c r="B27" s="2">
        <v>40545</v>
      </c>
      <c r="C27" s="1">
        <v>1</v>
      </c>
      <c r="D27" s="1">
        <v>0</v>
      </c>
      <c r="E27" s="1">
        <v>1</v>
      </c>
      <c r="F27" s="1">
        <v>1</v>
      </c>
      <c r="G27" s="1" t="b">
        <v>0</v>
      </c>
      <c r="H27" s="1">
        <v>0</v>
      </c>
      <c r="I27" s="1">
        <v>2</v>
      </c>
      <c r="J27" s="1">
        <v>0.44</v>
      </c>
      <c r="K27" s="20">
        <v>0.43940000000000001</v>
      </c>
      <c r="L27" s="23">
        <v>0.94</v>
      </c>
      <c r="M27" s="23">
        <v>0.25369999999999998</v>
      </c>
      <c r="N27" s="23">
        <v>1</v>
      </c>
      <c r="O27" s="23">
        <v>16</v>
      </c>
      <c r="P27" s="24">
        <v>17</v>
      </c>
    </row>
    <row r="28" spans="1:16">
      <c r="A28" s="1">
        <v>27</v>
      </c>
      <c r="B28" s="2">
        <v>40545</v>
      </c>
      <c r="C28" s="1">
        <v>1</v>
      </c>
      <c r="D28" s="1">
        <v>0</v>
      </c>
      <c r="E28" s="1">
        <v>1</v>
      </c>
      <c r="F28" s="1">
        <v>2</v>
      </c>
      <c r="G28" s="1" t="b">
        <v>0</v>
      </c>
      <c r="H28" s="1">
        <v>0</v>
      </c>
      <c r="I28" s="1">
        <v>2</v>
      </c>
      <c r="J28" s="1">
        <v>0.42</v>
      </c>
      <c r="K28" s="19">
        <v>0.42420000000000002</v>
      </c>
      <c r="L28" s="21">
        <v>1</v>
      </c>
      <c r="M28" s="21">
        <v>0.28360000000000002</v>
      </c>
      <c r="N28" s="21">
        <v>1</v>
      </c>
      <c r="O28" s="21">
        <v>8</v>
      </c>
      <c r="P28" s="22">
        <v>9</v>
      </c>
    </row>
    <row r="29" spans="1:16">
      <c r="A29" s="1">
        <v>28</v>
      </c>
      <c r="B29" s="2">
        <v>40545</v>
      </c>
      <c r="C29" s="1">
        <v>1</v>
      </c>
      <c r="D29" s="1">
        <v>0</v>
      </c>
      <c r="E29" s="1">
        <v>1</v>
      </c>
      <c r="F29" s="1">
        <v>3</v>
      </c>
      <c r="G29" s="1" t="b">
        <v>0</v>
      </c>
      <c r="H29" s="1">
        <v>0</v>
      </c>
      <c r="I29" s="1">
        <v>2</v>
      </c>
      <c r="J29" s="1">
        <v>0.46</v>
      </c>
      <c r="K29" s="20">
        <v>0.45450000000000002</v>
      </c>
      <c r="L29" s="23">
        <v>0.94</v>
      </c>
      <c r="M29" s="23">
        <v>0.19400000000000001</v>
      </c>
      <c r="N29" s="23">
        <v>2</v>
      </c>
      <c r="O29" s="23">
        <v>4</v>
      </c>
      <c r="P29" s="24">
        <v>6</v>
      </c>
    </row>
    <row r="30" spans="1:16">
      <c r="A30" s="1">
        <v>29</v>
      </c>
      <c r="B30" s="2">
        <v>40545</v>
      </c>
      <c r="C30" s="1">
        <v>1</v>
      </c>
      <c r="D30" s="1">
        <v>0</v>
      </c>
      <c r="E30" s="1">
        <v>1</v>
      </c>
      <c r="F30" s="1">
        <v>4</v>
      </c>
      <c r="G30" s="1" t="b">
        <v>0</v>
      </c>
      <c r="H30" s="1">
        <v>0</v>
      </c>
      <c r="I30" s="1">
        <v>2</v>
      </c>
      <c r="J30" s="1">
        <v>0.46</v>
      </c>
      <c r="K30" s="19">
        <v>0</v>
      </c>
      <c r="L30" s="21">
        <v>0.94</v>
      </c>
      <c r="M30" s="21">
        <v>0.19400000000000001</v>
      </c>
      <c r="N30" s="21">
        <v>2</v>
      </c>
      <c r="O30" s="21">
        <v>1</v>
      </c>
      <c r="P30" s="22">
        <v>3</v>
      </c>
    </row>
    <row r="31" spans="1:16">
      <c r="A31" s="1">
        <v>30</v>
      </c>
      <c r="B31" s="2">
        <v>40545</v>
      </c>
      <c r="C31" s="1">
        <v>1</v>
      </c>
      <c r="D31" s="1">
        <v>0</v>
      </c>
      <c r="E31" s="1">
        <v>1</v>
      </c>
      <c r="F31" s="1">
        <v>6</v>
      </c>
      <c r="G31" s="1" t="b">
        <v>0</v>
      </c>
      <c r="H31" s="1">
        <v>0</v>
      </c>
      <c r="I31" s="1">
        <v>3</v>
      </c>
      <c r="J31" s="1">
        <v>0.42</v>
      </c>
      <c r="K31" s="20">
        <v>0.42420000000000002</v>
      </c>
      <c r="L31" s="23">
        <v>0.77</v>
      </c>
      <c r="M31" s="23">
        <v>0.29849999999999999</v>
      </c>
      <c r="N31" s="23">
        <v>0</v>
      </c>
      <c r="O31" s="23">
        <v>2</v>
      </c>
      <c r="P31" s="24">
        <v>2</v>
      </c>
    </row>
    <row r="32" spans="1:16">
      <c r="A32" s="1">
        <v>31</v>
      </c>
      <c r="B32" s="2">
        <v>40545</v>
      </c>
      <c r="C32" s="1">
        <v>1</v>
      </c>
      <c r="D32" s="1">
        <v>0</v>
      </c>
      <c r="E32" s="1">
        <v>1</v>
      </c>
      <c r="F32" s="1">
        <v>7</v>
      </c>
      <c r="G32" s="1" t="b">
        <v>0</v>
      </c>
      <c r="H32" s="1">
        <v>0</v>
      </c>
      <c r="I32" s="1">
        <v>2</v>
      </c>
      <c r="J32" s="1">
        <v>0.4</v>
      </c>
      <c r="K32" s="19">
        <v>0.40910000000000002</v>
      </c>
      <c r="L32" s="21">
        <v>0.76</v>
      </c>
      <c r="M32" s="21">
        <v>0.19400000000000001</v>
      </c>
      <c r="N32" s="21">
        <v>0</v>
      </c>
      <c r="O32" s="21">
        <v>1</v>
      </c>
      <c r="P32" s="22">
        <v>1</v>
      </c>
    </row>
    <row r="33" spans="1:16">
      <c r="A33" s="1">
        <v>32</v>
      </c>
      <c r="B33" s="2">
        <v>40545</v>
      </c>
      <c r="C33" s="1">
        <v>1</v>
      </c>
      <c r="D33" s="1">
        <v>0</v>
      </c>
      <c r="E33" s="1">
        <v>1</v>
      </c>
      <c r="F33" s="1">
        <v>8</v>
      </c>
      <c r="G33" s="1" t="b">
        <v>0</v>
      </c>
      <c r="H33" s="1">
        <v>0</v>
      </c>
      <c r="I33" s="1">
        <v>3</v>
      </c>
      <c r="J33" s="1">
        <v>0.4</v>
      </c>
      <c r="K33" s="20">
        <v>0.40910000000000002</v>
      </c>
      <c r="L33" s="23">
        <v>0.71</v>
      </c>
      <c r="M33" s="23">
        <v>0.22389999999999999</v>
      </c>
      <c r="N33" s="23">
        <v>0</v>
      </c>
      <c r="O33" s="23">
        <v>8</v>
      </c>
      <c r="P33" s="24">
        <v>8</v>
      </c>
    </row>
    <row r="34" spans="1:16">
      <c r="A34" s="1">
        <v>33</v>
      </c>
      <c r="B34" s="2">
        <v>40545</v>
      </c>
      <c r="C34" s="1">
        <v>1</v>
      </c>
      <c r="D34" s="1">
        <v>0</v>
      </c>
      <c r="E34" s="1">
        <v>1</v>
      </c>
      <c r="F34" s="1">
        <v>9</v>
      </c>
      <c r="G34" s="1" t="b">
        <v>0</v>
      </c>
      <c r="H34" s="1">
        <v>0</v>
      </c>
      <c r="I34" s="1">
        <v>2</v>
      </c>
      <c r="J34" s="1">
        <v>0.38</v>
      </c>
      <c r="K34" s="19">
        <v>0</v>
      </c>
      <c r="L34" s="21">
        <v>0.76</v>
      </c>
      <c r="M34" s="21">
        <v>0.22389999999999999</v>
      </c>
      <c r="N34" s="21">
        <v>1</v>
      </c>
      <c r="O34" s="21">
        <v>19</v>
      </c>
      <c r="P34" s="22">
        <v>20</v>
      </c>
    </row>
    <row r="35" spans="1:16">
      <c r="A35" s="1">
        <v>34</v>
      </c>
      <c r="B35" s="2">
        <v>40545</v>
      </c>
      <c r="C35" s="1">
        <v>1</v>
      </c>
      <c r="D35" s="1">
        <v>0</v>
      </c>
      <c r="E35" s="1">
        <v>1</v>
      </c>
      <c r="F35" s="1">
        <v>10</v>
      </c>
      <c r="G35" s="1" t="b">
        <v>0</v>
      </c>
      <c r="H35" s="1">
        <v>0</v>
      </c>
      <c r="I35" s="1">
        <v>2</v>
      </c>
      <c r="J35" s="1">
        <v>0.36</v>
      </c>
      <c r="K35" s="20">
        <v>0.34849999999999998</v>
      </c>
      <c r="L35" s="23">
        <v>0.81</v>
      </c>
      <c r="M35" s="23">
        <v>0.22389999999999999</v>
      </c>
      <c r="N35" s="23">
        <v>7</v>
      </c>
      <c r="O35" s="23">
        <v>46</v>
      </c>
      <c r="P35" s="24">
        <v>53</v>
      </c>
    </row>
    <row r="36" spans="1:16">
      <c r="A36" s="1">
        <v>35</v>
      </c>
      <c r="B36" s="2">
        <v>40545</v>
      </c>
      <c r="C36" s="1">
        <v>1</v>
      </c>
      <c r="D36" s="1">
        <v>0</v>
      </c>
      <c r="E36" s="1">
        <v>1</v>
      </c>
      <c r="F36" s="1">
        <v>11</v>
      </c>
      <c r="G36" s="1" t="b">
        <v>0</v>
      </c>
      <c r="H36" s="1">
        <v>0</v>
      </c>
      <c r="I36" s="1">
        <v>2</v>
      </c>
      <c r="J36" s="1">
        <v>0.36</v>
      </c>
      <c r="K36" s="19">
        <v>0.33329999999999999</v>
      </c>
      <c r="L36" s="21">
        <v>0.71</v>
      </c>
      <c r="M36" s="21">
        <v>0.25369999999999998</v>
      </c>
      <c r="N36" s="21">
        <v>16</v>
      </c>
      <c r="O36" s="21">
        <v>54</v>
      </c>
      <c r="P36" s="22">
        <v>70</v>
      </c>
    </row>
    <row r="37" spans="1:16">
      <c r="A37" s="1">
        <v>36</v>
      </c>
      <c r="B37" s="2">
        <v>40545</v>
      </c>
      <c r="C37" s="1">
        <v>1</v>
      </c>
      <c r="D37" s="1">
        <v>0</v>
      </c>
      <c r="E37" s="1">
        <v>1</v>
      </c>
      <c r="F37" s="1">
        <v>12</v>
      </c>
      <c r="G37" s="1" t="b">
        <v>0</v>
      </c>
      <c r="H37" s="1">
        <v>0</v>
      </c>
      <c r="I37" s="1">
        <v>2</v>
      </c>
      <c r="J37" s="1">
        <v>0.36</v>
      </c>
      <c r="K37" s="20">
        <v>0.33329999999999999</v>
      </c>
      <c r="L37" s="23">
        <v>0.66</v>
      </c>
      <c r="M37" s="23">
        <v>0.29849999999999999</v>
      </c>
      <c r="N37" s="23">
        <v>20</v>
      </c>
      <c r="O37" s="23">
        <v>73</v>
      </c>
      <c r="P37" s="24">
        <v>93</v>
      </c>
    </row>
    <row r="38" spans="1:16">
      <c r="A38" s="1">
        <v>37</v>
      </c>
      <c r="B38" s="2">
        <v>40545</v>
      </c>
      <c r="C38" s="1">
        <v>1</v>
      </c>
      <c r="D38" s="1">
        <v>0</v>
      </c>
      <c r="E38" s="1">
        <v>1</v>
      </c>
      <c r="F38" s="1">
        <v>13</v>
      </c>
      <c r="G38" s="1" t="b">
        <v>0</v>
      </c>
      <c r="H38" s="1">
        <v>0</v>
      </c>
      <c r="I38" s="1">
        <v>2</v>
      </c>
      <c r="J38" s="1">
        <v>0.36</v>
      </c>
      <c r="K38" s="19">
        <v>0.34849999999999998</v>
      </c>
      <c r="L38" s="21">
        <v>0.66</v>
      </c>
      <c r="M38" s="21">
        <v>0.1343</v>
      </c>
      <c r="N38" s="21">
        <v>11</v>
      </c>
      <c r="O38" s="21">
        <v>64</v>
      </c>
      <c r="P38" s="22">
        <v>75</v>
      </c>
    </row>
    <row r="39" spans="1:16">
      <c r="A39" s="1">
        <v>38</v>
      </c>
      <c r="B39" s="2">
        <v>40545</v>
      </c>
      <c r="C39" s="1">
        <v>1</v>
      </c>
      <c r="D39" s="1">
        <v>0</v>
      </c>
      <c r="E39" s="1">
        <v>1</v>
      </c>
      <c r="F39" s="1">
        <v>14</v>
      </c>
      <c r="G39" s="1" t="b">
        <v>0</v>
      </c>
      <c r="H39" s="1">
        <v>0</v>
      </c>
      <c r="I39" s="1">
        <v>3</v>
      </c>
      <c r="J39" s="1">
        <v>0.36</v>
      </c>
      <c r="K39" s="20">
        <v>0</v>
      </c>
      <c r="L39" s="23">
        <v>0.76</v>
      </c>
      <c r="M39" s="23">
        <v>0.19400000000000001</v>
      </c>
      <c r="N39" s="23">
        <v>4</v>
      </c>
      <c r="O39" s="23">
        <v>55</v>
      </c>
      <c r="P39" s="24">
        <v>59</v>
      </c>
    </row>
    <row r="40" spans="1:16">
      <c r="A40" s="1">
        <v>39</v>
      </c>
      <c r="B40" s="2">
        <v>40545</v>
      </c>
      <c r="C40" s="1">
        <v>1</v>
      </c>
      <c r="D40" s="1">
        <v>0</v>
      </c>
      <c r="E40" s="1">
        <v>1</v>
      </c>
      <c r="F40" s="1">
        <v>15</v>
      </c>
      <c r="G40" s="1" t="b">
        <v>0</v>
      </c>
      <c r="H40" s="1">
        <v>0</v>
      </c>
      <c r="I40" s="1">
        <v>3</v>
      </c>
      <c r="J40" s="1">
        <v>0.34</v>
      </c>
      <c r="K40" s="19">
        <v>0.33329999999999999</v>
      </c>
      <c r="L40" s="21">
        <v>0.81</v>
      </c>
      <c r="M40" s="21">
        <v>0.16420000000000001</v>
      </c>
      <c r="N40" s="21">
        <v>19</v>
      </c>
      <c r="O40" s="21">
        <v>55</v>
      </c>
      <c r="P40" s="22">
        <v>74</v>
      </c>
    </row>
    <row r="41" spans="1:16">
      <c r="A41" s="1">
        <v>40</v>
      </c>
      <c r="B41" s="2">
        <v>40545</v>
      </c>
      <c r="C41" s="1">
        <v>1</v>
      </c>
      <c r="D41" s="1">
        <v>0</v>
      </c>
      <c r="E41" s="1">
        <v>1</v>
      </c>
      <c r="F41" s="1">
        <v>16</v>
      </c>
      <c r="G41" s="1" t="b">
        <v>0</v>
      </c>
      <c r="H41" s="1">
        <v>0</v>
      </c>
      <c r="I41" s="1">
        <v>3</v>
      </c>
      <c r="J41" s="1">
        <v>0.34</v>
      </c>
      <c r="K41" s="20">
        <v>0.33329999999999999</v>
      </c>
      <c r="L41" s="23">
        <v>0.71</v>
      </c>
      <c r="M41" s="23">
        <v>0.16420000000000001</v>
      </c>
      <c r="N41" s="23">
        <v>9</v>
      </c>
      <c r="O41" s="23">
        <v>67</v>
      </c>
      <c r="P41" s="24">
        <v>76</v>
      </c>
    </row>
    <row r="42" spans="1:16">
      <c r="A42" s="1">
        <v>41</v>
      </c>
      <c r="B42" s="2">
        <v>40545</v>
      </c>
      <c r="C42" s="1">
        <v>1</v>
      </c>
      <c r="D42" s="1">
        <v>0</v>
      </c>
      <c r="E42" s="1">
        <v>1</v>
      </c>
      <c r="F42" s="1">
        <v>17</v>
      </c>
      <c r="G42" s="1" t="b">
        <v>0</v>
      </c>
      <c r="H42" s="1">
        <v>0</v>
      </c>
      <c r="I42" s="1">
        <v>1</v>
      </c>
      <c r="J42" s="1">
        <v>0.34</v>
      </c>
      <c r="K42" s="19">
        <v>0.33329999999999999</v>
      </c>
      <c r="L42" s="21">
        <v>0.56999999999999995</v>
      </c>
      <c r="M42" s="21">
        <v>0.19400000000000001</v>
      </c>
      <c r="N42" s="21">
        <v>7</v>
      </c>
      <c r="O42" s="21">
        <v>58</v>
      </c>
      <c r="P42" s="22">
        <v>65</v>
      </c>
    </row>
    <row r="43" spans="1:16">
      <c r="A43" s="1">
        <v>42</v>
      </c>
      <c r="B43" s="2">
        <v>40545</v>
      </c>
      <c r="C43" s="1">
        <v>1</v>
      </c>
      <c r="D43" s="1">
        <v>0</v>
      </c>
      <c r="E43" s="1">
        <v>1</v>
      </c>
      <c r="F43" s="1">
        <v>18</v>
      </c>
      <c r="G43" s="1" t="b">
        <v>0</v>
      </c>
      <c r="H43" s="1">
        <v>0</v>
      </c>
      <c r="I43" s="1">
        <v>2</v>
      </c>
      <c r="J43" s="1">
        <v>0.36</v>
      </c>
      <c r="K43" s="20">
        <v>0.33329999999999999</v>
      </c>
      <c r="L43" s="23">
        <v>0.46</v>
      </c>
      <c r="M43" s="23">
        <v>0.32840000000000003</v>
      </c>
      <c r="N43" s="23">
        <v>10</v>
      </c>
      <c r="O43" s="23">
        <v>43</v>
      </c>
      <c r="P43" s="24">
        <v>53</v>
      </c>
    </row>
    <row r="44" spans="1:16">
      <c r="A44" s="1">
        <v>43</v>
      </c>
      <c r="B44" s="2">
        <v>40545</v>
      </c>
      <c r="C44" s="1">
        <v>1</v>
      </c>
      <c r="D44" s="1">
        <v>0</v>
      </c>
      <c r="E44" s="1">
        <v>1</v>
      </c>
      <c r="F44" s="1">
        <v>19</v>
      </c>
      <c r="G44" s="1" t="b">
        <v>0</v>
      </c>
      <c r="H44" s="1">
        <v>0</v>
      </c>
      <c r="I44" s="1">
        <v>1</v>
      </c>
      <c r="J44" s="1">
        <v>0.32</v>
      </c>
      <c r="K44" s="19">
        <v>0.28789999999999999</v>
      </c>
      <c r="L44" s="21">
        <v>0.42</v>
      </c>
      <c r="M44" s="21">
        <v>0.44779999999999998</v>
      </c>
      <c r="N44" s="21">
        <v>1</v>
      </c>
      <c r="O44" s="21">
        <v>29</v>
      </c>
      <c r="P44" s="22">
        <v>30</v>
      </c>
    </row>
    <row r="45" spans="1:16">
      <c r="A45" s="1">
        <v>44</v>
      </c>
      <c r="B45" s="2">
        <v>40545</v>
      </c>
      <c r="C45" s="1">
        <v>1</v>
      </c>
      <c r="D45" s="1">
        <v>0</v>
      </c>
      <c r="E45" s="1">
        <v>1</v>
      </c>
      <c r="F45" s="1">
        <v>20</v>
      </c>
      <c r="G45" s="1" t="b">
        <v>0</v>
      </c>
      <c r="H45" s="1">
        <v>0</v>
      </c>
      <c r="I45" s="1">
        <v>1</v>
      </c>
      <c r="J45" s="1">
        <v>0.3</v>
      </c>
      <c r="K45" s="20">
        <v>0</v>
      </c>
      <c r="L45" s="23">
        <v>0.39</v>
      </c>
      <c r="M45" s="23">
        <v>0.35820000000000002</v>
      </c>
      <c r="N45" s="23">
        <v>5</v>
      </c>
      <c r="O45" s="23">
        <v>17</v>
      </c>
      <c r="P45" s="24">
        <v>22</v>
      </c>
    </row>
    <row r="46" spans="1:16">
      <c r="A46" s="1">
        <v>45</v>
      </c>
      <c r="B46" s="2">
        <v>40545</v>
      </c>
      <c r="C46" s="1">
        <v>1</v>
      </c>
      <c r="D46" s="1">
        <v>0</v>
      </c>
      <c r="E46" s="1">
        <v>1</v>
      </c>
      <c r="F46" s="1">
        <v>21</v>
      </c>
      <c r="G46" s="1" t="b">
        <v>0</v>
      </c>
      <c r="H46" s="1">
        <v>0</v>
      </c>
      <c r="I46" s="1">
        <v>1</v>
      </c>
      <c r="J46" s="1">
        <v>0.26</v>
      </c>
      <c r="K46" s="19">
        <v>0.2273</v>
      </c>
      <c r="L46" s="21">
        <v>0.44</v>
      </c>
      <c r="M46" s="21">
        <v>0.32840000000000003</v>
      </c>
      <c r="N46" s="21">
        <v>11</v>
      </c>
      <c r="O46" s="21">
        <v>20</v>
      </c>
      <c r="P46" s="22">
        <v>31</v>
      </c>
    </row>
    <row r="47" spans="1:16">
      <c r="A47" s="1">
        <v>46</v>
      </c>
      <c r="B47" s="2">
        <v>40545</v>
      </c>
      <c r="C47" s="1">
        <v>1</v>
      </c>
      <c r="D47" s="1">
        <v>0</v>
      </c>
      <c r="E47" s="1">
        <v>1</v>
      </c>
      <c r="F47" s="1">
        <v>22</v>
      </c>
      <c r="G47" s="1" t="b">
        <v>0</v>
      </c>
      <c r="H47" s="1">
        <v>0</v>
      </c>
      <c r="I47" s="1">
        <v>1</v>
      </c>
      <c r="J47" s="1">
        <v>0.24</v>
      </c>
      <c r="K47" s="20">
        <v>0.21210000000000001</v>
      </c>
      <c r="L47" s="23">
        <v>0.44</v>
      </c>
      <c r="M47" s="23">
        <v>0.29849999999999999</v>
      </c>
      <c r="N47" s="23">
        <v>0</v>
      </c>
      <c r="O47" s="23">
        <v>9</v>
      </c>
      <c r="P47" s="24">
        <v>9</v>
      </c>
    </row>
    <row r="48" spans="1:16">
      <c r="A48" s="1">
        <v>47</v>
      </c>
      <c r="B48" s="2">
        <v>40545</v>
      </c>
      <c r="C48" s="1">
        <v>1</v>
      </c>
      <c r="D48" s="1">
        <v>0</v>
      </c>
      <c r="E48" s="1">
        <v>1</v>
      </c>
      <c r="F48" s="1">
        <v>23</v>
      </c>
      <c r="G48" s="1" t="b">
        <v>0</v>
      </c>
      <c r="H48" s="1">
        <v>0</v>
      </c>
      <c r="I48" s="1">
        <v>1</v>
      </c>
      <c r="J48" s="1">
        <v>0.22</v>
      </c>
      <c r="K48" s="19">
        <v>0.2273</v>
      </c>
      <c r="L48" s="21">
        <v>0.47</v>
      </c>
      <c r="M48" s="21">
        <v>0.16420000000000001</v>
      </c>
      <c r="N48" s="21">
        <v>0</v>
      </c>
      <c r="O48" s="21">
        <v>8</v>
      </c>
      <c r="P48" s="22">
        <v>8</v>
      </c>
    </row>
    <row r="49" spans="1:16">
      <c r="A49" s="1">
        <v>48</v>
      </c>
      <c r="B49" s="2">
        <v>40546</v>
      </c>
      <c r="C49" s="1">
        <v>1</v>
      </c>
      <c r="D49" s="1">
        <v>0</v>
      </c>
      <c r="E49" s="1">
        <v>1</v>
      </c>
      <c r="F49" s="1">
        <v>0</v>
      </c>
      <c r="G49" s="1" t="b">
        <v>0</v>
      </c>
      <c r="H49" s="1">
        <v>1</v>
      </c>
      <c r="I49" s="1">
        <v>1</v>
      </c>
      <c r="J49" s="1">
        <v>0.22</v>
      </c>
      <c r="K49" s="20">
        <v>0.19700000000000001</v>
      </c>
      <c r="L49" s="23">
        <v>0.44</v>
      </c>
      <c r="M49" s="23">
        <v>0.35820000000000002</v>
      </c>
      <c r="N49" s="23">
        <v>0</v>
      </c>
      <c r="O49" s="23">
        <v>5</v>
      </c>
      <c r="P49" s="24">
        <v>5</v>
      </c>
    </row>
    <row r="50" spans="1:16">
      <c r="A50" s="1">
        <v>49</v>
      </c>
      <c r="B50" s="2">
        <v>40546</v>
      </c>
      <c r="C50" s="1">
        <v>1</v>
      </c>
      <c r="D50" s="1">
        <v>0</v>
      </c>
      <c r="E50" s="1">
        <v>1</v>
      </c>
      <c r="F50" s="1">
        <v>1</v>
      </c>
      <c r="G50" s="1" t="b">
        <v>0</v>
      </c>
      <c r="H50" s="1">
        <v>1</v>
      </c>
      <c r="I50" s="1">
        <v>1</v>
      </c>
      <c r="J50" s="1">
        <v>0.2</v>
      </c>
      <c r="K50" s="19">
        <v>0</v>
      </c>
      <c r="L50" s="21">
        <v>0.44</v>
      </c>
      <c r="M50" s="21">
        <v>0.41789999999999999</v>
      </c>
      <c r="N50" s="21">
        <v>0</v>
      </c>
      <c r="O50" s="21">
        <v>2</v>
      </c>
      <c r="P50" s="22">
        <v>2</v>
      </c>
    </row>
    <row r="51" spans="1:16">
      <c r="A51" s="1">
        <v>50</v>
      </c>
      <c r="B51" s="2">
        <v>40546</v>
      </c>
      <c r="C51" s="1">
        <v>1</v>
      </c>
      <c r="D51" s="1">
        <v>0</v>
      </c>
      <c r="E51" s="1">
        <v>1</v>
      </c>
      <c r="F51" s="1">
        <v>4</v>
      </c>
      <c r="G51" s="1" t="b">
        <v>0</v>
      </c>
      <c r="H51" s="1">
        <v>1</v>
      </c>
      <c r="I51" s="1">
        <v>1</v>
      </c>
      <c r="J51" s="1">
        <v>0.16</v>
      </c>
      <c r="K51" s="20">
        <v>0.13639999999999999</v>
      </c>
      <c r="L51" s="23">
        <v>0.47</v>
      </c>
      <c r="M51" s="23">
        <v>0.3881</v>
      </c>
      <c r="N51" s="23">
        <v>0</v>
      </c>
      <c r="O51" s="23">
        <v>1</v>
      </c>
      <c r="P51" s="24">
        <v>1</v>
      </c>
    </row>
    <row r="52" spans="1:16">
      <c r="A52" s="1">
        <v>51</v>
      </c>
      <c r="B52" s="2">
        <v>40546</v>
      </c>
      <c r="C52" s="1">
        <v>1</v>
      </c>
      <c r="D52" s="1">
        <v>0</v>
      </c>
      <c r="E52" s="1">
        <v>1</v>
      </c>
      <c r="F52" s="1">
        <v>5</v>
      </c>
      <c r="G52" s="1" t="b">
        <v>0</v>
      </c>
      <c r="H52" s="1">
        <v>1</v>
      </c>
      <c r="I52" s="1">
        <v>1</v>
      </c>
      <c r="J52" s="1">
        <v>0.16</v>
      </c>
      <c r="K52" s="19">
        <v>0.13639999999999999</v>
      </c>
      <c r="L52" s="21">
        <v>0.47</v>
      </c>
      <c r="M52" s="21">
        <v>0.28360000000000002</v>
      </c>
      <c r="N52" s="21">
        <v>0</v>
      </c>
      <c r="O52" s="21">
        <v>3</v>
      </c>
      <c r="P52" s="22">
        <v>3</v>
      </c>
    </row>
    <row r="53" spans="1:16">
      <c r="A53" s="1">
        <v>52</v>
      </c>
      <c r="B53" s="2">
        <v>40546</v>
      </c>
      <c r="C53" s="1">
        <v>1</v>
      </c>
      <c r="D53" s="1">
        <v>0</v>
      </c>
      <c r="E53" s="1">
        <v>1</v>
      </c>
      <c r="F53" s="1">
        <v>6</v>
      </c>
      <c r="G53" s="1" t="b">
        <v>0</v>
      </c>
      <c r="H53" s="1">
        <v>1</v>
      </c>
      <c r="I53" s="1">
        <v>1</v>
      </c>
      <c r="J53" s="1">
        <v>0.14000000000000001</v>
      </c>
      <c r="K53" s="20">
        <v>0.1061</v>
      </c>
      <c r="L53" s="23">
        <v>0.5</v>
      </c>
      <c r="M53" s="23">
        <v>0.3881</v>
      </c>
      <c r="N53" s="23">
        <v>0</v>
      </c>
      <c r="O53" s="23">
        <v>30</v>
      </c>
      <c r="P53" s="24">
        <v>30</v>
      </c>
    </row>
    <row r="54" spans="1:16">
      <c r="A54" s="1">
        <v>53</v>
      </c>
      <c r="B54" s="2">
        <v>40546</v>
      </c>
      <c r="C54" s="1">
        <v>1</v>
      </c>
      <c r="D54" s="1">
        <v>0</v>
      </c>
      <c r="E54" s="1">
        <v>1</v>
      </c>
      <c r="F54" s="1">
        <v>7</v>
      </c>
      <c r="G54" s="1" t="b">
        <v>0</v>
      </c>
      <c r="H54" s="1">
        <v>1</v>
      </c>
      <c r="I54" s="1">
        <v>1</v>
      </c>
      <c r="J54" s="1">
        <v>0.14000000000000001</v>
      </c>
      <c r="K54" s="19">
        <v>0.13639999999999999</v>
      </c>
      <c r="L54" s="21">
        <v>0.5</v>
      </c>
      <c r="M54" s="21">
        <v>0.19400000000000001</v>
      </c>
      <c r="N54" s="21">
        <v>1</v>
      </c>
      <c r="O54" s="21">
        <v>63</v>
      </c>
      <c r="P54" s="22">
        <v>64</v>
      </c>
    </row>
    <row r="55" spans="1:16">
      <c r="A55" s="1">
        <v>54</v>
      </c>
      <c r="B55" s="2">
        <v>40546</v>
      </c>
      <c r="C55" s="1">
        <v>1</v>
      </c>
      <c r="D55" s="1">
        <v>0</v>
      </c>
      <c r="E55" s="1">
        <v>1</v>
      </c>
      <c r="F55" s="1">
        <v>8</v>
      </c>
      <c r="G55" s="1" t="b">
        <v>0</v>
      </c>
      <c r="H55" s="1">
        <v>1</v>
      </c>
      <c r="I55" s="1">
        <v>1</v>
      </c>
      <c r="J55" s="1">
        <v>0.14000000000000001</v>
      </c>
      <c r="K55" s="20">
        <v>0.1212</v>
      </c>
      <c r="L55" s="23">
        <v>0.5</v>
      </c>
      <c r="M55" s="23">
        <v>0.28360000000000002</v>
      </c>
      <c r="N55" s="23">
        <v>1</v>
      </c>
      <c r="O55" s="23">
        <v>153</v>
      </c>
      <c r="P55" s="24">
        <v>154</v>
      </c>
    </row>
    <row r="56" spans="1:16">
      <c r="A56" s="1">
        <v>55</v>
      </c>
      <c r="B56" s="2">
        <v>40546</v>
      </c>
      <c r="C56" s="1">
        <v>1</v>
      </c>
      <c r="D56" s="1">
        <v>0</v>
      </c>
      <c r="E56" s="1">
        <v>1</v>
      </c>
      <c r="F56" s="1">
        <v>9</v>
      </c>
      <c r="G56" s="1" t="b">
        <v>0</v>
      </c>
      <c r="H56" s="1">
        <v>1</v>
      </c>
      <c r="I56" s="1">
        <v>1</v>
      </c>
      <c r="J56" s="1">
        <v>0.16</v>
      </c>
      <c r="K56" s="19">
        <v>0.13639999999999999</v>
      </c>
      <c r="L56" s="21">
        <v>0.43</v>
      </c>
      <c r="M56" s="21">
        <v>0.3881</v>
      </c>
      <c r="N56" s="21">
        <v>7</v>
      </c>
      <c r="O56" s="21">
        <v>81</v>
      </c>
      <c r="P56" s="22">
        <v>88</v>
      </c>
    </row>
    <row r="57" spans="1:16">
      <c r="A57" s="1">
        <v>56</v>
      </c>
      <c r="B57" s="2">
        <v>40546</v>
      </c>
      <c r="C57" s="1">
        <v>1</v>
      </c>
      <c r="D57" s="1">
        <v>0</v>
      </c>
      <c r="E57" s="1">
        <v>1</v>
      </c>
      <c r="F57" s="1">
        <v>10</v>
      </c>
      <c r="G57" s="1" t="b">
        <v>0</v>
      </c>
      <c r="H57" s="1">
        <v>1</v>
      </c>
      <c r="I57" s="1">
        <v>1</v>
      </c>
      <c r="J57" s="1">
        <v>0.18</v>
      </c>
      <c r="K57" s="20">
        <v>0.16669999999999999</v>
      </c>
      <c r="L57" s="23">
        <v>0.43</v>
      </c>
      <c r="M57" s="23">
        <v>0.25369999999999998</v>
      </c>
      <c r="N57" s="23">
        <v>11</v>
      </c>
      <c r="O57" s="23">
        <v>33</v>
      </c>
      <c r="P57" s="24">
        <v>44</v>
      </c>
    </row>
    <row r="58" spans="1:16">
      <c r="A58" s="1">
        <v>57</v>
      </c>
      <c r="B58" s="2">
        <v>40546</v>
      </c>
      <c r="C58" s="1">
        <v>1</v>
      </c>
      <c r="D58" s="1">
        <v>0</v>
      </c>
      <c r="E58" s="1">
        <v>1</v>
      </c>
      <c r="F58" s="1">
        <v>11</v>
      </c>
      <c r="G58" s="1" t="b">
        <v>0</v>
      </c>
      <c r="H58" s="1">
        <v>1</v>
      </c>
      <c r="I58" s="1">
        <v>1</v>
      </c>
      <c r="J58" s="1">
        <v>0.2</v>
      </c>
      <c r="K58" s="19">
        <v>0.18179999999999999</v>
      </c>
      <c r="L58" s="21">
        <v>0.4</v>
      </c>
      <c r="M58" s="21">
        <v>0.32840000000000003</v>
      </c>
      <c r="N58" s="21">
        <v>10</v>
      </c>
      <c r="O58" s="21">
        <v>41</v>
      </c>
      <c r="P58" s="22">
        <v>51</v>
      </c>
    </row>
    <row r="59" spans="1:16">
      <c r="A59" s="1">
        <v>58</v>
      </c>
      <c r="B59" s="2">
        <v>40546</v>
      </c>
      <c r="C59" s="1">
        <v>1</v>
      </c>
      <c r="D59" s="1">
        <v>0</v>
      </c>
      <c r="E59" s="1">
        <v>1</v>
      </c>
      <c r="F59" s="1">
        <v>12</v>
      </c>
      <c r="G59" s="1" t="b">
        <v>0</v>
      </c>
      <c r="H59" s="1">
        <v>1</v>
      </c>
      <c r="I59" s="1">
        <v>1</v>
      </c>
      <c r="J59" s="1">
        <v>0.22</v>
      </c>
      <c r="K59" s="20">
        <v>0.21210000000000001</v>
      </c>
      <c r="L59" s="23">
        <v>0.35</v>
      </c>
      <c r="M59" s="23">
        <v>0.29849999999999999</v>
      </c>
      <c r="N59" s="23">
        <v>13</v>
      </c>
      <c r="O59" s="23">
        <v>48</v>
      </c>
      <c r="P59" s="24">
        <v>61</v>
      </c>
    </row>
    <row r="60" spans="1:16">
      <c r="A60" s="1">
        <v>59</v>
      </c>
      <c r="B60" s="2">
        <v>40546</v>
      </c>
      <c r="C60" s="1">
        <v>1</v>
      </c>
      <c r="D60" s="1">
        <v>0</v>
      </c>
      <c r="E60" s="1">
        <v>1</v>
      </c>
      <c r="F60" s="1">
        <v>13</v>
      </c>
      <c r="G60" s="1" t="b">
        <v>0</v>
      </c>
      <c r="H60" s="1">
        <v>1</v>
      </c>
      <c r="I60" s="1">
        <v>1</v>
      </c>
      <c r="J60" s="1">
        <v>0.24</v>
      </c>
      <c r="K60" s="19">
        <v>0</v>
      </c>
      <c r="L60" s="21">
        <v>0.35</v>
      </c>
      <c r="M60" s="21">
        <v>0.28360000000000002</v>
      </c>
      <c r="N60" s="21">
        <v>8</v>
      </c>
      <c r="O60" s="21">
        <v>53</v>
      </c>
      <c r="P60" s="22">
        <v>61</v>
      </c>
    </row>
    <row r="61" spans="1:16">
      <c r="A61" s="1">
        <v>60</v>
      </c>
      <c r="B61" s="2">
        <v>40546</v>
      </c>
      <c r="C61" s="1">
        <v>1</v>
      </c>
      <c r="D61" s="1">
        <v>0</v>
      </c>
      <c r="E61" s="1">
        <v>1</v>
      </c>
      <c r="F61" s="1">
        <v>14</v>
      </c>
      <c r="G61" s="1" t="b">
        <v>0</v>
      </c>
      <c r="H61" s="1">
        <v>1</v>
      </c>
      <c r="I61" s="1">
        <v>1</v>
      </c>
      <c r="J61" s="1">
        <v>0.26</v>
      </c>
      <c r="K61" s="20">
        <v>0.2424</v>
      </c>
      <c r="L61" s="23">
        <v>0.3</v>
      </c>
      <c r="M61" s="23">
        <v>0.28360000000000002</v>
      </c>
      <c r="N61" s="23">
        <v>11</v>
      </c>
      <c r="O61" s="23">
        <v>66</v>
      </c>
      <c r="P61" s="24">
        <v>77</v>
      </c>
    </row>
    <row r="62" spans="1:16">
      <c r="A62" s="1">
        <v>61</v>
      </c>
      <c r="B62" s="2">
        <v>40546</v>
      </c>
      <c r="C62" s="1">
        <v>1</v>
      </c>
      <c r="D62" s="1">
        <v>0</v>
      </c>
      <c r="E62" s="1">
        <v>1</v>
      </c>
      <c r="F62" s="1">
        <v>15</v>
      </c>
      <c r="G62" s="1" t="b">
        <v>0</v>
      </c>
      <c r="H62" s="1">
        <v>1</v>
      </c>
      <c r="I62" s="1">
        <v>1</v>
      </c>
      <c r="J62" s="1">
        <v>0.26</v>
      </c>
      <c r="K62" s="19">
        <v>0.2424</v>
      </c>
      <c r="L62" s="21">
        <v>0.3</v>
      </c>
      <c r="M62" s="21">
        <v>0.25369999999999998</v>
      </c>
      <c r="N62" s="21">
        <v>14</v>
      </c>
      <c r="O62" s="21">
        <v>58</v>
      </c>
      <c r="P62" s="22">
        <v>72</v>
      </c>
    </row>
    <row r="63" spans="1:16">
      <c r="A63" s="1">
        <v>62</v>
      </c>
      <c r="B63" s="2">
        <v>40546</v>
      </c>
      <c r="C63" s="1">
        <v>1</v>
      </c>
      <c r="D63" s="1">
        <v>0</v>
      </c>
      <c r="E63" s="1">
        <v>1</v>
      </c>
      <c r="F63" s="1">
        <v>16</v>
      </c>
      <c r="G63" s="1" t="b">
        <v>0</v>
      </c>
      <c r="H63" s="1">
        <v>1</v>
      </c>
      <c r="I63" s="1">
        <v>1</v>
      </c>
      <c r="J63" s="1">
        <v>0.26</v>
      </c>
      <c r="K63" s="20">
        <v>0.2424</v>
      </c>
      <c r="L63" s="23">
        <v>0.3</v>
      </c>
      <c r="M63" s="23">
        <v>0.25369999999999998</v>
      </c>
      <c r="N63" s="23">
        <v>9</v>
      </c>
      <c r="O63" s="23">
        <v>67</v>
      </c>
      <c r="P63" s="24">
        <v>76</v>
      </c>
    </row>
    <row r="64" spans="1:16">
      <c r="A64" s="1">
        <v>63</v>
      </c>
      <c r="B64" s="2">
        <v>40546</v>
      </c>
      <c r="C64" s="1">
        <v>1</v>
      </c>
      <c r="D64" s="1">
        <v>0</v>
      </c>
      <c r="E64" s="1">
        <v>1</v>
      </c>
      <c r="F64" s="1">
        <v>17</v>
      </c>
      <c r="G64" s="1" t="b">
        <v>0</v>
      </c>
      <c r="H64" s="1">
        <v>1</v>
      </c>
      <c r="I64" s="1">
        <v>1</v>
      </c>
      <c r="J64" s="1">
        <v>0.24</v>
      </c>
      <c r="K64" s="19">
        <v>0.2273</v>
      </c>
      <c r="L64" s="21">
        <v>0.3</v>
      </c>
      <c r="M64" s="21">
        <v>0.22389999999999999</v>
      </c>
      <c r="N64" s="21">
        <v>11</v>
      </c>
      <c r="O64" s="21">
        <v>146</v>
      </c>
      <c r="P64" s="22">
        <v>157</v>
      </c>
    </row>
    <row r="65" spans="1:16">
      <c r="A65" s="1">
        <v>64</v>
      </c>
      <c r="B65" s="2">
        <v>40546</v>
      </c>
      <c r="C65" s="1">
        <v>1</v>
      </c>
      <c r="D65" s="1">
        <v>0</v>
      </c>
      <c r="E65" s="1">
        <v>1</v>
      </c>
      <c r="F65" s="1">
        <v>18</v>
      </c>
      <c r="G65" s="1" t="b">
        <v>0</v>
      </c>
      <c r="H65" s="1">
        <v>1</v>
      </c>
      <c r="I65" s="1">
        <v>1</v>
      </c>
      <c r="J65" s="1">
        <v>0.24</v>
      </c>
      <c r="K65" s="20">
        <v>0.2576</v>
      </c>
      <c r="L65" s="23">
        <v>0.32</v>
      </c>
      <c r="M65" s="23">
        <v>0.1045</v>
      </c>
      <c r="N65" s="23">
        <v>9</v>
      </c>
      <c r="O65" s="23">
        <v>148</v>
      </c>
      <c r="P65" s="24">
        <v>157</v>
      </c>
    </row>
    <row r="66" spans="1:16">
      <c r="A66" s="1">
        <v>65</v>
      </c>
      <c r="B66" s="2">
        <v>40546</v>
      </c>
      <c r="C66" s="1">
        <v>1</v>
      </c>
      <c r="D66" s="1">
        <v>0</v>
      </c>
      <c r="E66" s="1">
        <v>1</v>
      </c>
      <c r="F66" s="1">
        <v>19</v>
      </c>
      <c r="G66" s="1" t="b">
        <v>0</v>
      </c>
      <c r="H66" s="1">
        <v>1</v>
      </c>
      <c r="I66" s="1">
        <v>1</v>
      </c>
      <c r="J66" s="1">
        <v>0.2</v>
      </c>
      <c r="K66" s="19">
        <v>0.2576</v>
      </c>
      <c r="L66" s="21">
        <v>0.47</v>
      </c>
      <c r="M66" s="21">
        <v>0</v>
      </c>
      <c r="N66" s="21">
        <v>8</v>
      </c>
      <c r="O66" s="21">
        <v>102</v>
      </c>
      <c r="P66" s="22">
        <v>110</v>
      </c>
    </row>
    <row r="67" spans="1:16">
      <c r="A67" s="1">
        <v>66</v>
      </c>
      <c r="B67" s="2">
        <v>40546</v>
      </c>
      <c r="C67" s="1">
        <v>1</v>
      </c>
      <c r="D67" s="1">
        <v>0</v>
      </c>
      <c r="E67" s="1">
        <v>1</v>
      </c>
      <c r="F67" s="1">
        <v>20</v>
      </c>
      <c r="G67" s="1" t="b">
        <v>0</v>
      </c>
      <c r="H67" s="1">
        <v>1</v>
      </c>
      <c r="I67" s="1">
        <v>1</v>
      </c>
      <c r="J67" s="1">
        <v>0.2</v>
      </c>
      <c r="K67" s="20">
        <v>0</v>
      </c>
      <c r="L67" s="23">
        <v>0.47</v>
      </c>
      <c r="M67" s="23">
        <v>0.1045</v>
      </c>
      <c r="N67" s="23">
        <v>3</v>
      </c>
      <c r="O67" s="23">
        <v>49</v>
      </c>
      <c r="P67" s="24">
        <v>52</v>
      </c>
    </row>
    <row r="68" spans="1:16">
      <c r="A68" s="1">
        <v>67</v>
      </c>
      <c r="B68" s="2">
        <v>40546</v>
      </c>
      <c r="C68" s="1">
        <v>1</v>
      </c>
      <c r="D68" s="1">
        <v>0</v>
      </c>
      <c r="E68" s="1">
        <v>1</v>
      </c>
      <c r="F68" s="1">
        <v>21</v>
      </c>
      <c r="G68" s="1" t="b">
        <v>0</v>
      </c>
      <c r="H68" s="1">
        <v>1</v>
      </c>
      <c r="I68" s="1">
        <v>1</v>
      </c>
      <c r="J68" s="1">
        <v>0.18</v>
      </c>
      <c r="K68" s="19">
        <v>0.19700000000000001</v>
      </c>
      <c r="L68" s="21">
        <v>0.64</v>
      </c>
      <c r="M68" s="21">
        <v>0.1343</v>
      </c>
      <c r="N68" s="21">
        <v>3</v>
      </c>
      <c r="O68" s="21">
        <v>49</v>
      </c>
      <c r="P68" s="22">
        <v>52</v>
      </c>
    </row>
    <row r="69" spans="1:16">
      <c r="A69" s="1">
        <v>68</v>
      </c>
      <c r="B69" s="2">
        <v>40546</v>
      </c>
      <c r="C69" s="1">
        <v>1</v>
      </c>
      <c r="D69" s="1">
        <v>0</v>
      </c>
      <c r="E69" s="1">
        <v>1</v>
      </c>
      <c r="F69" s="1">
        <v>22</v>
      </c>
      <c r="G69" s="1" t="b">
        <v>0</v>
      </c>
      <c r="H69" s="1">
        <v>1</v>
      </c>
      <c r="I69" s="1">
        <v>1</v>
      </c>
      <c r="J69" s="1">
        <v>0.14000000000000001</v>
      </c>
      <c r="K69" s="20">
        <v>0.1515</v>
      </c>
      <c r="L69" s="23">
        <v>0.69</v>
      </c>
      <c r="M69" s="23">
        <v>0.1343</v>
      </c>
      <c r="N69" s="23">
        <v>0</v>
      </c>
      <c r="O69" s="23">
        <v>20</v>
      </c>
      <c r="P69" s="24">
        <v>20</v>
      </c>
    </row>
    <row r="70" spans="1:16">
      <c r="A70" s="1">
        <v>69</v>
      </c>
      <c r="B70" s="2">
        <v>40546</v>
      </c>
      <c r="C70" s="1">
        <v>1</v>
      </c>
      <c r="D70" s="1">
        <v>0</v>
      </c>
      <c r="E70" s="1">
        <v>1</v>
      </c>
      <c r="F70" s="1">
        <v>23</v>
      </c>
      <c r="G70" s="1" t="b">
        <v>0</v>
      </c>
      <c r="H70" s="1">
        <v>1</v>
      </c>
      <c r="I70" s="1">
        <v>1</v>
      </c>
      <c r="J70" s="1">
        <v>0.18</v>
      </c>
      <c r="K70" s="19">
        <v>0.21210000000000001</v>
      </c>
      <c r="L70" s="21">
        <v>0.55000000000000004</v>
      </c>
      <c r="M70" s="21">
        <v>0.1045</v>
      </c>
      <c r="N70" s="21">
        <v>1</v>
      </c>
      <c r="O70" s="21">
        <v>11</v>
      </c>
      <c r="P70" s="22">
        <v>12</v>
      </c>
    </row>
    <row r="71" spans="1:16">
      <c r="A71" s="1">
        <v>70</v>
      </c>
      <c r="B71" s="2">
        <v>40547</v>
      </c>
      <c r="C71" s="1">
        <v>1</v>
      </c>
      <c r="D71" s="1">
        <v>0</v>
      </c>
      <c r="E71" s="1">
        <v>1</v>
      </c>
      <c r="F71" s="1">
        <v>0</v>
      </c>
      <c r="G71" s="1" t="b">
        <v>0</v>
      </c>
      <c r="H71" s="1">
        <v>2</v>
      </c>
      <c r="I71" s="1">
        <v>1</v>
      </c>
      <c r="J71" s="1">
        <v>0.16</v>
      </c>
      <c r="K71" s="20">
        <v>0</v>
      </c>
      <c r="L71" s="23">
        <v>0.55000000000000004</v>
      </c>
      <c r="M71" s="23">
        <v>0.1045</v>
      </c>
      <c r="N71" s="23">
        <v>0</v>
      </c>
      <c r="O71" s="23">
        <v>5</v>
      </c>
      <c r="P71" s="24">
        <v>5</v>
      </c>
    </row>
    <row r="72" spans="1:16">
      <c r="A72" s="1">
        <v>71</v>
      </c>
      <c r="B72" s="2">
        <v>40547</v>
      </c>
      <c r="C72" s="1">
        <v>1</v>
      </c>
      <c r="D72" s="1">
        <v>0</v>
      </c>
      <c r="E72" s="1">
        <v>1</v>
      </c>
      <c r="F72" s="1">
        <v>1</v>
      </c>
      <c r="G72" s="1" t="b">
        <v>0</v>
      </c>
      <c r="H72" s="1">
        <v>2</v>
      </c>
      <c r="I72" s="1">
        <v>1</v>
      </c>
      <c r="J72" s="1">
        <v>0.16</v>
      </c>
      <c r="K72" s="19">
        <v>0.18179999999999999</v>
      </c>
      <c r="L72" s="21">
        <v>0.59</v>
      </c>
      <c r="M72" s="21">
        <v>0.1045</v>
      </c>
      <c r="N72" s="21">
        <v>0</v>
      </c>
      <c r="O72" s="21">
        <v>2</v>
      </c>
      <c r="P72" s="22">
        <v>2</v>
      </c>
    </row>
    <row r="73" spans="1:16">
      <c r="A73" s="1">
        <v>72</v>
      </c>
      <c r="B73" s="2">
        <v>40547</v>
      </c>
      <c r="C73" s="1">
        <v>1</v>
      </c>
      <c r="D73" s="1">
        <v>0</v>
      </c>
      <c r="E73" s="1">
        <v>1</v>
      </c>
      <c r="F73" s="1">
        <v>2</v>
      </c>
      <c r="G73" s="1" t="b">
        <v>0</v>
      </c>
      <c r="H73" s="1">
        <v>2</v>
      </c>
      <c r="I73" s="1">
        <v>1</v>
      </c>
      <c r="J73" s="1">
        <v>0.14000000000000001</v>
      </c>
      <c r="K73" s="20">
        <v>0.1515</v>
      </c>
      <c r="L73" s="23">
        <v>0.63</v>
      </c>
      <c r="M73" s="23">
        <v>0.1343</v>
      </c>
      <c r="N73" s="23">
        <v>0</v>
      </c>
      <c r="O73" s="23">
        <v>1</v>
      </c>
      <c r="P73" s="24">
        <v>1</v>
      </c>
    </row>
    <row r="74" spans="1:16">
      <c r="A74" s="1">
        <v>73</v>
      </c>
      <c r="B74" s="2">
        <v>40547</v>
      </c>
      <c r="C74" s="1">
        <v>1</v>
      </c>
      <c r="D74" s="1">
        <v>0</v>
      </c>
      <c r="E74" s="1">
        <v>1</v>
      </c>
      <c r="F74" s="1">
        <v>4</v>
      </c>
      <c r="G74" s="1" t="b">
        <v>0</v>
      </c>
      <c r="H74" s="1">
        <v>2</v>
      </c>
      <c r="I74" s="1">
        <v>1</v>
      </c>
      <c r="J74" s="1">
        <v>0.14000000000000001</v>
      </c>
      <c r="K74" s="19">
        <v>0.18179999999999999</v>
      </c>
      <c r="L74" s="21">
        <v>0.63</v>
      </c>
      <c r="M74" s="21">
        <v>8.9599999999999999E-2</v>
      </c>
      <c r="N74" s="21">
        <v>0</v>
      </c>
      <c r="O74" s="21">
        <v>2</v>
      </c>
      <c r="P74" s="22">
        <v>2</v>
      </c>
    </row>
    <row r="75" spans="1:16">
      <c r="A75" s="1">
        <v>74</v>
      </c>
      <c r="B75" s="2">
        <v>40547</v>
      </c>
      <c r="C75" s="1">
        <v>1</v>
      </c>
      <c r="D75" s="1">
        <v>0</v>
      </c>
      <c r="E75" s="1">
        <v>1</v>
      </c>
      <c r="F75" s="1">
        <v>5</v>
      </c>
      <c r="G75" s="1" t="b">
        <v>0</v>
      </c>
      <c r="H75" s="1">
        <v>2</v>
      </c>
      <c r="I75" s="1">
        <v>1</v>
      </c>
      <c r="J75" s="1">
        <v>0.12</v>
      </c>
      <c r="K75" s="20">
        <v>0.1515</v>
      </c>
      <c r="L75" s="23">
        <v>0.68</v>
      </c>
      <c r="M75" s="23">
        <v>0.1045</v>
      </c>
      <c r="N75" s="23">
        <v>0</v>
      </c>
      <c r="O75" s="23">
        <v>4</v>
      </c>
      <c r="P75" s="24">
        <v>4</v>
      </c>
    </row>
    <row r="76" spans="1:16">
      <c r="A76" s="1">
        <v>75</v>
      </c>
      <c r="B76" s="2">
        <v>40547</v>
      </c>
      <c r="C76" s="1">
        <v>1</v>
      </c>
      <c r="D76" s="1">
        <v>0</v>
      </c>
      <c r="E76" s="1">
        <v>1</v>
      </c>
      <c r="F76" s="1">
        <v>6</v>
      </c>
      <c r="G76" s="1" t="b">
        <v>0</v>
      </c>
      <c r="H76" s="1">
        <v>2</v>
      </c>
      <c r="I76" s="1">
        <v>1</v>
      </c>
      <c r="J76" s="1">
        <v>0.12</v>
      </c>
      <c r="K76" s="19">
        <v>0.1515</v>
      </c>
      <c r="L76" s="21">
        <v>0.74</v>
      </c>
      <c r="M76" s="21">
        <v>0.1045</v>
      </c>
      <c r="N76" s="21">
        <v>0</v>
      </c>
      <c r="O76" s="21">
        <v>36</v>
      </c>
      <c r="P76" s="22">
        <v>36</v>
      </c>
    </row>
    <row r="77" spans="1:16">
      <c r="A77" s="1">
        <v>76</v>
      </c>
      <c r="B77" s="2">
        <v>40547</v>
      </c>
      <c r="C77" s="1">
        <v>1</v>
      </c>
      <c r="D77" s="1">
        <v>0</v>
      </c>
      <c r="E77" s="1">
        <v>1</v>
      </c>
      <c r="F77" s="1">
        <v>7</v>
      </c>
      <c r="G77" s="1" t="b">
        <v>0</v>
      </c>
      <c r="H77" s="1">
        <v>2</v>
      </c>
      <c r="I77" s="1">
        <v>1</v>
      </c>
      <c r="J77" s="1">
        <v>0.12</v>
      </c>
      <c r="K77" s="20">
        <v>0.1515</v>
      </c>
      <c r="L77" s="23">
        <v>0.74</v>
      </c>
      <c r="M77" s="23">
        <v>0.1343</v>
      </c>
      <c r="N77" s="23">
        <v>2</v>
      </c>
      <c r="O77" s="23">
        <v>92</v>
      </c>
      <c r="P77" s="24">
        <v>94</v>
      </c>
    </row>
    <row r="78" spans="1:16">
      <c r="A78" s="1">
        <v>77</v>
      </c>
      <c r="B78" s="2">
        <v>40547</v>
      </c>
      <c r="C78" s="1">
        <v>1</v>
      </c>
      <c r="D78" s="1">
        <v>0</v>
      </c>
      <c r="E78" s="1">
        <v>1</v>
      </c>
      <c r="F78" s="1">
        <v>8</v>
      </c>
      <c r="G78" s="1" t="b">
        <v>0</v>
      </c>
      <c r="H78" s="1">
        <v>2</v>
      </c>
      <c r="I78" s="1">
        <v>1</v>
      </c>
      <c r="J78" s="1">
        <v>0.14000000000000001</v>
      </c>
      <c r="K78" s="19">
        <v>0.1515</v>
      </c>
      <c r="L78" s="21">
        <v>0.69</v>
      </c>
      <c r="M78" s="21">
        <v>0.16420000000000001</v>
      </c>
      <c r="N78" s="21">
        <v>2</v>
      </c>
      <c r="O78" s="21">
        <v>177</v>
      </c>
      <c r="P78" s="22">
        <v>179</v>
      </c>
    </row>
    <row r="79" spans="1:16">
      <c r="A79" s="1">
        <v>78</v>
      </c>
      <c r="B79" s="2">
        <v>40547</v>
      </c>
      <c r="C79" s="1">
        <v>1</v>
      </c>
      <c r="D79" s="1">
        <v>0</v>
      </c>
      <c r="E79" s="1">
        <v>1</v>
      </c>
      <c r="F79" s="1">
        <v>9</v>
      </c>
      <c r="G79" s="1" t="b">
        <v>0</v>
      </c>
      <c r="H79" s="1">
        <v>2</v>
      </c>
      <c r="I79" s="1">
        <v>1</v>
      </c>
      <c r="J79" s="1">
        <v>0.16</v>
      </c>
      <c r="K79" s="20">
        <v>0.1515</v>
      </c>
      <c r="L79" s="23">
        <v>0.64</v>
      </c>
      <c r="M79" s="23">
        <v>0.22389999999999999</v>
      </c>
      <c r="N79" s="23">
        <v>2</v>
      </c>
      <c r="O79" s="23">
        <v>98</v>
      </c>
      <c r="P79" s="24">
        <v>100</v>
      </c>
    </row>
    <row r="80" spans="1:16">
      <c r="A80" s="1">
        <v>79</v>
      </c>
      <c r="B80" s="2">
        <v>40547</v>
      </c>
      <c r="C80" s="1">
        <v>1</v>
      </c>
      <c r="D80" s="1">
        <v>0</v>
      </c>
      <c r="E80" s="1">
        <v>1</v>
      </c>
      <c r="F80" s="1">
        <v>10</v>
      </c>
      <c r="G80" s="1" t="b">
        <v>0</v>
      </c>
      <c r="H80" s="1">
        <v>2</v>
      </c>
      <c r="I80" s="1">
        <v>2</v>
      </c>
      <c r="J80" s="1">
        <v>0.16</v>
      </c>
      <c r="K80" s="19">
        <v>0.13639999999999999</v>
      </c>
      <c r="L80" s="21">
        <v>0.69</v>
      </c>
      <c r="M80" s="21">
        <v>0.32840000000000003</v>
      </c>
      <c r="N80" s="21">
        <v>5</v>
      </c>
      <c r="O80" s="21">
        <v>37</v>
      </c>
      <c r="P80" s="22">
        <v>42</v>
      </c>
    </row>
    <row r="81" spans="1:16">
      <c r="A81" s="1">
        <v>80</v>
      </c>
      <c r="B81" s="2">
        <v>40547</v>
      </c>
      <c r="C81" s="1">
        <v>1</v>
      </c>
      <c r="D81" s="1">
        <v>0</v>
      </c>
      <c r="E81" s="1">
        <v>1</v>
      </c>
      <c r="F81" s="1">
        <v>11</v>
      </c>
      <c r="G81" s="1" t="b">
        <v>0</v>
      </c>
      <c r="H81" s="1">
        <v>2</v>
      </c>
      <c r="I81" s="1">
        <v>1</v>
      </c>
      <c r="J81" s="1">
        <v>0.22</v>
      </c>
      <c r="K81" s="20">
        <v>0.21210000000000001</v>
      </c>
      <c r="L81" s="23">
        <v>0.51</v>
      </c>
      <c r="M81" s="23">
        <v>0.29849999999999999</v>
      </c>
      <c r="N81" s="23">
        <v>7</v>
      </c>
      <c r="O81" s="23">
        <v>50</v>
      </c>
      <c r="P81" s="24">
        <v>57</v>
      </c>
    </row>
    <row r="82" spans="1:16">
      <c r="A82" s="1">
        <v>81</v>
      </c>
      <c r="B82" s="2">
        <v>40547</v>
      </c>
      <c r="C82" s="1">
        <v>1</v>
      </c>
      <c r="D82" s="1">
        <v>0</v>
      </c>
      <c r="E82" s="1">
        <v>1</v>
      </c>
      <c r="F82" s="1">
        <v>12</v>
      </c>
      <c r="G82" s="1" t="b">
        <v>0</v>
      </c>
      <c r="H82" s="1">
        <v>2</v>
      </c>
      <c r="I82" s="1">
        <v>1</v>
      </c>
      <c r="J82" s="1">
        <v>0.22</v>
      </c>
      <c r="K82" s="19">
        <v>0.2273</v>
      </c>
      <c r="L82" s="21">
        <v>0.51</v>
      </c>
      <c r="M82" s="21">
        <v>0.16420000000000001</v>
      </c>
      <c r="N82" s="21">
        <v>12</v>
      </c>
      <c r="O82" s="21">
        <v>66</v>
      </c>
      <c r="P82" s="22">
        <v>78</v>
      </c>
    </row>
    <row r="83" spans="1:16">
      <c r="A83" s="1">
        <v>82</v>
      </c>
      <c r="B83" s="2">
        <v>40547</v>
      </c>
      <c r="C83" s="1">
        <v>1</v>
      </c>
      <c r="D83" s="1">
        <v>0</v>
      </c>
      <c r="E83" s="1">
        <v>1</v>
      </c>
      <c r="F83" s="1">
        <v>13</v>
      </c>
      <c r="G83" s="1" t="b">
        <v>0</v>
      </c>
      <c r="H83" s="1">
        <v>2</v>
      </c>
      <c r="I83" s="1">
        <v>1</v>
      </c>
      <c r="J83" s="1">
        <v>0.24</v>
      </c>
      <c r="K83" s="20">
        <v>0.2273</v>
      </c>
      <c r="L83" s="23">
        <v>0.56000000000000005</v>
      </c>
      <c r="M83" s="23">
        <v>0.19400000000000001</v>
      </c>
      <c r="N83" s="23">
        <v>18</v>
      </c>
      <c r="O83" s="23">
        <v>79</v>
      </c>
      <c r="P83" s="24">
        <v>97</v>
      </c>
    </row>
    <row r="84" spans="1:16">
      <c r="A84" s="1">
        <v>83</v>
      </c>
      <c r="B84" s="2">
        <v>40547</v>
      </c>
      <c r="C84" s="1">
        <v>1</v>
      </c>
      <c r="D84" s="1">
        <v>0</v>
      </c>
      <c r="E84" s="1">
        <v>1</v>
      </c>
      <c r="F84" s="1">
        <v>14</v>
      </c>
      <c r="G84" s="1" t="b">
        <v>0</v>
      </c>
      <c r="H84" s="1">
        <v>2</v>
      </c>
      <c r="I84" s="1">
        <v>1</v>
      </c>
      <c r="J84" s="1">
        <v>0.26</v>
      </c>
      <c r="K84" s="19">
        <v>0.2576</v>
      </c>
      <c r="L84" s="21">
        <v>0.52</v>
      </c>
      <c r="M84" s="21">
        <v>0.22389999999999999</v>
      </c>
      <c r="N84" s="21">
        <v>9</v>
      </c>
      <c r="O84" s="21">
        <v>54</v>
      </c>
      <c r="P84" s="22">
        <v>63</v>
      </c>
    </row>
    <row r="85" spans="1:16">
      <c r="A85" s="1">
        <v>84</v>
      </c>
      <c r="B85" s="2">
        <v>40547</v>
      </c>
      <c r="C85" s="1">
        <v>1</v>
      </c>
      <c r="D85" s="1">
        <v>0</v>
      </c>
      <c r="E85" s="1">
        <v>1</v>
      </c>
      <c r="F85" s="1">
        <v>15</v>
      </c>
      <c r="G85" s="1" t="b">
        <v>0</v>
      </c>
      <c r="H85" s="1">
        <v>2</v>
      </c>
      <c r="I85" s="1">
        <v>1</v>
      </c>
      <c r="J85" s="1">
        <v>0.28000000000000003</v>
      </c>
      <c r="K85" s="20">
        <v>0.2727</v>
      </c>
      <c r="L85" s="23">
        <v>0.52</v>
      </c>
      <c r="M85" s="23">
        <v>0.25369999999999998</v>
      </c>
      <c r="N85" s="23">
        <v>17</v>
      </c>
      <c r="O85" s="23">
        <v>48</v>
      </c>
      <c r="P85" s="24">
        <v>65</v>
      </c>
    </row>
    <row r="86" spans="1:16">
      <c r="A86" s="1">
        <v>85</v>
      </c>
      <c r="B86" s="2">
        <v>40547</v>
      </c>
      <c r="C86" s="1">
        <v>1</v>
      </c>
      <c r="D86" s="1">
        <v>0</v>
      </c>
      <c r="E86" s="1">
        <v>1</v>
      </c>
      <c r="F86" s="1">
        <v>16</v>
      </c>
      <c r="G86" s="1" t="b">
        <v>0</v>
      </c>
      <c r="H86" s="1">
        <v>2</v>
      </c>
      <c r="I86" s="1">
        <v>1</v>
      </c>
      <c r="J86" s="1">
        <v>0.3</v>
      </c>
      <c r="K86" s="19">
        <v>0.28789999999999999</v>
      </c>
      <c r="L86" s="21">
        <v>0.49</v>
      </c>
      <c r="M86" s="21">
        <v>0.25369999999999998</v>
      </c>
      <c r="N86" s="21">
        <v>15</v>
      </c>
      <c r="O86" s="21">
        <v>68</v>
      </c>
      <c r="P86" s="22">
        <v>83</v>
      </c>
    </row>
    <row r="87" spans="1:16">
      <c r="A87" s="1">
        <v>86</v>
      </c>
      <c r="B87" s="2">
        <v>40547</v>
      </c>
      <c r="C87" s="1">
        <v>1</v>
      </c>
      <c r="D87" s="1">
        <v>0</v>
      </c>
      <c r="E87" s="1">
        <v>1</v>
      </c>
      <c r="F87" s="1">
        <v>17</v>
      </c>
      <c r="G87" s="1" t="b">
        <v>0</v>
      </c>
      <c r="H87" s="1">
        <v>2</v>
      </c>
      <c r="I87" s="1">
        <v>1</v>
      </c>
      <c r="J87" s="1">
        <v>0.28000000000000003</v>
      </c>
      <c r="K87" s="20">
        <v>0.2727</v>
      </c>
      <c r="L87" s="23">
        <v>0.48</v>
      </c>
      <c r="M87" s="23">
        <v>0.22389999999999999</v>
      </c>
      <c r="N87" s="23">
        <v>10</v>
      </c>
      <c r="O87" s="23">
        <v>202</v>
      </c>
      <c r="P87" s="24">
        <v>212</v>
      </c>
    </row>
    <row r="88" spans="1:16">
      <c r="A88" s="1">
        <v>87</v>
      </c>
      <c r="B88" s="2">
        <v>40547</v>
      </c>
      <c r="C88" s="1">
        <v>1</v>
      </c>
      <c r="D88" s="1">
        <v>0</v>
      </c>
      <c r="E88" s="1">
        <v>1</v>
      </c>
      <c r="F88" s="1">
        <v>18</v>
      </c>
      <c r="G88" s="1" t="b">
        <v>0</v>
      </c>
      <c r="H88" s="1">
        <v>2</v>
      </c>
      <c r="I88" s="1">
        <v>1</v>
      </c>
      <c r="J88" s="1">
        <v>0.26</v>
      </c>
      <c r="K88" s="19">
        <v>0.2576</v>
      </c>
      <c r="L88" s="21">
        <v>0.48</v>
      </c>
      <c r="M88" s="21">
        <v>0.19400000000000001</v>
      </c>
      <c r="N88" s="21">
        <v>3</v>
      </c>
      <c r="O88" s="21">
        <v>179</v>
      </c>
      <c r="P88" s="22">
        <v>182</v>
      </c>
    </row>
    <row r="89" spans="1:16">
      <c r="A89" s="1">
        <v>88</v>
      </c>
      <c r="B89" s="2">
        <v>40547</v>
      </c>
      <c r="C89" s="1">
        <v>1</v>
      </c>
      <c r="D89" s="1">
        <v>0</v>
      </c>
      <c r="E89" s="1">
        <v>1</v>
      </c>
      <c r="F89" s="1">
        <v>19</v>
      </c>
      <c r="G89" s="1" t="b">
        <v>0</v>
      </c>
      <c r="H89" s="1">
        <v>2</v>
      </c>
      <c r="I89" s="1">
        <v>1</v>
      </c>
      <c r="J89" s="1">
        <v>0.24</v>
      </c>
      <c r="K89" s="20">
        <v>0.2576</v>
      </c>
      <c r="L89" s="23">
        <v>0.48</v>
      </c>
      <c r="M89" s="23">
        <v>0.1045</v>
      </c>
      <c r="N89" s="23">
        <v>2</v>
      </c>
      <c r="O89" s="23">
        <v>110</v>
      </c>
      <c r="P89" s="24">
        <v>112</v>
      </c>
    </row>
    <row r="90" spans="1:16">
      <c r="A90" s="1">
        <v>89</v>
      </c>
      <c r="B90" s="2">
        <v>40547</v>
      </c>
      <c r="C90" s="1">
        <v>1</v>
      </c>
      <c r="D90" s="1">
        <v>0</v>
      </c>
      <c r="E90" s="1">
        <v>1</v>
      </c>
      <c r="F90" s="1">
        <v>20</v>
      </c>
      <c r="G90" s="1" t="b">
        <v>0</v>
      </c>
      <c r="H90" s="1">
        <v>2</v>
      </c>
      <c r="I90" s="1">
        <v>1</v>
      </c>
      <c r="J90" s="1">
        <v>0.24</v>
      </c>
      <c r="K90" s="19">
        <v>0.2576</v>
      </c>
      <c r="L90" s="21">
        <v>0.48</v>
      </c>
      <c r="M90" s="21">
        <v>0.1045</v>
      </c>
      <c r="N90" s="21">
        <v>1</v>
      </c>
      <c r="O90" s="21">
        <v>53</v>
      </c>
      <c r="P90" s="22">
        <v>54</v>
      </c>
    </row>
    <row r="91" spans="1:16">
      <c r="A91" s="1">
        <v>90</v>
      </c>
      <c r="B91" s="2">
        <v>40547</v>
      </c>
      <c r="C91" s="1">
        <v>1</v>
      </c>
      <c r="D91" s="1">
        <v>0</v>
      </c>
      <c r="E91" s="1">
        <v>1</v>
      </c>
      <c r="F91" s="1">
        <v>21</v>
      </c>
      <c r="G91" s="1" t="b">
        <v>0</v>
      </c>
      <c r="H91" s="1">
        <v>2</v>
      </c>
      <c r="I91" s="1">
        <v>1</v>
      </c>
      <c r="J91" s="1">
        <v>0.22</v>
      </c>
      <c r="K91" s="20">
        <v>0.2727</v>
      </c>
      <c r="L91" s="23">
        <v>0.64</v>
      </c>
      <c r="M91" s="23">
        <v>0</v>
      </c>
      <c r="N91" s="23">
        <v>0</v>
      </c>
      <c r="O91" s="23">
        <v>48</v>
      </c>
      <c r="P91" s="24">
        <v>48</v>
      </c>
    </row>
    <row r="92" spans="1:16">
      <c r="A92" s="1">
        <v>91</v>
      </c>
      <c r="B92" s="2">
        <v>40547</v>
      </c>
      <c r="C92" s="1">
        <v>1</v>
      </c>
      <c r="D92" s="1">
        <v>0</v>
      </c>
      <c r="E92" s="1">
        <v>1</v>
      </c>
      <c r="F92" s="1">
        <v>22</v>
      </c>
      <c r="G92" s="1" t="b">
        <v>0</v>
      </c>
      <c r="H92" s="1">
        <v>2</v>
      </c>
      <c r="I92" s="1">
        <v>1</v>
      </c>
      <c r="J92" s="1">
        <v>0.22</v>
      </c>
      <c r="K92" s="19">
        <v>0.2576</v>
      </c>
      <c r="L92" s="21">
        <v>0.64</v>
      </c>
      <c r="M92" s="21">
        <v>8.9599999999999999E-2</v>
      </c>
      <c r="N92" s="21">
        <v>1</v>
      </c>
      <c r="O92" s="21">
        <v>34</v>
      </c>
      <c r="P92" s="22">
        <v>35</v>
      </c>
    </row>
    <row r="93" spans="1:16">
      <c r="A93" s="1">
        <v>92</v>
      </c>
      <c r="B93" s="2">
        <v>40547</v>
      </c>
      <c r="C93" s="1">
        <v>1</v>
      </c>
      <c r="D93" s="1">
        <v>0</v>
      </c>
      <c r="E93" s="1">
        <v>1</v>
      </c>
      <c r="F93" s="1">
        <v>23</v>
      </c>
      <c r="G93" s="1" t="b">
        <v>0</v>
      </c>
      <c r="H93" s="1">
        <v>2</v>
      </c>
      <c r="I93" s="1">
        <v>1</v>
      </c>
      <c r="J93" s="1">
        <v>0.2</v>
      </c>
      <c r="K93" s="20">
        <v>0.2273</v>
      </c>
      <c r="L93" s="23">
        <v>0.69</v>
      </c>
      <c r="M93" s="23">
        <v>8.9599999999999999E-2</v>
      </c>
      <c r="N93" s="23">
        <v>2</v>
      </c>
      <c r="O93" s="23">
        <v>9</v>
      </c>
      <c r="P93" s="24">
        <v>11</v>
      </c>
    </row>
    <row r="94" spans="1:16">
      <c r="A94" s="1">
        <v>93</v>
      </c>
      <c r="B94" s="2">
        <v>40548</v>
      </c>
      <c r="C94" s="1">
        <v>1</v>
      </c>
      <c r="D94" s="1">
        <v>0</v>
      </c>
      <c r="E94" s="1">
        <v>1</v>
      </c>
      <c r="F94" s="1">
        <v>0</v>
      </c>
      <c r="G94" s="1" t="b">
        <v>0</v>
      </c>
      <c r="H94" s="1">
        <v>3</v>
      </c>
      <c r="I94" s="1">
        <v>1</v>
      </c>
      <c r="J94" s="1">
        <v>0.2</v>
      </c>
      <c r="K94" s="19">
        <v>0.2576</v>
      </c>
      <c r="L94" s="21">
        <v>0.64</v>
      </c>
      <c r="M94" s="21">
        <v>0</v>
      </c>
      <c r="N94" s="21">
        <v>0</v>
      </c>
      <c r="O94" s="21">
        <v>6</v>
      </c>
      <c r="P94" s="22">
        <v>6</v>
      </c>
    </row>
    <row r="95" spans="1:16">
      <c r="A95" s="1">
        <v>94</v>
      </c>
      <c r="B95" s="2">
        <v>40548</v>
      </c>
      <c r="C95" s="1">
        <v>1</v>
      </c>
      <c r="D95" s="1">
        <v>0</v>
      </c>
      <c r="E95" s="1">
        <v>1</v>
      </c>
      <c r="F95" s="1">
        <v>1</v>
      </c>
      <c r="G95" s="1" t="b">
        <v>0</v>
      </c>
      <c r="H95" s="1">
        <v>3</v>
      </c>
      <c r="I95" s="1">
        <v>1</v>
      </c>
      <c r="J95" s="1">
        <v>0.16</v>
      </c>
      <c r="K95" s="20">
        <v>0.19700000000000001</v>
      </c>
      <c r="L95" s="23">
        <v>0.74</v>
      </c>
      <c r="M95" s="23">
        <v>8.9599999999999999E-2</v>
      </c>
      <c r="N95" s="23">
        <v>0</v>
      </c>
      <c r="O95" s="23">
        <v>6</v>
      </c>
      <c r="P95" s="24">
        <v>6</v>
      </c>
    </row>
    <row r="96" spans="1:16">
      <c r="A96" s="1">
        <v>95</v>
      </c>
      <c r="B96" s="2">
        <v>40548</v>
      </c>
      <c r="C96" s="1">
        <v>1</v>
      </c>
      <c r="D96" s="1">
        <v>0</v>
      </c>
      <c r="E96" s="1">
        <v>1</v>
      </c>
      <c r="F96" s="1">
        <v>2</v>
      </c>
      <c r="G96" s="1" t="b">
        <v>0</v>
      </c>
      <c r="H96" s="1">
        <v>3</v>
      </c>
      <c r="I96" s="1">
        <v>1</v>
      </c>
      <c r="J96" s="1">
        <v>0.16</v>
      </c>
      <c r="K96" s="19">
        <v>0.19700000000000001</v>
      </c>
      <c r="L96" s="21">
        <v>0.74</v>
      </c>
      <c r="M96" s="21">
        <v>8.9599999999999999E-2</v>
      </c>
      <c r="N96" s="21">
        <v>0</v>
      </c>
      <c r="O96" s="21">
        <v>2</v>
      </c>
      <c r="P96" s="22">
        <v>2</v>
      </c>
    </row>
    <row r="97" spans="1:16">
      <c r="A97" s="1">
        <v>96</v>
      </c>
      <c r="B97" s="2">
        <v>40548</v>
      </c>
      <c r="C97" s="1">
        <v>1</v>
      </c>
      <c r="D97" s="1">
        <v>0</v>
      </c>
      <c r="E97" s="1">
        <v>1</v>
      </c>
      <c r="F97" s="1">
        <v>4</v>
      </c>
      <c r="G97" s="1" t="b">
        <v>0</v>
      </c>
      <c r="H97" s="1">
        <v>3</v>
      </c>
      <c r="I97" s="1">
        <v>1</v>
      </c>
      <c r="J97" s="1">
        <v>0.24</v>
      </c>
      <c r="K97" s="20">
        <v>0.2273</v>
      </c>
      <c r="L97" s="23">
        <v>0.48</v>
      </c>
      <c r="M97" s="23">
        <v>0.22389999999999999</v>
      </c>
      <c r="N97" s="23">
        <v>0</v>
      </c>
      <c r="O97" s="23">
        <v>2</v>
      </c>
      <c r="P97" s="24">
        <v>2</v>
      </c>
    </row>
    <row r="98" spans="1:16">
      <c r="A98" s="1">
        <v>97</v>
      </c>
      <c r="B98" s="2">
        <v>40548</v>
      </c>
      <c r="C98" s="1">
        <v>1</v>
      </c>
      <c r="D98" s="1">
        <v>0</v>
      </c>
      <c r="E98" s="1">
        <v>1</v>
      </c>
      <c r="F98" s="1">
        <v>5</v>
      </c>
      <c r="G98" s="1" t="b">
        <v>0</v>
      </c>
      <c r="H98" s="1">
        <v>3</v>
      </c>
      <c r="I98" s="1">
        <v>1</v>
      </c>
      <c r="J98" s="1">
        <v>0.22</v>
      </c>
      <c r="K98" s="19">
        <v>0.2273</v>
      </c>
      <c r="L98" s="21">
        <v>0.47</v>
      </c>
      <c r="M98" s="21">
        <v>0.16420000000000001</v>
      </c>
      <c r="N98" s="21">
        <v>0</v>
      </c>
      <c r="O98" s="21">
        <v>3</v>
      </c>
      <c r="P98" s="22">
        <v>3</v>
      </c>
    </row>
    <row r="99" spans="1:16">
      <c r="A99" s="1">
        <v>98</v>
      </c>
      <c r="B99" s="2">
        <v>40548</v>
      </c>
      <c r="C99" s="1">
        <v>1</v>
      </c>
      <c r="D99" s="1">
        <v>0</v>
      </c>
      <c r="E99" s="1">
        <v>1</v>
      </c>
      <c r="F99" s="1">
        <v>6</v>
      </c>
      <c r="G99" s="1" t="b">
        <v>0</v>
      </c>
      <c r="H99" s="1">
        <v>3</v>
      </c>
      <c r="I99" s="1">
        <v>1</v>
      </c>
      <c r="J99" s="1">
        <v>0.2</v>
      </c>
      <c r="K99" s="20">
        <v>0.19700000000000001</v>
      </c>
      <c r="L99" s="23">
        <v>0.47</v>
      </c>
      <c r="M99" s="23">
        <v>0.22389999999999999</v>
      </c>
      <c r="N99" s="23">
        <v>0</v>
      </c>
      <c r="O99" s="23">
        <v>33</v>
      </c>
      <c r="P99" s="24">
        <v>33</v>
      </c>
    </row>
    <row r="100" spans="1:16">
      <c r="A100" s="1">
        <v>99</v>
      </c>
      <c r="B100" s="2">
        <v>40548</v>
      </c>
      <c r="C100" s="1">
        <v>1</v>
      </c>
      <c r="D100" s="1">
        <v>0</v>
      </c>
      <c r="E100" s="1">
        <v>1</v>
      </c>
      <c r="F100" s="1">
        <v>7</v>
      </c>
      <c r="G100" s="1" t="b">
        <v>0</v>
      </c>
      <c r="H100" s="1">
        <v>3</v>
      </c>
      <c r="I100" s="1">
        <v>1</v>
      </c>
      <c r="J100" s="1">
        <v>0.18</v>
      </c>
      <c r="K100" s="19">
        <v>0.18179999999999999</v>
      </c>
      <c r="L100" s="21">
        <v>0.43</v>
      </c>
      <c r="M100" s="21">
        <v>0.19400000000000001</v>
      </c>
      <c r="N100" s="21">
        <v>1</v>
      </c>
      <c r="O100" s="21">
        <v>87</v>
      </c>
      <c r="P100" s="22">
        <v>88</v>
      </c>
    </row>
    <row r="101" spans="1:16">
      <c r="A101" s="1">
        <v>100</v>
      </c>
      <c r="B101" s="2">
        <v>40548</v>
      </c>
      <c r="C101" s="1">
        <v>1</v>
      </c>
      <c r="D101" s="1">
        <v>0</v>
      </c>
      <c r="E101" s="1">
        <v>1</v>
      </c>
      <c r="F101" s="1">
        <v>8</v>
      </c>
      <c r="G101" s="1" t="b">
        <v>0</v>
      </c>
      <c r="H101" s="1">
        <v>3</v>
      </c>
      <c r="I101" s="1">
        <v>1</v>
      </c>
      <c r="J101" s="1">
        <v>0.2</v>
      </c>
      <c r="K101" s="20">
        <v>0.18179999999999999</v>
      </c>
      <c r="L101" s="23">
        <v>0.4</v>
      </c>
      <c r="M101" s="23">
        <v>0.29849999999999999</v>
      </c>
      <c r="N101" s="23">
        <v>3</v>
      </c>
      <c r="O101" s="23">
        <v>192</v>
      </c>
      <c r="P101" s="24">
        <v>195</v>
      </c>
    </row>
    <row r="102" spans="1:16">
      <c r="A102" s="1">
        <v>101</v>
      </c>
      <c r="B102" s="2">
        <v>40548</v>
      </c>
      <c r="C102" s="1">
        <v>1</v>
      </c>
      <c r="D102" s="1">
        <v>0</v>
      </c>
      <c r="E102" s="1">
        <v>1</v>
      </c>
      <c r="F102" s="1">
        <v>9</v>
      </c>
      <c r="G102" s="1" t="b">
        <v>0</v>
      </c>
      <c r="H102" s="1">
        <v>3</v>
      </c>
      <c r="I102" s="1">
        <v>1</v>
      </c>
      <c r="J102" s="1">
        <v>0.22</v>
      </c>
      <c r="K102" s="19">
        <v>0.19700000000000001</v>
      </c>
      <c r="L102" s="21">
        <v>0.37</v>
      </c>
      <c r="M102" s="21">
        <v>0.32840000000000003</v>
      </c>
      <c r="N102" s="21">
        <v>6</v>
      </c>
      <c r="O102" s="21">
        <v>109</v>
      </c>
      <c r="P102" s="22">
        <v>115</v>
      </c>
    </row>
    <row r="103" spans="1:16">
      <c r="A103" s="1">
        <v>102</v>
      </c>
      <c r="B103" s="2">
        <v>40548</v>
      </c>
      <c r="C103" s="1">
        <v>1</v>
      </c>
      <c r="D103" s="1">
        <v>0</v>
      </c>
      <c r="E103" s="1">
        <v>1</v>
      </c>
      <c r="F103" s="1">
        <v>10</v>
      </c>
      <c r="G103" s="1" t="b">
        <v>0</v>
      </c>
      <c r="H103" s="1">
        <v>3</v>
      </c>
      <c r="I103" s="1">
        <v>1</v>
      </c>
      <c r="J103" s="1">
        <v>0.22</v>
      </c>
      <c r="K103" s="20">
        <v>0.19700000000000001</v>
      </c>
      <c r="L103" s="23">
        <v>0.37</v>
      </c>
      <c r="M103" s="23">
        <v>0.32840000000000003</v>
      </c>
      <c r="N103" s="23">
        <v>4</v>
      </c>
      <c r="O103" s="23">
        <v>53</v>
      </c>
      <c r="P103" s="24">
        <v>57</v>
      </c>
    </row>
    <row r="104" spans="1:16">
      <c r="A104" s="1">
        <v>103</v>
      </c>
      <c r="B104" s="2">
        <v>40548</v>
      </c>
      <c r="C104" s="1">
        <v>1</v>
      </c>
      <c r="D104" s="1">
        <v>0</v>
      </c>
      <c r="E104" s="1">
        <v>1</v>
      </c>
      <c r="F104" s="1">
        <v>11</v>
      </c>
      <c r="G104" s="1" t="b">
        <v>0</v>
      </c>
      <c r="H104" s="1">
        <v>3</v>
      </c>
      <c r="I104" s="1">
        <v>1</v>
      </c>
      <c r="J104" s="1">
        <v>0.26</v>
      </c>
      <c r="K104" s="19">
        <v>0.2273</v>
      </c>
      <c r="L104" s="21">
        <v>0.33</v>
      </c>
      <c r="M104" s="21">
        <v>0.32840000000000003</v>
      </c>
      <c r="N104" s="21">
        <v>12</v>
      </c>
      <c r="O104" s="21">
        <v>34</v>
      </c>
      <c r="P104" s="22">
        <v>46</v>
      </c>
    </row>
    <row r="105" spans="1:16">
      <c r="A105" s="1">
        <v>104</v>
      </c>
      <c r="B105" s="2">
        <v>40548</v>
      </c>
      <c r="C105" s="1">
        <v>1</v>
      </c>
      <c r="D105" s="1">
        <v>0</v>
      </c>
      <c r="E105" s="1">
        <v>1</v>
      </c>
      <c r="F105" s="1">
        <v>12</v>
      </c>
      <c r="G105" s="1" t="b">
        <v>0</v>
      </c>
      <c r="H105" s="1">
        <v>3</v>
      </c>
      <c r="I105" s="1">
        <v>1</v>
      </c>
      <c r="J105" s="1">
        <v>0.26</v>
      </c>
      <c r="K105" s="20">
        <v>0.2273</v>
      </c>
      <c r="L105" s="23">
        <v>0.33</v>
      </c>
      <c r="M105" s="23">
        <v>0.32840000000000003</v>
      </c>
      <c r="N105" s="23">
        <v>5</v>
      </c>
      <c r="O105" s="23">
        <v>74</v>
      </c>
      <c r="P105" s="24">
        <v>79</v>
      </c>
    </row>
    <row r="106" spans="1:16">
      <c r="A106" s="1">
        <v>105</v>
      </c>
      <c r="B106" s="2">
        <v>40548</v>
      </c>
      <c r="C106" s="1">
        <v>1</v>
      </c>
      <c r="D106" s="1">
        <v>0</v>
      </c>
      <c r="E106" s="1">
        <v>1</v>
      </c>
      <c r="F106" s="1">
        <v>13</v>
      </c>
      <c r="G106" s="1" t="b">
        <v>0</v>
      </c>
      <c r="H106" s="1">
        <v>3</v>
      </c>
      <c r="I106" s="1">
        <v>1</v>
      </c>
      <c r="J106" s="1">
        <v>0.28000000000000003</v>
      </c>
      <c r="K106" s="19">
        <v>0.2576</v>
      </c>
      <c r="L106" s="21">
        <v>0.3</v>
      </c>
      <c r="M106" s="21">
        <v>0.29849999999999999</v>
      </c>
      <c r="N106" s="21">
        <v>6</v>
      </c>
      <c r="O106" s="21">
        <v>65</v>
      </c>
      <c r="P106" s="22">
        <v>71</v>
      </c>
    </row>
    <row r="107" spans="1:16">
      <c r="A107" s="1">
        <v>106</v>
      </c>
      <c r="B107" s="2">
        <v>40548</v>
      </c>
      <c r="C107" s="1">
        <v>1</v>
      </c>
      <c r="D107" s="1">
        <v>0</v>
      </c>
      <c r="E107" s="1">
        <v>1</v>
      </c>
      <c r="F107" s="1">
        <v>14</v>
      </c>
      <c r="G107" s="1" t="b">
        <v>0</v>
      </c>
      <c r="H107" s="1">
        <v>3</v>
      </c>
      <c r="I107" s="1">
        <v>1</v>
      </c>
      <c r="J107" s="1">
        <v>0.3</v>
      </c>
      <c r="K107" s="20">
        <v>0.28789999999999999</v>
      </c>
      <c r="L107" s="23">
        <v>0.28000000000000003</v>
      </c>
      <c r="M107" s="23">
        <v>0.19400000000000001</v>
      </c>
      <c r="N107" s="23">
        <v>10</v>
      </c>
      <c r="O107" s="23">
        <v>52</v>
      </c>
      <c r="P107" s="24">
        <v>62</v>
      </c>
    </row>
    <row r="108" spans="1:16">
      <c r="A108" s="1">
        <v>107</v>
      </c>
      <c r="B108" s="2">
        <v>40548</v>
      </c>
      <c r="C108" s="1">
        <v>1</v>
      </c>
      <c r="D108" s="1">
        <v>0</v>
      </c>
      <c r="E108" s="1">
        <v>1</v>
      </c>
      <c r="F108" s="1">
        <v>15</v>
      </c>
      <c r="G108" s="1" t="b">
        <v>0</v>
      </c>
      <c r="H108" s="1">
        <v>3</v>
      </c>
      <c r="I108" s="1">
        <v>1</v>
      </c>
      <c r="J108" s="1">
        <v>0.3</v>
      </c>
      <c r="K108" s="19">
        <v>0.28789999999999999</v>
      </c>
      <c r="L108" s="21">
        <v>0.28000000000000003</v>
      </c>
      <c r="M108" s="21">
        <v>0.19400000000000001</v>
      </c>
      <c r="N108" s="21">
        <v>7</v>
      </c>
      <c r="O108" s="21">
        <v>55</v>
      </c>
      <c r="P108" s="22">
        <v>62</v>
      </c>
    </row>
    <row r="109" spans="1:16">
      <c r="A109" s="1">
        <v>108</v>
      </c>
      <c r="B109" s="2">
        <v>40548</v>
      </c>
      <c r="C109" s="1">
        <v>1</v>
      </c>
      <c r="D109" s="1">
        <v>0</v>
      </c>
      <c r="E109" s="1">
        <v>1</v>
      </c>
      <c r="F109" s="1">
        <v>16</v>
      </c>
      <c r="G109" s="1" t="b">
        <v>0</v>
      </c>
      <c r="H109" s="1">
        <v>3</v>
      </c>
      <c r="I109" s="1">
        <v>1</v>
      </c>
      <c r="J109" s="1">
        <v>0.3</v>
      </c>
      <c r="K109" s="20">
        <v>0.31819999999999998</v>
      </c>
      <c r="L109" s="23">
        <v>0.28000000000000003</v>
      </c>
      <c r="M109" s="23">
        <v>8.9599999999999999E-2</v>
      </c>
      <c r="N109" s="23">
        <v>4</v>
      </c>
      <c r="O109" s="23">
        <v>85</v>
      </c>
      <c r="P109" s="24">
        <v>89</v>
      </c>
    </row>
    <row r="110" spans="1:16">
      <c r="A110" s="1">
        <v>109</v>
      </c>
      <c r="B110" s="2">
        <v>40548</v>
      </c>
      <c r="C110" s="1">
        <v>1</v>
      </c>
      <c r="D110" s="1">
        <v>0</v>
      </c>
      <c r="E110" s="1">
        <v>1</v>
      </c>
      <c r="F110" s="1">
        <v>17</v>
      </c>
      <c r="G110" s="1" t="b">
        <v>0</v>
      </c>
      <c r="H110" s="1">
        <v>3</v>
      </c>
      <c r="I110" s="1">
        <v>1</v>
      </c>
      <c r="J110" s="1">
        <v>0.24</v>
      </c>
      <c r="K110" s="19">
        <v>0.2273</v>
      </c>
      <c r="L110" s="21">
        <v>0.38</v>
      </c>
      <c r="M110" s="21">
        <v>0.19400000000000001</v>
      </c>
      <c r="N110" s="21">
        <v>4</v>
      </c>
      <c r="O110" s="21">
        <v>186</v>
      </c>
      <c r="P110" s="22">
        <v>190</v>
      </c>
    </row>
    <row r="111" spans="1:16">
      <c r="A111" s="1">
        <v>110</v>
      </c>
      <c r="B111" s="2">
        <v>40548</v>
      </c>
      <c r="C111" s="1">
        <v>1</v>
      </c>
      <c r="D111" s="1">
        <v>0</v>
      </c>
      <c r="E111" s="1">
        <v>1</v>
      </c>
      <c r="F111" s="1">
        <v>18</v>
      </c>
      <c r="G111" s="1" t="b">
        <v>0</v>
      </c>
      <c r="H111" s="1">
        <v>3</v>
      </c>
      <c r="I111" s="1">
        <v>1</v>
      </c>
      <c r="J111" s="1">
        <v>0.24</v>
      </c>
      <c r="K111" s="20">
        <v>0.2424</v>
      </c>
      <c r="L111" s="23">
        <v>0.38</v>
      </c>
      <c r="M111" s="23">
        <v>0.1343</v>
      </c>
      <c r="N111" s="23">
        <v>3</v>
      </c>
      <c r="O111" s="23">
        <v>166</v>
      </c>
      <c r="P111" s="24">
        <v>169</v>
      </c>
    </row>
    <row r="112" spans="1:16">
      <c r="A112" s="1">
        <v>111</v>
      </c>
      <c r="B112" s="2">
        <v>40548</v>
      </c>
      <c r="C112" s="1">
        <v>1</v>
      </c>
      <c r="D112" s="1">
        <v>0</v>
      </c>
      <c r="E112" s="1">
        <v>1</v>
      </c>
      <c r="F112" s="1">
        <v>19</v>
      </c>
      <c r="G112" s="1" t="b">
        <v>0</v>
      </c>
      <c r="H112" s="1">
        <v>3</v>
      </c>
      <c r="I112" s="1">
        <v>1</v>
      </c>
      <c r="J112" s="1">
        <v>0.24</v>
      </c>
      <c r="K112" s="19">
        <v>0.2576</v>
      </c>
      <c r="L112" s="21">
        <v>0.38</v>
      </c>
      <c r="M112" s="21">
        <v>0.1045</v>
      </c>
      <c r="N112" s="21">
        <v>5</v>
      </c>
      <c r="O112" s="21">
        <v>127</v>
      </c>
      <c r="P112" s="22">
        <v>132</v>
      </c>
    </row>
    <row r="113" spans="1:16">
      <c r="A113" s="1">
        <v>112</v>
      </c>
      <c r="B113" s="2">
        <v>40548</v>
      </c>
      <c r="C113" s="1">
        <v>1</v>
      </c>
      <c r="D113" s="1">
        <v>0</v>
      </c>
      <c r="E113" s="1">
        <v>1</v>
      </c>
      <c r="F113" s="1">
        <v>20</v>
      </c>
      <c r="G113" s="1" t="b">
        <v>0</v>
      </c>
      <c r="H113" s="1">
        <v>3</v>
      </c>
      <c r="I113" s="1">
        <v>1</v>
      </c>
      <c r="J113" s="1">
        <v>0.22</v>
      </c>
      <c r="K113" s="20">
        <v>0.2273</v>
      </c>
      <c r="L113" s="23">
        <v>0.47</v>
      </c>
      <c r="M113" s="23">
        <v>0.16420000000000001</v>
      </c>
      <c r="N113" s="23">
        <v>7</v>
      </c>
      <c r="O113" s="23">
        <v>82</v>
      </c>
      <c r="P113" s="24">
        <v>89</v>
      </c>
    </row>
    <row r="114" spans="1:16">
      <c r="A114" s="1">
        <v>113</v>
      </c>
      <c r="B114" s="2">
        <v>40548</v>
      </c>
      <c r="C114" s="1">
        <v>1</v>
      </c>
      <c r="D114" s="1">
        <v>0</v>
      </c>
      <c r="E114" s="1">
        <v>1</v>
      </c>
      <c r="F114" s="1">
        <v>21</v>
      </c>
      <c r="G114" s="1" t="b">
        <v>0</v>
      </c>
      <c r="H114" s="1">
        <v>3</v>
      </c>
      <c r="I114" s="1">
        <v>1</v>
      </c>
      <c r="J114" s="1">
        <v>0.2</v>
      </c>
      <c r="K114" s="19">
        <v>0.19700000000000001</v>
      </c>
      <c r="L114" s="21">
        <v>0.51</v>
      </c>
      <c r="M114" s="21">
        <v>0.19400000000000001</v>
      </c>
      <c r="N114" s="21">
        <v>3</v>
      </c>
      <c r="O114" s="21">
        <v>40</v>
      </c>
      <c r="P114" s="22">
        <v>43</v>
      </c>
    </row>
    <row r="115" spans="1:16">
      <c r="A115" s="1">
        <v>114</v>
      </c>
      <c r="B115" s="2">
        <v>40548</v>
      </c>
      <c r="C115" s="1">
        <v>1</v>
      </c>
      <c r="D115" s="1">
        <v>0</v>
      </c>
      <c r="E115" s="1">
        <v>1</v>
      </c>
      <c r="F115" s="1">
        <v>22</v>
      </c>
      <c r="G115" s="1" t="b">
        <v>0</v>
      </c>
      <c r="H115" s="1">
        <v>3</v>
      </c>
      <c r="I115" s="1">
        <v>1</v>
      </c>
      <c r="J115" s="1">
        <v>0.18</v>
      </c>
      <c r="K115" s="20">
        <v>0.19700000000000001</v>
      </c>
      <c r="L115" s="23">
        <v>0.55000000000000004</v>
      </c>
      <c r="M115" s="23">
        <v>0.1343</v>
      </c>
      <c r="N115" s="23">
        <v>1</v>
      </c>
      <c r="O115" s="23">
        <v>41</v>
      </c>
      <c r="P115" s="24">
        <v>42</v>
      </c>
    </row>
    <row r="116" spans="1:16">
      <c r="A116" s="1">
        <v>115</v>
      </c>
      <c r="B116" s="2">
        <v>40548</v>
      </c>
      <c r="C116" s="1">
        <v>1</v>
      </c>
      <c r="D116" s="1">
        <v>0</v>
      </c>
      <c r="E116" s="1">
        <v>1</v>
      </c>
      <c r="F116" s="1">
        <v>23</v>
      </c>
      <c r="G116" s="1" t="b">
        <v>0</v>
      </c>
      <c r="H116" s="1">
        <v>3</v>
      </c>
      <c r="I116" s="1">
        <v>1</v>
      </c>
      <c r="J116" s="1">
        <v>0.2</v>
      </c>
      <c r="K116" s="19">
        <v>0.2576</v>
      </c>
      <c r="L116" s="21">
        <v>0.47</v>
      </c>
      <c r="M116" s="21">
        <v>0</v>
      </c>
      <c r="N116" s="21">
        <v>1</v>
      </c>
      <c r="O116" s="21">
        <v>18</v>
      </c>
      <c r="P116" s="22">
        <v>19</v>
      </c>
    </row>
    <row r="117" spans="1:16">
      <c r="A117" s="1">
        <v>116</v>
      </c>
      <c r="B117" s="2">
        <v>40549</v>
      </c>
      <c r="C117" s="1">
        <v>1</v>
      </c>
      <c r="D117" s="1">
        <v>0</v>
      </c>
      <c r="E117" s="1">
        <v>1</v>
      </c>
      <c r="F117" s="1">
        <v>0</v>
      </c>
      <c r="G117" s="1" t="b">
        <v>0</v>
      </c>
      <c r="H117" s="1">
        <v>4</v>
      </c>
      <c r="I117" s="1">
        <v>1</v>
      </c>
      <c r="J117" s="1">
        <v>0.18</v>
      </c>
      <c r="K117" s="20">
        <v>0.2424</v>
      </c>
      <c r="L117" s="23">
        <v>0.55000000000000004</v>
      </c>
      <c r="M117" s="23">
        <v>0</v>
      </c>
      <c r="N117" s="23">
        <v>0</v>
      </c>
      <c r="O117" s="23">
        <v>11</v>
      </c>
      <c r="P117" s="24">
        <v>11</v>
      </c>
    </row>
    <row r="118" spans="1:16">
      <c r="A118" s="1">
        <v>117</v>
      </c>
      <c r="B118" s="2">
        <v>40549</v>
      </c>
      <c r="C118" s="1">
        <v>1</v>
      </c>
      <c r="D118" s="1">
        <v>0</v>
      </c>
      <c r="E118" s="1">
        <v>1</v>
      </c>
      <c r="F118" s="1">
        <v>1</v>
      </c>
      <c r="G118" s="1" t="b">
        <v>0</v>
      </c>
      <c r="H118" s="1">
        <v>4</v>
      </c>
      <c r="I118" s="1">
        <v>1</v>
      </c>
      <c r="J118" s="1">
        <v>0.16</v>
      </c>
      <c r="K118" s="19">
        <v>0.2273</v>
      </c>
      <c r="L118" s="21">
        <v>0.64</v>
      </c>
      <c r="M118" s="21">
        <v>0</v>
      </c>
      <c r="N118" s="21">
        <v>0</v>
      </c>
      <c r="O118" s="21">
        <v>4</v>
      </c>
      <c r="P118" s="22">
        <v>4</v>
      </c>
    </row>
    <row r="119" spans="1:16">
      <c r="A119" s="1">
        <v>118</v>
      </c>
      <c r="B119" s="2">
        <v>40549</v>
      </c>
      <c r="C119" s="1">
        <v>1</v>
      </c>
      <c r="D119" s="1">
        <v>0</v>
      </c>
      <c r="E119" s="1">
        <v>1</v>
      </c>
      <c r="F119" s="1">
        <v>2</v>
      </c>
      <c r="G119" s="1" t="b">
        <v>0</v>
      </c>
      <c r="H119" s="1">
        <v>4</v>
      </c>
      <c r="I119" s="1">
        <v>1</v>
      </c>
      <c r="J119" s="1">
        <v>0.16</v>
      </c>
      <c r="K119" s="20">
        <v>0.2273</v>
      </c>
      <c r="L119" s="23">
        <v>0.64</v>
      </c>
      <c r="M119" s="23">
        <v>0</v>
      </c>
      <c r="N119" s="23">
        <v>0</v>
      </c>
      <c r="O119" s="23">
        <v>2</v>
      </c>
      <c r="P119" s="24">
        <v>2</v>
      </c>
    </row>
    <row r="120" spans="1:16">
      <c r="A120" s="1">
        <v>119</v>
      </c>
      <c r="B120" s="2">
        <v>40549</v>
      </c>
      <c r="C120" s="1">
        <v>1</v>
      </c>
      <c r="D120" s="1">
        <v>0</v>
      </c>
      <c r="E120" s="1">
        <v>1</v>
      </c>
      <c r="F120" s="1">
        <v>4</v>
      </c>
      <c r="G120" s="1" t="b">
        <v>0</v>
      </c>
      <c r="H120" s="1">
        <v>4</v>
      </c>
      <c r="I120" s="1">
        <v>2</v>
      </c>
      <c r="J120" s="1">
        <v>0.16</v>
      </c>
      <c r="K120" s="19">
        <v>0.19700000000000001</v>
      </c>
      <c r="L120" s="21">
        <v>0.64</v>
      </c>
      <c r="M120" s="21">
        <v>8.9599999999999999E-2</v>
      </c>
      <c r="N120" s="21">
        <v>0</v>
      </c>
      <c r="O120" s="21">
        <v>1</v>
      </c>
      <c r="P120" s="22">
        <v>1</v>
      </c>
    </row>
    <row r="121" spans="1:16">
      <c r="A121" s="1">
        <v>120</v>
      </c>
      <c r="B121" s="2">
        <v>40549</v>
      </c>
      <c r="C121" s="1">
        <v>1</v>
      </c>
      <c r="D121" s="1">
        <v>0</v>
      </c>
      <c r="E121" s="1">
        <v>1</v>
      </c>
      <c r="F121" s="1">
        <v>5</v>
      </c>
      <c r="G121" s="1" t="b">
        <v>0</v>
      </c>
      <c r="H121" s="1">
        <v>4</v>
      </c>
      <c r="I121" s="1">
        <v>2</v>
      </c>
      <c r="J121" s="1">
        <v>0.14000000000000001</v>
      </c>
      <c r="K121" s="20">
        <v>0.18179999999999999</v>
      </c>
      <c r="L121" s="23">
        <v>0.69</v>
      </c>
      <c r="M121" s="23">
        <v>8.9599999999999999E-2</v>
      </c>
      <c r="N121" s="23">
        <v>0</v>
      </c>
      <c r="O121" s="23">
        <v>4</v>
      </c>
      <c r="P121" s="24">
        <v>4</v>
      </c>
    </row>
    <row r="122" spans="1:16">
      <c r="A122" s="1">
        <v>121</v>
      </c>
      <c r="B122" s="2">
        <v>40549</v>
      </c>
      <c r="C122" s="1">
        <v>1</v>
      </c>
      <c r="D122" s="1">
        <v>0</v>
      </c>
      <c r="E122" s="1">
        <v>1</v>
      </c>
      <c r="F122" s="1">
        <v>6</v>
      </c>
      <c r="G122" s="1" t="b">
        <v>0</v>
      </c>
      <c r="H122" s="1">
        <v>4</v>
      </c>
      <c r="I122" s="1">
        <v>2</v>
      </c>
      <c r="J122" s="1">
        <v>0.14000000000000001</v>
      </c>
      <c r="K122" s="19">
        <v>0.16669999999999999</v>
      </c>
      <c r="L122" s="21">
        <v>0.63</v>
      </c>
      <c r="M122" s="21">
        <v>0.1045</v>
      </c>
      <c r="N122" s="21">
        <v>0</v>
      </c>
      <c r="O122" s="21">
        <v>36</v>
      </c>
      <c r="P122" s="22">
        <v>36</v>
      </c>
    </row>
    <row r="123" spans="1:16">
      <c r="A123" s="1">
        <v>122</v>
      </c>
      <c r="B123" s="2">
        <v>40549</v>
      </c>
      <c r="C123" s="1">
        <v>1</v>
      </c>
      <c r="D123" s="1">
        <v>0</v>
      </c>
      <c r="E123" s="1">
        <v>1</v>
      </c>
      <c r="F123" s="1">
        <v>7</v>
      </c>
      <c r="G123" s="1" t="b">
        <v>0</v>
      </c>
      <c r="H123" s="1">
        <v>4</v>
      </c>
      <c r="I123" s="1">
        <v>2</v>
      </c>
      <c r="J123" s="1">
        <v>0.16</v>
      </c>
      <c r="K123" s="20">
        <v>0.2273</v>
      </c>
      <c r="L123" s="23">
        <v>0.59</v>
      </c>
      <c r="M123" s="23">
        <v>0</v>
      </c>
      <c r="N123" s="23">
        <v>0</v>
      </c>
      <c r="O123" s="23">
        <v>95</v>
      </c>
      <c r="P123" s="24">
        <v>95</v>
      </c>
    </row>
    <row r="124" spans="1:16">
      <c r="A124" s="1">
        <v>123</v>
      </c>
      <c r="B124" s="2">
        <v>40549</v>
      </c>
      <c r="C124" s="1">
        <v>1</v>
      </c>
      <c r="D124" s="1">
        <v>0</v>
      </c>
      <c r="E124" s="1">
        <v>1</v>
      </c>
      <c r="F124" s="1">
        <v>8</v>
      </c>
      <c r="G124" s="1" t="b">
        <v>0</v>
      </c>
      <c r="H124" s="1">
        <v>4</v>
      </c>
      <c r="I124" s="1">
        <v>1</v>
      </c>
      <c r="J124" s="1">
        <v>0.16</v>
      </c>
      <c r="K124" s="19">
        <v>0.2273</v>
      </c>
      <c r="L124" s="21">
        <v>0.59</v>
      </c>
      <c r="M124" s="21">
        <v>0</v>
      </c>
      <c r="N124" s="21">
        <v>3</v>
      </c>
      <c r="O124" s="21">
        <v>216</v>
      </c>
      <c r="P124" s="22">
        <v>219</v>
      </c>
    </row>
    <row r="125" spans="1:16">
      <c r="A125" s="1">
        <v>124</v>
      </c>
      <c r="B125" s="2">
        <v>40549</v>
      </c>
      <c r="C125" s="1">
        <v>1</v>
      </c>
      <c r="D125" s="1">
        <v>0</v>
      </c>
      <c r="E125" s="1">
        <v>1</v>
      </c>
      <c r="F125" s="1">
        <v>9</v>
      </c>
      <c r="G125" s="1" t="b">
        <v>0</v>
      </c>
      <c r="H125" s="1">
        <v>4</v>
      </c>
      <c r="I125" s="1">
        <v>2</v>
      </c>
      <c r="J125" s="1">
        <v>0.18</v>
      </c>
      <c r="K125" s="20">
        <v>0.2424</v>
      </c>
      <c r="L125" s="23">
        <v>0.51</v>
      </c>
      <c r="M125" s="23">
        <v>0</v>
      </c>
      <c r="N125" s="23">
        <v>6</v>
      </c>
      <c r="O125" s="23">
        <v>116</v>
      </c>
      <c r="P125" s="24">
        <v>122</v>
      </c>
    </row>
    <row r="126" spans="1:16">
      <c r="A126" s="1">
        <v>125</v>
      </c>
      <c r="B126" s="2">
        <v>40549</v>
      </c>
      <c r="C126" s="1">
        <v>1</v>
      </c>
      <c r="D126" s="1">
        <v>0</v>
      </c>
      <c r="E126" s="1">
        <v>1</v>
      </c>
      <c r="F126" s="1">
        <v>10</v>
      </c>
      <c r="G126" s="1" t="b">
        <v>0</v>
      </c>
      <c r="H126" s="1">
        <v>4</v>
      </c>
      <c r="I126" s="1">
        <v>1</v>
      </c>
      <c r="J126" s="1">
        <v>0.2</v>
      </c>
      <c r="K126" s="19">
        <v>0.2576</v>
      </c>
      <c r="L126" s="21">
        <v>0.47</v>
      </c>
      <c r="M126" s="21">
        <v>0</v>
      </c>
      <c r="N126" s="21">
        <v>3</v>
      </c>
      <c r="O126" s="21">
        <v>42</v>
      </c>
      <c r="P126" s="22">
        <v>45</v>
      </c>
    </row>
    <row r="127" spans="1:16">
      <c r="A127" s="1">
        <v>126</v>
      </c>
      <c r="B127" s="2">
        <v>40549</v>
      </c>
      <c r="C127" s="1">
        <v>1</v>
      </c>
      <c r="D127" s="1">
        <v>0</v>
      </c>
      <c r="E127" s="1">
        <v>1</v>
      </c>
      <c r="F127" s="1">
        <v>11</v>
      </c>
      <c r="G127" s="1" t="b">
        <v>0</v>
      </c>
      <c r="H127" s="1">
        <v>4</v>
      </c>
      <c r="I127" s="1">
        <v>1</v>
      </c>
      <c r="J127" s="1">
        <v>0.22</v>
      </c>
      <c r="K127" s="20">
        <v>0.2576</v>
      </c>
      <c r="L127" s="23">
        <v>0.44</v>
      </c>
      <c r="M127" s="23">
        <v>8.9599999999999999E-2</v>
      </c>
      <c r="N127" s="23">
        <v>2</v>
      </c>
      <c r="O127" s="23">
        <v>57</v>
      </c>
      <c r="P127" s="24">
        <v>59</v>
      </c>
    </row>
    <row r="128" spans="1:16">
      <c r="A128" s="1">
        <v>127</v>
      </c>
      <c r="B128" s="2">
        <v>40549</v>
      </c>
      <c r="C128" s="1">
        <v>1</v>
      </c>
      <c r="D128" s="1">
        <v>0</v>
      </c>
      <c r="E128" s="1">
        <v>1</v>
      </c>
      <c r="F128" s="1">
        <v>12</v>
      </c>
      <c r="G128" s="1" t="b">
        <v>0</v>
      </c>
      <c r="H128" s="1">
        <v>4</v>
      </c>
      <c r="I128" s="1">
        <v>1</v>
      </c>
      <c r="J128" s="1">
        <v>0.26</v>
      </c>
      <c r="K128" s="19">
        <v>0.28789999999999999</v>
      </c>
      <c r="L128" s="21">
        <v>0.35</v>
      </c>
      <c r="M128" s="21">
        <v>0</v>
      </c>
      <c r="N128" s="21">
        <v>6</v>
      </c>
      <c r="O128" s="21">
        <v>78</v>
      </c>
      <c r="P128" s="22">
        <v>84</v>
      </c>
    </row>
    <row r="129" spans="1:16">
      <c r="A129" s="1">
        <v>128</v>
      </c>
      <c r="B129" s="2">
        <v>40549</v>
      </c>
      <c r="C129" s="1">
        <v>1</v>
      </c>
      <c r="D129" s="1">
        <v>0</v>
      </c>
      <c r="E129" s="1">
        <v>1</v>
      </c>
      <c r="F129" s="1">
        <v>13</v>
      </c>
      <c r="G129" s="1" t="b">
        <v>0</v>
      </c>
      <c r="H129" s="1">
        <v>4</v>
      </c>
      <c r="I129" s="1">
        <v>1</v>
      </c>
      <c r="J129" s="1">
        <v>0.26</v>
      </c>
      <c r="K129" s="20">
        <v>0.2727</v>
      </c>
      <c r="L129" s="23">
        <v>0.35</v>
      </c>
      <c r="M129" s="23">
        <v>0.1045</v>
      </c>
      <c r="N129" s="23">
        <v>12</v>
      </c>
      <c r="O129" s="23">
        <v>55</v>
      </c>
      <c r="P129" s="24">
        <v>67</v>
      </c>
    </row>
    <row r="130" spans="1:16">
      <c r="A130" s="1">
        <v>129</v>
      </c>
      <c r="B130" s="2">
        <v>40549</v>
      </c>
      <c r="C130" s="1">
        <v>1</v>
      </c>
      <c r="D130" s="1">
        <v>0</v>
      </c>
      <c r="E130" s="1">
        <v>1</v>
      </c>
      <c r="F130" s="1">
        <v>14</v>
      </c>
      <c r="G130" s="1" t="b">
        <v>0</v>
      </c>
      <c r="H130" s="1">
        <v>4</v>
      </c>
      <c r="I130" s="1">
        <v>1</v>
      </c>
      <c r="J130" s="1">
        <v>0.28000000000000003</v>
      </c>
      <c r="K130" s="19">
        <v>0.2727</v>
      </c>
      <c r="L130" s="21">
        <v>0.36</v>
      </c>
      <c r="M130" s="21">
        <v>0.16420000000000001</v>
      </c>
      <c r="N130" s="21">
        <v>11</v>
      </c>
      <c r="O130" s="21">
        <v>59</v>
      </c>
      <c r="P130" s="22">
        <v>70</v>
      </c>
    </row>
    <row r="131" spans="1:16">
      <c r="A131" s="1">
        <v>130</v>
      </c>
      <c r="B131" s="2">
        <v>40549</v>
      </c>
      <c r="C131" s="1">
        <v>1</v>
      </c>
      <c r="D131" s="1">
        <v>0</v>
      </c>
      <c r="E131" s="1">
        <v>1</v>
      </c>
      <c r="F131" s="1">
        <v>15</v>
      </c>
      <c r="G131" s="1" t="b">
        <v>0</v>
      </c>
      <c r="H131" s="1">
        <v>4</v>
      </c>
      <c r="I131" s="1">
        <v>1</v>
      </c>
      <c r="J131" s="1">
        <v>0.28000000000000003</v>
      </c>
      <c r="K131" s="20">
        <v>0.2727</v>
      </c>
      <c r="L131" s="23">
        <v>0.36</v>
      </c>
      <c r="M131" s="23">
        <v>0</v>
      </c>
      <c r="N131" s="23">
        <v>8</v>
      </c>
      <c r="O131" s="23">
        <v>54</v>
      </c>
      <c r="P131" s="24">
        <v>62</v>
      </c>
    </row>
    <row r="132" spans="1:16">
      <c r="A132" s="1">
        <v>131</v>
      </c>
      <c r="B132" s="2">
        <v>40549</v>
      </c>
      <c r="C132" s="1">
        <v>1</v>
      </c>
      <c r="D132" s="1">
        <v>0</v>
      </c>
      <c r="E132" s="1">
        <v>1</v>
      </c>
      <c r="F132" s="1">
        <v>16</v>
      </c>
      <c r="G132" s="1" t="b">
        <v>0</v>
      </c>
      <c r="H132" s="1">
        <v>4</v>
      </c>
      <c r="I132" s="1">
        <v>1</v>
      </c>
      <c r="J132" s="1">
        <v>0.26</v>
      </c>
      <c r="K132" s="19">
        <v>0.2576</v>
      </c>
      <c r="L132" s="21">
        <v>0.38</v>
      </c>
      <c r="M132" s="21">
        <v>0.16420000000000001</v>
      </c>
      <c r="N132" s="21">
        <v>12</v>
      </c>
      <c r="O132" s="21">
        <v>74</v>
      </c>
      <c r="P132" s="22">
        <v>86</v>
      </c>
    </row>
    <row r="133" spans="1:16">
      <c r="A133" s="1">
        <v>132</v>
      </c>
      <c r="B133" s="2">
        <v>40549</v>
      </c>
      <c r="C133" s="1">
        <v>1</v>
      </c>
      <c r="D133" s="1">
        <v>0</v>
      </c>
      <c r="E133" s="1">
        <v>1</v>
      </c>
      <c r="F133" s="1">
        <v>17</v>
      </c>
      <c r="G133" s="1" t="b">
        <v>0</v>
      </c>
      <c r="H133" s="1">
        <v>4</v>
      </c>
      <c r="I133" s="1">
        <v>1</v>
      </c>
      <c r="J133" s="1">
        <v>0.22</v>
      </c>
      <c r="K133" s="20">
        <v>0.2273</v>
      </c>
      <c r="L133" s="23">
        <v>0.51</v>
      </c>
      <c r="M133" s="23">
        <v>0.16420000000000001</v>
      </c>
      <c r="N133" s="23">
        <v>9</v>
      </c>
      <c r="O133" s="23">
        <v>163</v>
      </c>
      <c r="P133" s="24">
        <v>172</v>
      </c>
    </row>
    <row r="134" spans="1:16">
      <c r="A134" s="1">
        <v>133</v>
      </c>
      <c r="B134" s="2">
        <v>40549</v>
      </c>
      <c r="C134" s="1">
        <v>1</v>
      </c>
      <c r="D134" s="1">
        <v>0</v>
      </c>
      <c r="E134" s="1">
        <v>1</v>
      </c>
      <c r="F134" s="1">
        <v>18</v>
      </c>
      <c r="G134" s="1" t="b">
        <v>0</v>
      </c>
      <c r="H134" s="1">
        <v>4</v>
      </c>
      <c r="I134" s="1">
        <v>1</v>
      </c>
      <c r="J134" s="1">
        <v>0.22</v>
      </c>
      <c r="K134" s="19">
        <v>0.2273</v>
      </c>
      <c r="L134" s="21">
        <v>0.51</v>
      </c>
      <c r="M134" s="21">
        <v>0.1343</v>
      </c>
      <c r="N134" s="21">
        <v>5</v>
      </c>
      <c r="O134" s="21">
        <v>158</v>
      </c>
      <c r="P134" s="22">
        <v>163</v>
      </c>
    </row>
    <row r="135" spans="1:16">
      <c r="A135" s="1">
        <v>134</v>
      </c>
      <c r="B135" s="2">
        <v>40549</v>
      </c>
      <c r="C135" s="1">
        <v>1</v>
      </c>
      <c r="D135" s="1">
        <v>0</v>
      </c>
      <c r="E135" s="1">
        <v>1</v>
      </c>
      <c r="F135" s="1">
        <v>19</v>
      </c>
      <c r="G135" s="1" t="b">
        <v>0</v>
      </c>
      <c r="H135" s="1">
        <v>4</v>
      </c>
      <c r="I135" s="1">
        <v>1</v>
      </c>
      <c r="J135" s="1">
        <v>0.22</v>
      </c>
      <c r="K135" s="20">
        <v>0.2576</v>
      </c>
      <c r="L135" s="23">
        <v>0.55000000000000004</v>
      </c>
      <c r="M135" s="23">
        <v>8.9599999999999999E-2</v>
      </c>
      <c r="N135" s="23">
        <v>3</v>
      </c>
      <c r="O135" s="23">
        <v>109</v>
      </c>
      <c r="P135" s="24">
        <v>112</v>
      </c>
    </row>
    <row r="136" spans="1:16">
      <c r="A136" s="1">
        <v>135</v>
      </c>
      <c r="B136" s="2">
        <v>40549</v>
      </c>
      <c r="C136" s="1">
        <v>1</v>
      </c>
      <c r="D136" s="1">
        <v>0</v>
      </c>
      <c r="E136" s="1">
        <v>1</v>
      </c>
      <c r="F136" s="1">
        <v>20</v>
      </c>
      <c r="G136" s="1" t="b">
        <v>0</v>
      </c>
      <c r="H136" s="1">
        <v>4</v>
      </c>
      <c r="I136" s="1">
        <v>1</v>
      </c>
      <c r="J136" s="1">
        <v>0.2</v>
      </c>
      <c r="K136" s="19">
        <v>0.21210000000000001</v>
      </c>
      <c r="L136" s="21">
        <v>0.51</v>
      </c>
      <c r="M136" s="21">
        <v>0.16420000000000001</v>
      </c>
      <c r="N136" s="21">
        <v>3</v>
      </c>
      <c r="O136" s="21">
        <v>66</v>
      </c>
      <c r="P136" s="22">
        <v>69</v>
      </c>
    </row>
    <row r="137" spans="1:16">
      <c r="A137" s="1">
        <v>136</v>
      </c>
      <c r="B137" s="2">
        <v>40549</v>
      </c>
      <c r="C137" s="1">
        <v>1</v>
      </c>
      <c r="D137" s="1">
        <v>0</v>
      </c>
      <c r="E137" s="1">
        <v>1</v>
      </c>
      <c r="F137" s="1">
        <v>21</v>
      </c>
      <c r="G137" s="1" t="b">
        <v>0</v>
      </c>
      <c r="H137" s="1">
        <v>4</v>
      </c>
      <c r="I137" s="1">
        <v>2</v>
      </c>
      <c r="J137" s="1">
        <v>0.22</v>
      </c>
      <c r="K137" s="20">
        <v>0.21210000000000001</v>
      </c>
      <c r="L137" s="23">
        <v>0.55000000000000004</v>
      </c>
      <c r="M137" s="23">
        <v>0.22389999999999999</v>
      </c>
      <c r="N137" s="23">
        <v>0</v>
      </c>
      <c r="O137" s="23">
        <v>48</v>
      </c>
      <c r="P137" s="24">
        <v>48</v>
      </c>
    </row>
    <row r="138" spans="1:16">
      <c r="A138" s="1">
        <v>137</v>
      </c>
      <c r="B138" s="2">
        <v>40549</v>
      </c>
      <c r="C138" s="1">
        <v>1</v>
      </c>
      <c r="D138" s="1">
        <v>0</v>
      </c>
      <c r="E138" s="1">
        <v>1</v>
      </c>
      <c r="F138" s="1">
        <v>22</v>
      </c>
      <c r="G138" s="1" t="b">
        <v>0</v>
      </c>
      <c r="H138" s="1">
        <v>4</v>
      </c>
      <c r="I138" s="1">
        <v>2</v>
      </c>
      <c r="J138" s="1">
        <v>0.22</v>
      </c>
      <c r="K138" s="19">
        <v>0.21210000000000001</v>
      </c>
      <c r="L138" s="21">
        <v>0.51</v>
      </c>
      <c r="M138" s="21">
        <v>0.28360000000000002</v>
      </c>
      <c r="N138" s="21">
        <v>1</v>
      </c>
      <c r="O138" s="21">
        <v>51</v>
      </c>
      <c r="P138" s="22">
        <v>52</v>
      </c>
    </row>
    <row r="139" spans="1:16">
      <c r="A139" s="1">
        <v>138</v>
      </c>
      <c r="B139" s="2">
        <v>40549</v>
      </c>
      <c r="C139" s="1">
        <v>1</v>
      </c>
      <c r="D139" s="1">
        <v>0</v>
      </c>
      <c r="E139" s="1">
        <v>1</v>
      </c>
      <c r="F139" s="1">
        <v>23</v>
      </c>
      <c r="G139" s="1" t="b">
        <v>0</v>
      </c>
      <c r="H139" s="1">
        <v>4</v>
      </c>
      <c r="I139" s="1">
        <v>2</v>
      </c>
      <c r="J139" s="1">
        <v>0.2</v>
      </c>
      <c r="K139" s="20">
        <v>0.19700000000000001</v>
      </c>
      <c r="L139" s="23">
        <v>0.59</v>
      </c>
      <c r="M139" s="23">
        <v>0.19400000000000001</v>
      </c>
      <c r="N139" s="23">
        <v>4</v>
      </c>
      <c r="O139" s="23">
        <v>19</v>
      </c>
      <c r="P139" s="24">
        <v>23</v>
      </c>
    </row>
    <row r="140" spans="1:16">
      <c r="A140" s="1">
        <v>139</v>
      </c>
      <c r="B140" s="2">
        <v>40550</v>
      </c>
      <c r="C140" s="1">
        <v>1</v>
      </c>
      <c r="D140" s="1">
        <v>0</v>
      </c>
      <c r="E140" s="1">
        <v>1</v>
      </c>
      <c r="F140" s="1">
        <v>0</v>
      </c>
      <c r="G140" s="1" t="b">
        <v>0</v>
      </c>
      <c r="H140" s="1">
        <v>5</v>
      </c>
      <c r="I140" s="1">
        <v>2</v>
      </c>
      <c r="J140" s="1">
        <v>0.2</v>
      </c>
      <c r="K140" s="19">
        <v>0.19700000000000001</v>
      </c>
      <c r="L140" s="21">
        <v>0.64</v>
      </c>
      <c r="M140" s="21">
        <v>0.19400000000000001</v>
      </c>
      <c r="N140" s="21">
        <v>4</v>
      </c>
      <c r="O140" s="21">
        <v>13</v>
      </c>
      <c r="P140" s="22">
        <v>17</v>
      </c>
    </row>
    <row r="141" spans="1:16">
      <c r="A141" s="1">
        <v>140</v>
      </c>
      <c r="B141" s="2">
        <v>40550</v>
      </c>
      <c r="C141" s="1">
        <v>1</v>
      </c>
      <c r="D141" s="1">
        <v>0</v>
      </c>
      <c r="E141" s="1">
        <v>1</v>
      </c>
      <c r="F141" s="1">
        <v>1</v>
      </c>
      <c r="G141" s="1" t="b">
        <v>0</v>
      </c>
      <c r="H141" s="1">
        <v>5</v>
      </c>
      <c r="I141" s="1">
        <v>2</v>
      </c>
      <c r="J141" s="1">
        <v>0.2</v>
      </c>
      <c r="K141" s="20">
        <v>0.19700000000000001</v>
      </c>
      <c r="L141" s="23">
        <v>0.69</v>
      </c>
      <c r="M141" s="23">
        <v>0.22389999999999999</v>
      </c>
      <c r="N141" s="23">
        <v>2</v>
      </c>
      <c r="O141" s="23">
        <v>5</v>
      </c>
      <c r="P141" s="24">
        <v>7</v>
      </c>
    </row>
    <row r="142" spans="1:16">
      <c r="A142" s="1">
        <v>141</v>
      </c>
      <c r="B142" s="2">
        <v>40550</v>
      </c>
      <c r="C142" s="1">
        <v>1</v>
      </c>
      <c r="D142" s="1">
        <v>0</v>
      </c>
      <c r="E142" s="1">
        <v>1</v>
      </c>
      <c r="F142" s="1">
        <v>2</v>
      </c>
      <c r="G142" s="1" t="b">
        <v>0</v>
      </c>
      <c r="H142" s="1">
        <v>5</v>
      </c>
      <c r="I142" s="1">
        <v>2</v>
      </c>
      <c r="J142" s="1">
        <v>0.2</v>
      </c>
      <c r="K142" s="19">
        <v>0.19700000000000001</v>
      </c>
      <c r="L142" s="21">
        <v>0.69</v>
      </c>
      <c r="M142" s="21">
        <v>0.22389999999999999</v>
      </c>
      <c r="N142" s="21">
        <v>0</v>
      </c>
      <c r="O142" s="21">
        <v>1</v>
      </c>
      <c r="P142" s="22">
        <v>1</v>
      </c>
    </row>
    <row r="143" spans="1:16">
      <c r="A143" s="1">
        <v>142</v>
      </c>
      <c r="B143" s="2">
        <v>40550</v>
      </c>
      <c r="C143" s="1">
        <v>1</v>
      </c>
      <c r="D143" s="1">
        <v>0</v>
      </c>
      <c r="E143" s="1">
        <v>1</v>
      </c>
      <c r="F143" s="1">
        <v>4</v>
      </c>
      <c r="G143" s="1" t="b">
        <v>0</v>
      </c>
      <c r="H143" s="1">
        <v>5</v>
      </c>
      <c r="I143" s="1">
        <v>2</v>
      </c>
      <c r="J143" s="1">
        <v>0.2</v>
      </c>
      <c r="K143" s="20">
        <v>0.21210000000000001</v>
      </c>
      <c r="L143" s="23">
        <v>0.69</v>
      </c>
      <c r="M143" s="23">
        <v>0.1343</v>
      </c>
      <c r="N143" s="23">
        <v>0</v>
      </c>
      <c r="O143" s="23">
        <v>1</v>
      </c>
      <c r="P143" s="24">
        <v>1</v>
      </c>
    </row>
    <row r="144" spans="1:16">
      <c r="A144" s="1">
        <v>143</v>
      </c>
      <c r="B144" s="2">
        <v>40550</v>
      </c>
      <c r="C144" s="1">
        <v>1</v>
      </c>
      <c r="D144" s="1">
        <v>0</v>
      </c>
      <c r="E144" s="1">
        <v>1</v>
      </c>
      <c r="F144" s="1">
        <v>5</v>
      </c>
      <c r="G144" s="1" t="b">
        <v>0</v>
      </c>
      <c r="H144" s="1">
        <v>5</v>
      </c>
      <c r="I144" s="1">
        <v>3</v>
      </c>
      <c r="J144" s="1">
        <v>0.22</v>
      </c>
      <c r="K144" s="19">
        <v>0.2727</v>
      </c>
      <c r="L144" s="21">
        <v>0.55000000000000004</v>
      </c>
      <c r="M144" s="21">
        <v>0</v>
      </c>
      <c r="N144" s="21">
        <v>0</v>
      </c>
      <c r="O144" s="21">
        <v>5</v>
      </c>
      <c r="P144" s="22">
        <v>5</v>
      </c>
    </row>
    <row r="145" spans="1:16">
      <c r="A145" s="1">
        <v>144</v>
      </c>
      <c r="B145" s="2">
        <v>40550</v>
      </c>
      <c r="C145" s="1">
        <v>1</v>
      </c>
      <c r="D145" s="1">
        <v>0</v>
      </c>
      <c r="E145" s="1">
        <v>1</v>
      </c>
      <c r="F145" s="1">
        <v>6</v>
      </c>
      <c r="G145" s="1" t="b">
        <v>0</v>
      </c>
      <c r="H145" s="1">
        <v>5</v>
      </c>
      <c r="I145" s="1">
        <v>2</v>
      </c>
      <c r="J145" s="1">
        <v>0.2</v>
      </c>
      <c r="K145" s="20">
        <v>0.2576</v>
      </c>
      <c r="L145" s="23">
        <v>0.69</v>
      </c>
      <c r="M145" s="23">
        <v>0</v>
      </c>
      <c r="N145" s="23">
        <v>8</v>
      </c>
      <c r="O145" s="23">
        <v>26</v>
      </c>
      <c r="P145" s="24">
        <v>34</v>
      </c>
    </row>
    <row r="146" spans="1:16">
      <c r="A146" s="1">
        <v>145</v>
      </c>
      <c r="B146" s="2">
        <v>40550</v>
      </c>
      <c r="C146" s="1">
        <v>1</v>
      </c>
      <c r="D146" s="1">
        <v>0</v>
      </c>
      <c r="E146" s="1">
        <v>1</v>
      </c>
      <c r="F146" s="1">
        <v>7</v>
      </c>
      <c r="G146" s="1" t="b">
        <v>0</v>
      </c>
      <c r="H146" s="1">
        <v>5</v>
      </c>
      <c r="I146" s="1">
        <v>1</v>
      </c>
      <c r="J146" s="1">
        <v>0.2</v>
      </c>
      <c r="K146" s="19">
        <v>0.21210000000000001</v>
      </c>
      <c r="L146" s="21">
        <v>0.69</v>
      </c>
      <c r="M146" s="21">
        <v>0.1343</v>
      </c>
      <c r="N146" s="21">
        <v>8</v>
      </c>
      <c r="O146" s="21">
        <v>76</v>
      </c>
      <c r="P146" s="22">
        <v>84</v>
      </c>
    </row>
    <row r="147" spans="1:16">
      <c r="A147" s="1">
        <v>146</v>
      </c>
      <c r="B147" s="2">
        <v>40550</v>
      </c>
      <c r="C147" s="1">
        <v>1</v>
      </c>
      <c r="D147" s="1">
        <v>0</v>
      </c>
      <c r="E147" s="1">
        <v>1</v>
      </c>
      <c r="F147" s="1">
        <v>8</v>
      </c>
      <c r="G147" s="1" t="b">
        <v>0</v>
      </c>
      <c r="H147" s="1">
        <v>5</v>
      </c>
      <c r="I147" s="1">
        <v>1</v>
      </c>
      <c r="J147" s="1">
        <v>0.2</v>
      </c>
      <c r="K147" s="20">
        <v>0.19700000000000001</v>
      </c>
      <c r="L147" s="23">
        <v>0.51</v>
      </c>
      <c r="M147" s="23">
        <v>0.25369999999999998</v>
      </c>
      <c r="N147" s="23">
        <v>20</v>
      </c>
      <c r="O147" s="23">
        <v>190</v>
      </c>
      <c r="P147" s="24">
        <v>210</v>
      </c>
    </row>
    <row r="148" spans="1:16">
      <c r="A148" s="1">
        <v>147</v>
      </c>
      <c r="B148" s="2">
        <v>40550</v>
      </c>
      <c r="C148" s="1">
        <v>1</v>
      </c>
      <c r="D148" s="1">
        <v>0</v>
      </c>
      <c r="E148" s="1">
        <v>1</v>
      </c>
      <c r="F148" s="1">
        <v>9</v>
      </c>
      <c r="G148" s="1" t="b">
        <v>0</v>
      </c>
      <c r="H148" s="1">
        <v>5</v>
      </c>
      <c r="I148" s="1">
        <v>1</v>
      </c>
      <c r="J148" s="1">
        <v>0.2</v>
      </c>
      <c r="K148" s="19">
        <v>0.18179999999999999</v>
      </c>
      <c r="L148" s="21">
        <v>0.47</v>
      </c>
      <c r="M148" s="21">
        <v>0.29849999999999999</v>
      </c>
      <c r="N148" s="21">
        <v>9</v>
      </c>
      <c r="O148" s="21">
        <v>125</v>
      </c>
      <c r="P148" s="22">
        <v>134</v>
      </c>
    </row>
    <row r="149" spans="1:16">
      <c r="A149" s="1">
        <v>148</v>
      </c>
      <c r="B149" s="2">
        <v>40550</v>
      </c>
      <c r="C149" s="1">
        <v>1</v>
      </c>
      <c r="D149" s="1">
        <v>0</v>
      </c>
      <c r="E149" s="1">
        <v>1</v>
      </c>
      <c r="F149" s="1">
        <v>10</v>
      </c>
      <c r="G149" s="1" t="b">
        <v>0</v>
      </c>
      <c r="H149" s="1">
        <v>5</v>
      </c>
      <c r="I149" s="1">
        <v>1</v>
      </c>
      <c r="J149" s="1">
        <v>0.22</v>
      </c>
      <c r="K149" s="20">
        <v>0.19700000000000001</v>
      </c>
      <c r="L149" s="23">
        <v>0.37</v>
      </c>
      <c r="M149" s="23">
        <v>0.32840000000000003</v>
      </c>
      <c r="N149" s="23">
        <v>16</v>
      </c>
      <c r="O149" s="23">
        <v>47</v>
      </c>
      <c r="P149" s="24">
        <v>63</v>
      </c>
    </row>
    <row r="150" spans="1:16">
      <c r="A150" s="1">
        <v>149</v>
      </c>
      <c r="B150" s="2">
        <v>40550</v>
      </c>
      <c r="C150" s="1">
        <v>1</v>
      </c>
      <c r="D150" s="1">
        <v>0</v>
      </c>
      <c r="E150" s="1">
        <v>1</v>
      </c>
      <c r="F150" s="1">
        <v>11</v>
      </c>
      <c r="G150" s="1" t="b">
        <v>0</v>
      </c>
      <c r="H150" s="1">
        <v>5</v>
      </c>
      <c r="I150" s="1">
        <v>2</v>
      </c>
      <c r="J150" s="1">
        <v>0.2</v>
      </c>
      <c r="K150" s="19">
        <v>0.19700000000000001</v>
      </c>
      <c r="L150" s="21">
        <v>0.4</v>
      </c>
      <c r="M150" s="21">
        <v>0.22389999999999999</v>
      </c>
      <c r="N150" s="21">
        <v>19</v>
      </c>
      <c r="O150" s="21">
        <v>48</v>
      </c>
      <c r="P150" s="22">
        <v>67</v>
      </c>
    </row>
    <row r="151" spans="1:16">
      <c r="A151" s="1">
        <v>150</v>
      </c>
      <c r="B151" s="2">
        <v>40550</v>
      </c>
      <c r="C151" s="1">
        <v>1</v>
      </c>
      <c r="D151" s="1">
        <v>0</v>
      </c>
      <c r="E151" s="1">
        <v>1</v>
      </c>
      <c r="F151" s="1">
        <v>12</v>
      </c>
      <c r="G151" s="1" t="b">
        <v>0</v>
      </c>
      <c r="H151" s="1">
        <v>5</v>
      </c>
      <c r="I151" s="1">
        <v>2</v>
      </c>
      <c r="J151" s="1">
        <v>0.2</v>
      </c>
      <c r="K151" s="20">
        <v>0.19700000000000001</v>
      </c>
      <c r="L151" s="23">
        <v>0.37</v>
      </c>
      <c r="M151" s="23">
        <v>0.25369999999999998</v>
      </c>
      <c r="N151" s="23">
        <v>9</v>
      </c>
      <c r="O151" s="23">
        <v>50</v>
      </c>
      <c r="P151" s="24">
        <v>59</v>
      </c>
    </row>
    <row r="152" spans="1:16">
      <c r="A152" s="1">
        <v>151</v>
      </c>
      <c r="B152" s="2">
        <v>40550</v>
      </c>
      <c r="C152" s="1">
        <v>1</v>
      </c>
      <c r="D152" s="1">
        <v>0</v>
      </c>
      <c r="E152" s="1">
        <v>1</v>
      </c>
      <c r="F152" s="1">
        <v>13</v>
      </c>
      <c r="G152" s="1" t="b">
        <v>0</v>
      </c>
      <c r="H152" s="1">
        <v>5</v>
      </c>
      <c r="I152" s="1">
        <v>2</v>
      </c>
      <c r="J152" s="1">
        <v>0.2</v>
      </c>
      <c r="K152" s="19">
        <v>0.18179999999999999</v>
      </c>
      <c r="L152" s="21">
        <v>0.37</v>
      </c>
      <c r="M152" s="21">
        <v>0.28360000000000002</v>
      </c>
      <c r="N152" s="21">
        <v>9</v>
      </c>
      <c r="O152" s="21">
        <v>64</v>
      </c>
      <c r="P152" s="22">
        <v>73</v>
      </c>
    </row>
    <row r="153" spans="1:16">
      <c r="A153" s="1">
        <v>152</v>
      </c>
      <c r="B153" s="2">
        <v>40550</v>
      </c>
      <c r="C153" s="1">
        <v>1</v>
      </c>
      <c r="D153" s="1">
        <v>0</v>
      </c>
      <c r="E153" s="1">
        <v>1</v>
      </c>
      <c r="F153" s="1">
        <v>14</v>
      </c>
      <c r="G153" s="1" t="b">
        <v>0</v>
      </c>
      <c r="H153" s="1">
        <v>5</v>
      </c>
      <c r="I153" s="1">
        <v>2</v>
      </c>
      <c r="J153" s="1">
        <v>0.2</v>
      </c>
      <c r="K153" s="20">
        <v>0.19700000000000001</v>
      </c>
      <c r="L153" s="23">
        <v>0.4</v>
      </c>
      <c r="M153" s="23">
        <v>0.25369999999999998</v>
      </c>
      <c r="N153" s="23">
        <v>7</v>
      </c>
      <c r="O153" s="23">
        <v>43</v>
      </c>
      <c r="P153" s="24">
        <v>50</v>
      </c>
    </row>
    <row r="154" spans="1:16">
      <c r="A154" s="1">
        <v>153</v>
      </c>
      <c r="B154" s="2">
        <v>40550</v>
      </c>
      <c r="C154" s="1">
        <v>1</v>
      </c>
      <c r="D154" s="1">
        <v>0</v>
      </c>
      <c r="E154" s="1">
        <v>1</v>
      </c>
      <c r="F154" s="1">
        <v>15</v>
      </c>
      <c r="G154" s="1" t="b">
        <v>0</v>
      </c>
      <c r="H154" s="1">
        <v>5</v>
      </c>
      <c r="I154" s="1">
        <v>2</v>
      </c>
      <c r="J154" s="1">
        <v>0.2</v>
      </c>
      <c r="K154" s="19">
        <v>0.21210000000000001</v>
      </c>
      <c r="L154" s="21">
        <v>0.37</v>
      </c>
      <c r="M154" s="21">
        <v>0.16420000000000001</v>
      </c>
      <c r="N154" s="21">
        <v>9</v>
      </c>
      <c r="O154" s="21">
        <v>63</v>
      </c>
      <c r="P154" s="22">
        <v>72</v>
      </c>
    </row>
    <row r="155" spans="1:16">
      <c r="A155" s="1">
        <v>154</v>
      </c>
      <c r="B155" s="2">
        <v>40550</v>
      </c>
      <c r="C155" s="1">
        <v>1</v>
      </c>
      <c r="D155" s="1">
        <v>0</v>
      </c>
      <c r="E155" s="1">
        <v>1</v>
      </c>
      <c r="F155" s="1">
        <v>16</v>
      </c>
      <c r="G155" s="1" t="b">
        <v>0</v>
      </c>
      <c r="H155" s="1">
        <v>5</v>
      </c>
      <c r="I155" s="1">
        <v>2</v>
      </c>
      <c r="J155" s="1">
        <v>0.2</v>
      </c>
      <c r="K155" s="20">
        <v>0.21210000000000001</v>
      </c>
      <c r="L155" s="23">
        <v>0.37</v>
      </c>
      <c r="M155" s="23">
        <v>0.16420000000000001</v>
      </c>
      <c r="N155" s="23">
        <v>5</v>
      </c>
      <c r="O155" s="23">
        <v>82</v>
      </c>
      <c r="P155" s="24">
        <v>87</v>
      </c>
    </row>
    <row r="156" spans="1:16">
      <c r="A156" s="1">
        <v>155</v>
      </c>
      <c r="B156" s="2">
        <v>40550</v>
      </c>
      <c r="C156" s="1">
        <v>1</v>
      </c>
      <c r="D156" s="1">
        <v>0</v>
      </c>
      <c r="E156" s="1">
        <v>1</v>
      </c>
      <c r="F156" s="1">
        <v>17</v>
      </c>
      <c r="G156" s="1" t="b">
        <v>0</v>
      </c>
      <c r="H156" s="1">
        <v>5</v>
      </c>
      <c r="I156" s="1">
        <v>2</v>
      </c>
      <c r="J156" s="1">
        <v>0.2</v>
      </c>
      <c r="K156" s="19">
        <v>0.2576</v>
      </c>
      <c r="L156" s="21">
        <v>0.37</v>
      </c>
      <c r="M156" s="21">
        <v>0</v>
      </c>
      <c r="N156" s="21">
        <v>9</v>
      </c>
      <c r="O156" s="21">
        <v>178</v>
      </c>
      <c r="P156" s="22">
        <v>187</v>
      </c>
    </row>
    <row r="157" spans="1:16">
      <c r="A157" s="1">
        <v>156</v>
      </c>
      <c r="B157" s="2">
        <v>40550</v>
      </c>
      <c r="C157" s="1">
        <v>1</v>
      </c>
      <c r="D157" s="1">
        <v>0</v>
      </c>
      <c r="E157" s="1">
        <v>1</v>
      </c>
      <c r="F157" s="1">
        <v>18</v>
      </c>
      <c r="G157" s="1" t="b">
        <v>0</v>
      </c>
      <c r="H157" s="1">
        <v>5</v>
      </c>
      <c r="I157" s="1">
        <v>1</v>
      </c>
      <c r="J157" s="1">
        <v>0.2</v>
      </c>
      <c r="K157" s="20">
        <v>0.2273</v>
      </c>
      <c r="L157" s="23">
        <v>0.4</v>
      </c>
      <c r="M157" s="23">
        <v>8.9599999999999999E-2</v>
      </c>
      <c r="N157" s="23">
        <v>7</v>
      </c>
      <c r="O157" s="23">
        <v>116</v>
      </c>
      <c r="P157" s="24">
        <v>123</v>
      </c>
    </row>
    <row r="158" spans="1:16">
      <c r="A158" s="1">
        <v>157</v>
      </c>
      <c r="B158" s="2">
        <v>40550</v>
      </c>
      <c r="C158" s="1">
        <v>1</v>
      </c>
      <c r="D158" s="1">
        <v>0</v>
      </c>
      <c r="E158" s="1">
        <v>1</v>
      </c>
      <c r="F158" s="1">
        <v>19</v>
      </c>
      <c r="G158" s="1" t="b">
        <v>0</v>
      </c>
      <c r="H158" s="1">
        <v>5</v>
      </c>
      <c r="I158" s="1">
        <v>1</v>
      </c>
      <c r="J158" s="1">
        <v>0.16</v>
      </c>
      <c r="K158" s="19">
        <v>0.19700000000000001</v>
      </c>
      <c r="L158" s="21">
        <v>0.55000000000000004</v>
      </c>
      <c r="M158" s="21">
        <v>8.9599999999999999E-2</v>
      </c>
      <c r="N158" s="21">
        <v>3</v>
      </c>
      <c r="O158" s="21">
        <v>92</v>
      </c>
      <c r="P158" s="22">
        <v>95</v>
      </c>
    </row>
    <row r="159" spans="1:16">
      <c r="A159" s="1">
        <v>158</v>
      </c>
      <c r="B159" s="2">
        <v>40550</v>
      </c>
      <c r="C159" s="1">
        <v>1</v>
      </c>
      <c r="D159" s="1">
        <v>0</v>
      </c>
      <c r="E159" s="1">
        <v>1</v>
      </c>
      <c r="F159" s="1">
        <v>20</v>
      </c>
      <c r="G159" s="1" t="b">
        <v>0</v>
      </c>
      <c r="H159" s="1">
        <v>5</v>
      </c>
      <c r="I159" s="1">
        <v>1</v>
      </c>
      <c r="J159" s="1">
        <v>0.18</v>
      </c>
      <c r="K159" s="20">
        <v>0.21210000000000001</v>
      </c>
      <c r="L159" s="23">
        <v>0.47</v>
      </c>
      <c r="M159" s="23">
        <v>0.1045</v>
      </c>
      <c r="N159" s="23">
        <v>1</v>
      </c>
      <c r="O159" s="23">
        <v>50</v>
      </c>
      <c r="P159" s="24">
        <v>51</v>
      </c>
    </row>
    <row r="160" spans="1:16">
      <c r="A160" s="1">
        <v>159</v>
      </c>
      <c r="B160" s="2">
        <v>40550</v>
      </c>
      <c r="C160" s="1">
        <v>1</v>
      </c>
      <c r="D160" s="1">
        <v>0</v>
      </c>
      <c r="E160" s="1">
        <v>1</v>
      </c>
      <c r="F160" s="1">
        <v>21</v>
      </c>
      <c r="G160" s="1" t="b">
        <v>0</v>
      </c>
      <c r="H160" s="1">
        <v>5</v>
      </c>
      <c r="I160" s="1">
        <v>1</v>
      </c>
      <c r="J160" s="1">
        <v>0.18</v>
      </c>
      <c r="K160" s="19">
        <v>0.19700000000000001</v>
      </c>
      <c r="L160" s="21">
        <v>0.47</v>
      </c>
      <c r="M160" s="21">
        <v>0.1343</v>
      </c>
      <c r="N160" s="21">
        <v>0</v>
      </c>
      <c r="O160" s="21">
        <v>39</v>
      </c>
      <c r="P160" s="22">
        <v>39</v>
      </c>
    </row>
    <row r="161" spans="1:16">
      <c r="A161" s="1">
        <v>160</v>
      </c>
      <c r="B161" s="2">
        <v>40550</v>
      </c>
      <c r="C161" s="1">
        <v>1</v>
      </c>
      <c r="D161" s="1">
        <v>0</v>
      </c>
      <c r="E161" s="1">
        <v>1</v>
      </c>
      <c r="F161" s="1">
        <v>22</v>
      </c>
      <c r="G161" s="1" t="b">
        <v>0</v>
      </c>
      <c r="H161" s="1">
        <v>5</v>
      </c>
      <c r="I161" s="1">
        <v>2</v>
      </c>
      <c r="J161" s="1">
        <v>0.18</v>
      </c>
      <c r="K161" s="20">
        <v>0.19700000000000001</v>
      </c>
      <c r="L161" s="23">
        <v>0.43</v>
      </c>
      <c r="M161" s="23">
        <v>0.16420000000000001</v>
      </c>
      <c r="N161" s="23">
        <v>2</v>
      </c>
      <c r="O161" s="23">
        <v>34</v>
      </c>
      <c r="P161" s="24">
        <v>36</v>
      </c>
    </row>
    <row r="162" spans="1:16">
      <c r="A162" s="1">
        <v>161</v>
      </c>
      <c r="B162" s="2">
        <v>40550</v>
      </c>
      <c r="C162" s="1">
        <v>1</v>
      </c>
      <c r="D162" s="1">
        <v>0</v>
      </c>
      <c r="E162" s="1">
        <v>1</v>
      </c>
      <c r="F162" s="1">
        <v>23</v>
      </c>
      <c r="G162" s="1" t="b">
        <v>0</v>
      </c>
      <c r="H162" s="1">
        <v>5</v>
      </c>
      <c r="I162" s="1">
        <v>2</v>
      </c>
      <c r="J162" s="1">
        <v>0.18</v>
      </c>
      <c r="K162" s="19">
        <v>0.19700000000000001</v>
      </c>
      <c r="L162" s="21">
        <v>0.51</v>
      </c>
      <c r="M162" s="21">
        <v>0.16420000000000001</v>
      </c>
      <c r="N162" s="21">
        <v>1</v>
      </c>
      <c r="O162" s="21">
        <v>14</v>
      </c>
      <c r="P162" s="22">
        <v>15</v>
      </c>
    </row>
    <row r="163" spans="1:16">
      <c r="A163" s="1">
        <v>162</v>
      </c>
      <c r="B163" s="2">
        <v>40551</v>
      </c>
      <c r="C163" s="1">
        <v>1</v>
      </c>
      <c r="D163" s="1">
        <v>0</v>
      </c>
      <c r="E163" s="1">
        <v>1</v>
      </c>
      <c r="F163" s="1">
        <v>0</v>
      </c>
      <c r="G163" s="1" t="b">
        <v>0</v>
      </c>
      <c r="H163" s="1">
        <v>6</v>
      </c>
      <c r="I163" s="1">
        <v>2</v>
      </c>
      <c r="J163" s="1">
        <v>0.18</v>
      </c>
      <c r="K163" s="20">
        <v>0.19700000000000001</v>
      </c>
      <c r="L163" s="23">
        <v>0.51</v>
      </c>
      <c r="M163" s="23">
        <v>0.16420000000000001</v>
      </c>
      <c r="N163" s="23">
        <v>1</v>
      </c>
      <c r="O163" s="23">
        <v>24</v>
      </c>
      <c r="P163" s="24">
        <v>25</v>
      </c>
    </row>
    <row r="164" spans="1:16">
      <c r="A164" s="1">
        <v>163</v>
      </c>
      <c r="B164" s="2">
        <v>40551</v>
      </c>
      <c r="C164" s="1">
        <v>1</v>
      </c>
      <c r="D164" s="1">
        <v>0</v>
      </c>
      <c r="E164" s="1">
        <v>1</v>
      </c>
      <c r="F164" s="1">
        <v>1</v>
      </c>
      <c r="G164" s="1" t="b">
        <v>0</v>
      </c>
      <c r="H164" s="1">
        <v>6</v>
      </c>
      <c r="I164" s="1">
        <v>2</v>
      </c>
      <c r="J164" s="1">
        <v>0.18</v>
      </c>
      <c r="K164" s="19">
        <v>0.21210000000000001</v>
      </c>
      <c r="L164" s="21">
        <v>0.55000000000000004</v>
      </c>
      <c r="M164" s="21">
        <v>8.9599999999999999E-2</v>
      </c>
      <c r="N164" s="21">
        <v>1</v>
      </c>
      <c r="O164" s="21">
        <v>15</v>
      </c>
      <c r="P164" s="22">
        <v>16</v>
      </c>
    </row>
    <row r="165" spans="1:16">
      <c r="A165" s="1">
        <v>164</v>
      </c>
      <c r="B165" s="2">
        <v>40551</v>
      </c>
      <c r="C165" s="1">
        <v>1</v>
      </c>
      <c r="D165" s="1">
        <v>0</v>
      </c>
      <c r="E165" s="1">
        <v>1</v>
      </c>
      <c r="F165" s="1">
        <v>2</v>
      </c>
      <c r="G165" s="1" t="b">
        <v>0</v>
      </c>
      <c r="H165" s="1">
        <v>6</v>
      </c>
      <c r="I165" s="1">
        <v>2</v>
      </c>
      <c r="J165" s="1">
        <v>0.18</v>
      </c>
      <c r="K165" s="20">
        <v>0.2424</v>
      </c>
      <c r="L165" s="23">
        <v>0.55000000000000004</v>
      </c>
      <c r="M165" s="23">
        <v>0</v>
      </c>
      <c r="N165" s="23">
        <v>3</v>
      </c>
      <c r="O165" s="23">
        <v>13</v>
      </c>
      <c r="P165" s="24">
        <v>16</v>
      </c>
    </row>
    <row r="166" spans="1:16">
      <c r="A166" s="1">
        <v>165</v>
      </c>
      <c r="B166" s="2">
        <v>40551</v>
      </c>
      <c r="C166" s="1">
        <v>1</v>
      </c>
      <c r="D166" s="1">
        <v>0</v>
      </c>
      <c r="E166" s="1">
        <v>1</v>
      </c>
      <c r="F166" s="1">
        <v>3</v>
      </c>
      <c r="G166" s="1" t="b">
        <v>0</v>
      </c>
      <c r="H166" s="1">
        <v>6</v>
      </c>
      <c r="I166" s="1">
        <v>3</v>
      </c>
      <c r="J166" s="1">
        <v>0.18</v>
      </c>
      <c r="K166" s="19">
        <v>0.19700000000000001</v>
      </c>
      <c r="L166" s="21">
        <v>0.55000000000000004</v>
      </c>
      <c r="M166" s="21">
        <v>0.16420000000000001</v>
      </c>
      <c r="N166" s="21">
        <v>0</v>
      </c>
      <c r="O166" s="21">
        <v>7</v>
      </c>
      <c r="P166" s="22">
        <v>7</v>
      </c>
    </row>
    <row r="167" spans="1:16">
      <c r="A167" s="1">
        <v>166</v>
      </c>
      <c r="B167" s="2">
        <v>40551</v>
      </c>
      <c r="C167" s="1">
        <v>1</v>
      </c>
      <c r="D167" s="1">
        <v>0</v>
      </c>
      <c r="E167" s="1">
        <v>1</v>
      </c>
      <c r="F167" s="1">
        <v>4</v>
      </c>
      <c r="G167" s="1" t="b">
        <v>0</v>
      </c>
      <c r="H167" s="1">
        <v>6</v>
      </c>
      <c r="I167" s="1">
        <v>3</v>
      </c>
      <c r="J167" s="1">
        <v>0.18</v>
      </c>
      <c r="K167" s="20">
        <v>0.19700000000000001</v>
      </c>
      <c r="L167" s="23">
        <v>0.55000000000000004</v>
      </c>
      <c r="M167" s="23">
        <v>0.16420000000000001</v>
      </c>
      <c r="N167" s="23">
        <v>0</v>
      </c>
      <c r="O167" s="23">
        <v>1</v>
      </c>
      <c r="P167" s="24">
        <v>1</v>
      </c>
    </row>
    <row r="168" spans="1:16">
      <c r="A168" s="1">
        <v>167</v>
      </c>
      <c r="B168" s="2">
        <v>40551</v>
      </c>
      <c r="C168" s="1">
        <v>1</v>
      </c>
      <c r="D168" s="1">
        <v>0</v>
      </c>
      <c r="E168" s="1">
        <v>1</v>
      </c>
      <c r="F168" s="1">
        <v>5</v>
      </c>
      <c r="G168" s="1" t="b">
        <v>0</v>
      </c>
      <c r="H168" s="1">
        <v>6</v>
      </c>
      <c r="I168" s="1">
        <v>2</v>
      </c>
      <c r="J168" s="1">
        <v>0.16</v>
      </c>
      <c r="K168" s="19">
        <v>0.16669999999999999</v>
      </c>
      <c r="L168" s="21">
        <v>0.74</v>
      </c>
      <c r="M168" s="21">
        <v>0.16420000000000001</v>
      </c>
      <c r="N168" s="21">
        <v>0</v>
      </c>
      <c r="O168" s="21">
        <v>5</v>
      </c>
      <c r="P168" s="22">
        <v>5</v>
      </c>
    </row>
    <row r="169" spans="1:16">
      <c r="A169" s="1">
        <v>168</v>
      </c>
      <c r="B169" s="2">
        <v>40551</v>
      </c>
      <c r="C169" s="1">
        <v>1</v>
      </c>
      <c r="D169" s="1">
        <v>0</v>
      </c>
      <c r="E169" s="1">
        <v>1</v>
      </c>
      <c r="F169" s="1">
        <v>6</v>
      </c>
      <c r="G169" s="1" t="b">
        <v>0</v>
      </c>
      <c r="H169" s="1">
        <v>6</v>
      </c>
      <c r="I169" s="1">
        <v>2</v>
      </c>
      <c r="J169" s="1">
        <v>0.16</v>
      </c>
      <c r="K169" s="20">
        <v>0.16669999999999999</v>
      </c>
      <c r="L169" s="23">
        <v>0.74</v>
      </c>
      <c r="M169" s="23">
        <v>0.16420000000000001</v>
      </c>
      <c r="N169" s="23">
        <v>0</v>
      </c>
      <c r="O169" s="23">
        <v>2</v>
      </c>
      <c r="P169" s="24">
        <v>2</v>
      </c>
    </row>
    <row r="170" spans="1:16">
      <c r="A170" s="1">
        <v>169</v>
      </c>
      <c r="B170" s="2">
        <v>40551</v>
      </c>
      <c r="C170" s="1">
        <v>1</v>
      </c>
      <c r="D170" s="1">
        <v>0</v>
      </c>
      <c r="E170" s="1">
        <v>1</v>
      </c>
      <c r="F170" s="1">
        <v>7</v>
      </c>
      <c r="G170" s="1" t="b">
        <v>0</v>
      </c>
      <c r="H170" s="1">
        <v>6</v>
      </c>
      <c r="I170" s="1">
        <v>2</v>
      </c>
      <c r="J170" s="1">
        <v>0.16</v>
      </c>
      <c r="K170" s="19">
        <v>0.18179999999999999</v>
      </c>
      <c r="L170" s="21">
        <v>0.74</v>
      </c>
      <c r="M170" s="21">
        <v>0.1045</v>
      </c>
      <c r="N170" s="21">
        <v>1</v>
      </c>
      <c r="O170" s="21">
        <v>8</v>
      </c>
      <c r="P170" s="22">
        <v>9</v>
      </c>
    </row>
    <row r="171" spans="1:16">
      <c r="A171" s="1">
        <v>170</v>
      </c>
      <c r="B171" s="2">
        <v>40551</v>
      </c>
      <c r="C171" s="1">
        <v>1</v>
      </c>
      <c r="D171" s="1">
        <v>0</v>
      </c>
      <c r="E171" s="1">
        <v>1</v>
      </c>
      <c r="F171" s="1">
        <v>8</v>
      </c>
      <c r="G171" s="1" t="b">
        <v>0</v>
      </c>
      <c r="H171" s="1">
        <v>6</v>
      </c>
      <c r="I171" s="1">
        <v>3</v>
      </c>
      <c r="J171" s="1">
        <v>0.16</v>
      </c>
      <c r="K171" s="20">
        <v>0.18179999999999999</v>
      </c>
      <c r="L171" s="23">
        <v>0.93</v>
      </c>
      <c r="M171" s="23">
        <v>0.1045</v>
      </c>
      <c r="N171" s="23">
        <v>0</v>
      </c>
      <c r="O171" s="23">
        <v>15</v>
      </c>
      <c r="P171" s="24">
        <v>15</v>
      </c>
    </row>
    <row r="172" spans="1:16">
      <c r="A172" s="1">
        <v>171</v>
      </c>
      <c r="B172" s="2">
        <v>40551</v>
      </c>
      <c r="C172" s="1">
        <v>1</v>
      </c>
      <c r="D172" s="1">
        <v>0</v>
      </c>
      <c r="E172" s="1">
        <v>1</v>
      </c>
      <c r="F172" s="1">
        <v>9</v>
      </c>
      <c r="G172" s="1" t="b">
        <v>0</v>
      </c>
      <c r="H172" s="1">
        <v>6</v>
      </c>
      <c r="I172" s="1">
        <v>3</v>
      </c>
      <c r="J172" s="1">
        <v>0.16</v>
      </c>
      <c r="K172" s="19">
        <v>0.18179999999999999</v>
      </c>
      <c r="L172" s="21">
        <v>0.93</v>
      </c>
      <c r="M172" s="21">
        <v>0.1045</v>
      </c>
      <c r="N172" s="21">
        <v>0</v>
      </c>
      <c r="O172" s="21">
        <v>20</v>
      </c>
      <c r="P172" s="22">
        <v>20</v>
      </c>
    </row>
    <row r="173" spans="1:16">
      <c r="A173" s="1">
        <v>172</v>
      </c>
      <c r="B173" s="2">
        <v>40551</v>
      </c>
      <c r="C173" s="1">
        <v>1</v>
      </c>
      <c r="D173" s="1">
        <v>0</v>
      </c>
      <c r="E173" s="1">
        <v>1</v>
      </c>
      <c r="F173" s="1">
        <v>10</v>
      </c>
      <c r="G173" s="1" t="b">
        <v>0</v>
      </c>
      <c r="H173" s="1">
        <v>6</v>
      </c>
      <c r="I173" s="1">
        <v>2</v>
      </c>
      <c r="J173" s="1">
        <v>0.18</v>
      </c>
      <c r="K173" s="20">
        <v>0.19700000000000001</v>
      </c>
      <c r="L173" s="23">
        <v>0.8</v>
      </c>
      <c r="M173" s="23">
        <v>0.16420000000000001</v>
      </c>
      <c r="N173" s="23">
        <v>5</v>
      </c>
      <c r="O173" s="23">
        <v>56</v>
      </c>
      <c r="P173" s="24">
        <v>61</v>
      </c>
    </row>
    <row r="174" spans="1:16">
      <c r="A174" s="1">
        <v>173</v>
      </c>
      <c r="B174" s="2">
        <v>40551</v>
      </c>
      <c r="C174" s="1">
        <v>1</v>
      </c>
      <c r="D174" s="1">
        <v>0</v>
      </c>
      <c r="E174" s="1">
        <v>1</v>
      </c>
      <c r="F174" s="1">
        <v>11</v>
      </c>
      <c r="G174" s="1" t="b">
        <v>0</v>
      </c>
      <c r="H174" s="1">
        <v>6</v>
      </c>
      <c r="I174" s="1">
        <v>2</v>
      </c>
      <c r="J174" s="1">
        <v>0.2</v>
      </c>
      <c r="K174" s="19">
        <v>0.18179999999999999</v>
      </c>
      <c r="L174" s="21">
        <v>0.69</v>
      </c>
      <c r="M174" s="21">
        <v>0.3881</v>
      </c>
      <c r="N174" s="21">
        <v>2</v>
      </c>
      <c r="O174" s="21">
        <v>60</v>
      </c>
      <c r="P174" s="22">
        <v>62</v>
      </c>
    </row>
    <row r="175" spans="1:16">
      <c r="A175" s="1">
        <v>174</v>
      </c>
      <c r="B175" s="2">
        <v>40551</v>
      </c>
      <c r="C175" s="1">
        <v>1</v>
      </c>
      <c r="D175" s="1">
        <v>0</v>
      </c>
      <c r="E175" s="1">
        <v>1</v>
      </c>
      <c r="F175" s="1">
        <v>12</v>
      </c>
      <c r="G175" s="1" t="b">
        <v>0</v>
      </c>
      <c r="H175" s="1">
        <v>6</v>
      </c>
      <c r="I175" s="1">
        <v>2</v>
      </c>
      <c r="J175" s="1">
        <v>0.2</v>
      </c>
      <c r="K175" s="20">
        <v>0.18179999999999999</v>
      </c>
      <c r="L175" s="23">
        <v>0.59</v>
      </c>
      <c r="M175" s="23">
        <v>0.35820000000000002</v>
      </c>
      <c r="N175" s="23">
        <v>8</v>
      </c>
      <c r="O175" s="23">
        <v>90</v>
      </c>
      <c r="P175" s="24">
        <v>98</v>
      </c>
    </row>
    <row r="176" spans="1:16">
      <c r="A176" s="1">
        <v>175</v>
      </c>
      <c r="B176" s="2">
        <v>40551</v>
      </c>
      <c r="C176" s="1">
        <v>1</v>
      </c>
      <c r="D176" s="1">
        <v>0</v>
      </c>
      <c r="E176" s="1">
        <v>1</v>
      </c>
      <c r="F176" s="1">
        <v>13</v>
      </c>
      <c r="G176" s="1" t="b">
        <v>0</v>
      </c>
      <c r="H176" s="1">
        <v>6</v>
      </c>
      <c r="I176" s="1">
        <v>1</v>
      </c>
      <c r="J176" s="1">
        <v>0.2</v>
      </c>
      <c r="K176" s="19">
        <v>0.18179999999999999</v>
      </c>
      <c r="L176" s="21">
        <v>0.44</v>
      </c>
      <c r="M176" s="21">
        <v>0.32840000000000003</v>
      </c>
      <c r="N176" s="21">
        <v>7</v>
      </c>
      <c r="O176" s="21">
        <v>95</v>
      </c>
      <c r="P176" s="22">
        <v>102</v>
      </c>
    </row>
    <row r="177" spans="1:16">
      <c r="A177" s="1">
        <v>176</v>
      </c>
      <c r="B177" s="2">
        <v>40551</v>
      </c>
      <c r="C177" s="1">
        <v>1</v>
      </c>
      <c r="D177" s="1">
        <v>0</v>
      </c>
      <c r="E177" s="1">
        <v>1</v>
      </c>
      <c r="F177" s="1">
        <v>14</v>
      </c>
      <c r="G177" s="1" t="b">
        <v>0</v>
      </c>
      <c r="H177" s="1">
        <v>6</v>
      </c>
      <c r="I177" s="1">
        <v>1</v>
      </c>
      <c r="J177" s="1">
        <v>0.2</v>
      </c>
      <c r="K177" s="20">
        <v>0.16669999999999999</v>
      </c>
      <c r="L177" s="23">
        <v>0.32</v>
      </c>
      <c r="M177" s="23">
        <v>0.49249999999999999</v>
      </c>
      <c r="N177" s="23">
        <v>12</v>
      </c>
      <c r="O177" s="23">
        <v>83</v>
      </c>
      <c r="P177" s="24">
        <v>95</v>
      </c>
    </row>
    <row r="178" spans="1:16">
      <c r="A178" s="1">
        <v>177</v>
      </c>
      <c r="B178" s="2">
        <v>40551</v>
      </c>
      <c r="C178" s="1">
        <v>1</v>
      </c>
      <c r="D178" s="1">
        <v>0</v>
      </c>
      <c r="E178" s="1">
        <v>1</v>
      </c>
      <c r="F178" s="1">
        <v>15</v>
      </c>
      <c r="G178" s="1" t="b">
        <v>0</v>
      </c>
      <c r="H178" s="1">
        <v>6</v>
      </c>
      <c r="I178" s="1">
        <v>1</v>
      </c>
      <c r="J178" s="1">
        <v>0.2</v>
      </c>
      <c r="K178" s="19">
        <v>0.16669999999999999</v>
      </c>
      <c r="L178" s="21">
        <v>0.32</v>
      </c>
      <c r="M178" s="21">
        <v>0.44779999999999998</v>
      </c>
      <c r="N178" s="21">
        <v>5</v>
      </c>
      <c r="O178" s="21">
        <v>69</v>
      </c>
      <c r="P178" s="22">
        <v>74</v>
      </c>
    </row>
    <row r="179" spans="1:16">
      <c r="A179" s="1">
        <v>178</v>
      </c>
      <c r="B179" s="2">
        <v>40551</v>
      </c>
      <c r="C179" s="1">
        <v>1</v>
      </c>
      <c r="D179" s="1">
        <v>0</v>
      </c>
      <c r="E179" s="1">
        <v>1</v>
      </c>
      <c r="F179" s="1">
        <v>16</v>
      </c>
      <c r="G179" s="1" t="b">
        <v>0</v>
      </c>
      <c r="H179" s="1">
        <v>6</v>
      </c>
      <c r="I179" s="1">
        <v>1</v>
      </c>
      <c r="J179" s="1">
        <v>0.18</v>
      </c>
      <c r="K179" s="20">
        <v>0.13639999999999999</v>
      </c>
      <c r="L179" s="23">
        <v>0.28999999999999998</v>
      </c>
      <c r="M179" s="23">
        <v>0.44779999999999998</v>
      </c>
      <c r="N179" s="23">
        <v>8</v>
      </c>
      <c r="O179" s="23">
        <v>68</v>
      </c>
      <c r="P179" s="24">
        <v>76</v>
      </c>
    </row>
    <row r="180" spans="1:16">
      <c r="A180" s="1">
        <v>179</v>
      </c>
      <c r="B180" s="2">
        <v>40551</v>
      </c>
      <c r="C180" s="1">
        <v>1</v>
      </c>
      <c r="D180" s="1">
        <v>0</v>
      </c>
      <c r="E180" s="1">
        <v>1</v>
      </c>
      <c r="F180" s="1">
        <v>17</v>
      </c>
      <c r="G180" s="1" t="b">
        <v>0</v>
      </c>
      <c r="H180" s="1">
        <v>6</v>
      </c>
      <c r="I180" s="1">
        <v>1</v>
      </c>
      <c r="J180" s="1">
        <v>0.16</v>
      </c>
      <c r="K180" s="19">
        <v>0.1212</v>
      </c>
      <c r="L180" s="21">
        <v>0.37</v>
      </c>
      <c r="M180" s="21">
        <v>0.55220000000000002</v>
      </c>
      <c r="N180" s="21">
        <v>5</v>
      </c>
      <c r="O180" s="21">
        <v>64</v>
      </c>
      <c r="P180" s="22">
        <v>69</v>
      </c>
    </row>
    <row r="181" spans="1:16">
      <c r="A181" s="1">
        <v>180</v>
      </c>
      <c r="B181" s="2">
        <v>40551</v>
      </c>
      <c r="C181" s="1">
        <v>1</v>
      </c>
      <c r="D181" s="1">
        <v>0</v>
      </c>
      <c r="E181" s="1">
        <v>1</v>
      </c>
      <c r="F181" s="1">
        <v>18</v>
      </c>
      <c r="G181" s="1" t="b">
        <v>0</v>
      </c>
      <c r="H181" s="1">
        <v>6</v>
      </c>
      <c r="I181" s="1">
        <v>1</v>
      </c>
      <c r="J181" s="1">
        <v>0.14000000000000001</v>
      </c>
      <c r="K181" s="20">
        <v>0.1212</v>
      </c>
      <c r="L181" s="23">
        <v>0.39</v>
      </c>
      <c r="M181" s="23">
        <v>0.29849999999999999</v>
      </c>
      <c r="N181" s="23">
        <v>3</v>
      </c>
      <c r="O181" s="23">
        <v>52</v>
      </c>
      <c r="P181" s="24">
        <v>55</v>
      </c>
    </row>
    <row r="182" spans="1:16">
      <c r="A182" s="1">
        <v>181</v>
      </c>
      <c r="B182" s="2">
        <v>40551</v>
      </c>
      <c r="C182" s="1">
        <v>1</v>
      </c>
      <c r="D182" s="1">
        <v>0</v>
      </c>
      <c r="E182" s="1">
        <v>1</v>
      </c>
      <c r="F182" s="1">
        <v>19</v>
      </c>
      <c r="G182" s="1" t="b">
        <v>0</v>
      </c>
      <c r="H182" s="1">
        <v>6</v>
      </c>
      <c r="I182" s="1">
        <v>1</v>
      </c>
      <c r="J182" s="1">
        <v>0.14000000000000001</v>
      </c>
      <c r="K182" s="19">
        <v>0.1212</v>
      </c>
      <c r="L182" s="21">
        <v>0.36</v>
      </c>
      <c r="M182" s="21">
        <v>0.25369999999999998</v>
      </c>
      <c r="N182" s="21">
        <v>4</v>
      </c>
      <c r="O182" s="21">
        <v>26</v>
      </c>
      <c r="P182" s="22">
        <v>30</v>
      </c>
    </row>
    <row r="183" spans="1:16">
      <c r="A183" s="1">
        <v>182</v>
      </c>
      <c r="B183" s="2">
        <v>40551</v>
      </c>
      <c r="C183" s="1">
        <v>1</v>
      </c>
      <c r="D183" s="1">
        <v>0</v>
      </c>
      <c r="E183" s="1">
        <v>1</v>
      </c>
      <c r="F183" s="1">
        <v>20</v>
      </c>
      <c r="G183" s="1" t="b">
        <v>0</v>
      </c>
      <c r="H183" s="1">
        <v>6</v>
      </c>
      <c r="I183" s="1">
        <v>1</v>
      </c>
      <c r="J183" s="1">
        <v>0.12</v>
      </c>
      <c r="K183" s="20">
        <v>0.1212</v>
      </c>
      <c r="L183" s="23">
        <v>0.36</v>
      </c>
      <c r="M183" s="23">
        <v>0.25369999999999998</v>
      </c>
      <c r="N183" s="23">
        <v>0</v>
      </c>
      <c r="O183" s="23">
        <v>28</v>
      </c>
      <c r="P183" s="24">
        <v>28</v>
      </c>
    </row>
    <row r="184" spans="1:16">
      <c r="A184" s="1">
        <v>183</v>
      </c>
      <c r="B184" s="2">
        <v>40551</v>
      </c>
      <c r="C184" s="1">
        <v>1</v>
      </c>
      <c r="D184" s="1">
        <v>0</v>
      </c>
      <c r="E184" s="1">
        <v>1</v>
      </c>
      <c r="F184" s="1">
        <v>21</v>
      </c>
      <c r="G184" s="1" t="b">
        <v>0</v>
      </c>
      <c r="H184" s="1">
        <v>6</v>
      </c>
      <c r="I184" s="1">
        <v>1</v>
      </c>
      <c r="J184" s="1">
        <v>0.12</v>
      </c>
      <c r="K184" s="19">
        <v>0.1061</v>
      </c>
      <c r="L184" s="21">
        <v>0.39</v>
      </c>
      <c r="M184" s="21">
        <v>0.35820000000000002</v>
      </c>
      <c r="N184" s="21">
        <v>2</v>
      </c>
      <c r="O184" s="21">
        <v>35</v>
      </c>
      <c r="P184" s="22">
        <v>37</v>
      </c>
    </row>
    <row r="185" spans="1:16">
      <c r="A185" s="1">
        <v>184</v>
      </c>
      <c r="B185" s="2">
        <v>40551</v>
      </c>
      <c r="C185" s="1">
        <v>1</v>
      </c>
      <c r="D185" s="1">
        <v>0</v>
      </c>
      <c r="E185" s="1">
        <v>1</v>
      </c>
      <c r="F185" s="1">
        <v>22</v>
      </c>
      <c r="G185" s="1" t="b">
        <v>0</v>
      </c>
      <c r="H185" s="1">
        <v>6</v>
      </c>
      <c r="I185" s="1">
        <v>1</v>
      </c>
      <c r="J185" s="1">
        <v>0.12</v>
      </c>
      <c r="K185" s="20">
        <v>0.1061</v>
      </c>
      <c r="L185" s="23">
        <v>0.36</v>
      </c>
      <c r="M185" s="23">
        <v>0.3881</v>
      </c>
      <c r="N185" s="23">
        <v>1</v>
      </c>
      <c r="O185" s="23">
        <v>33</v>
      </c>
      <c r="P185" s="24">
        <v>34</v>
      </c>
    </row>
    <row r="186" spans="1:16">
      <c r="A186" s="1">
        <v>185</v>
      </c>
      <c r="B186" s="2">
        <v>40551</v>
      </c>
      <c r="C186" s="1">
        <v>1</v>
      </c>
      <c r="D186" s="1">
        <v>0</v>
      </c>
      <c r="E186" s="1">
        <v>1</v>
      </c>
      <c r="F186" s="1">
        <v>23</v>
      </c>
      <c r="G186" s="1" t="b">
        <v>0</v>
      </c>
      <c r="H186" s="1">
        <v>6</v>
      </c>
      <c r="I186" s="1">
        <v>1</v>
      </c>
      <c r="J186" s="1">
        <v>0.1</v>
      </c>
      <c r="K186" s="19">
        <v>6.0600000000000001E-2</v>
      </c>
      <c r="L186" s="21">
        <v>0.39</v>
      </c>
      <c r="M186" s="21">
        <v>0.44779999999999998</v>
      </c>
      <c r="N186" s="21">
        <v>0</v>
      </c>
      <c r="O186" s="21">
        <v>22</v>
      </c>
      <c r="P186" s="22">
        <v>22</v>
      </c>
    </row>
    <row r="187" spans="1:16">
      <c r="A187" s="1">
        <v>186</v>
      </c>
      <c r="B187" s="2">
        <v>40552</v>
      </c>
      <c r="C187" s="1">
        <v>1</v>
      </c>
      <c r="D187" s="1">
        <v>0</v>
      </c>
      <c r="E187" s="1">
        <v>1</v>
      </c>
      <c r="F187" s="1">
        <v>0</v>
      </c>
      <c r="G187" s="1" t="b">
        <v>0</v>
      </c>
      <c r="H187" s="1">
        <v>0</v>
      </c>
      <c r="I187" s="1">
        <v>1</v>
      </c>
      <c r="J187" s="1">
        <v>0.1</v>
      </c>
      <c r="K187" s="20">
        <v>7.5800000000000006E-2</v>
      </c>
      <c r="L187" s="23">
        <v>0.42</v>
      </c>
      <c r="M187" s="23">
        <v>0.3881</v>
      </c>
      <c r="N187" s="23">
        <v>1</v>
      </c>
      <c r="O187" s="23">
        <v>24</v>
      </c>
      <c r="P187" s="24">
        <v>25</v>
      </c>
    </row>
    <row r="188" spans="1:16">
      <c r="A188" s="1">
        <v>187</v>
      </c>
      <c r="B188" s="2">
        <v>40552</v>
      </c>
      <c r="C188" s="1">
        <v>1</v>
      </c>
      <c r="D188" s="1">
        <v>0</v>
      </c>
      <c r="E188" s="1">
        <v>1</v>
      </c>
      <c r="F188" s="1">
        <v>1</v>
      </c>
      <c r="G188" s="1" t="b">
        <v>0</v>
      </c>
      <c r="H188" s="1">
        <v>0</v>
      </c>
      <c r="I188" s="1">
        <v>1</v>
      </c>
      <c r="J188" s="1">
        <v>0.1</v>
      </c>
      <c r="K188" s="19">
        <v>6.0600000000000001E-2</v>
      </c>
      <c r="L188" s="21">
        <v>0.42</v>
      </c>
      <c r="M188" s="21">
        <v>0.4627</v>
      </c>
      <c r="N188" s="21">
        <v>0</v>
      </c>
      <c r="O188" s="21">
        <v>12</v>
      </c>
      <c r="P188" s="22">
        <v>12</v>
      </c>
    </row>
    <row r="189" spans="1:16">
      <c r="A189" s="1">
        <v>188</v>
      </c>
      <c r="B189" s="2">
        <v>40552</v>
      </c>
      <c r="C189" s="1">
        <v>1</v>
      </c>
      <c r="D189" s="1">
        <v>0</v>
      </c>
      <c r="E189" s="1">
        <v>1</v>
      </c>
      <c r="F189" s="1">
        <v>2</v>
      </c>
      <c r="G189" s="1" t="b">
        <v>0</v>
      </c>
      <c r="H189" s="1">
        <v>0</v>
      </c>
      <c r="I189" s="1">
        <v>1</v>
      </c>
      <c r="J189" s="1">
        <v>0.1</v>
      </c>
      <c r="K189" s="20">
        <v>6.0600000000000001E-2</v>
      </c>
      <c r="L189" s="23">
        <v>0.46</v>
      </c>
      <c r="M189" s="23">
        <v>0.4627</v>
      </c>
      <c r="N189" s="23">
        <v>0</v>
      </c>
      <c r="O189" s="23">
        <v>11</v>
      </c>
      <c r="P189" s="24">
        <v>11</v>
      </c>
    </row>
    <row r="190" spans="1:16">
      <c r="A190" s="1">
        <v>189</v>
      </c>
      <c r="B190" s="2">
        <v>40552</v>
      </c>
      <c r="C190" s="1">
        <v>1</v>
      </c>
      <c r="D190" s="1">
        <v>0</v>
      </c>
      <c r="E190" s="1">
        <v>1</v>
      </c>
      <c r="F190" s="1">
        <v>3</v>
      </c>
      <c r="G190" s="1" t="b">
        <v>0</v>
      </c>
      <c r="H190" s="1">
        <v>0</v>
      </c>
      <c r="I190" s="1">
        <v>1</v>
      </c>
      <c r="J190" s="1">
        <v>0.1</v>
      </c>
      <c r="K190" s="19">
        <v>7.5800000000000006E-2</v>
      </c>
      <c r="L190" s="21">
        <v>0.46</v>
      </c>
      <c r="M190" s="21">
        <v>0.41789999999999999</v>
      </c>
      <c r="N190" s="21">
        <v>0</v>
      </c>
      <c r="O190" s="21">
        <v>4</v>
      </c>
      <c r="P190" s="22">
        <v>4</v>
      </c>
    </row>
    <row r="191" spans="1:16">
      <c r="A191" s="1">
        <v>190</v>
      </c>
      <c r="B191" s="2">
        <v>40552</v>
      </c>
      <c r="C191" s="1">
        <v>1</v>
      </c>
      <c r="D191" s="1">
        <v>0</v>
      </c>
      <c r="E191" s="1">
        <v>1</v>
      </c>
      <c r="F191" s="1">
        <v>4</v>
      </c>
      <c r="G191" s="1" t="b">
        <v>0</v>
      </c>
      <c r="H191" s="1">
        <v>0</v>
      </c>
      <c r="I191" s="1">
        <v>1</v>
      </c>
      <c r="J191" s="1">
        <v>0.08</v>
      </c>
      <c r="K191" s="20">
        <v>9.0899999999999995E-2</v>
      </c>
      <c r="L191" s="23">
        <v>0.53</v>
      </c>
      <c r="M191" s="23">
        <v>0.19400000000000001</v>
      </c>
      <c r="N191" s="23">
        <v>0</v>
      </c>
      <c r="O191" s="23">
        <v>1</v>
      </c>
      <c r="P191" s="24">
        <v>1</v>
      </c>
    </row>
    <row r="192" spans="1:16">
      <c r="A192" s="1">
        <v>191</v>
      </c>
      <c r="B192" s="2">
        <v>40552</v>
      </c>
      <c r="C192" s="1">
        <v>1</v>
      </c>
      <c r="D192" s="1">
        <v>0</v>
      </c>
      <c r="E192" s="1">
        <v>1</v>
      </c>
      <c r="F192" s="1">
        <v>5</v>
      </c>
      <c r="G192" s="1" t="b">
        <v>0</v>
      </c>
      <c r="H192" s="1">
        <v>0</v>
      </c>
      <c r="I192" s="1">
        <v>1</v>
      </c>
      <c r="J192" s="1">
        <v>0.08</v>
      </c>
      <c r="K192" s="19">
        <v>9.0899999999999995E-2</v>
      </c>
      <c r="L192" s="21">
        <v>0.53</v>
      </c>
      <c r="M192" s="21">
        <v>0.19400000000000001</v>
      </c>
      <c r="N192" s="21">
        <v>0</v>
      </c>
      <c r="O192" s="21">
        <v>1</v>
      </c>
      <c r="P192" s="22">
        <v>1</v>
      </c>
    </row>
    <row r="193" spans="1:16">
      <c r="A193" s="1">
        <v>192</v>
      </c>
      <c r="B193" s="2">
        <v>40552</v>
      </c>
      <c r="C193" s="1">
        <v>1</v>
      </c>
      <c r="D193" s="1">
        <v>0</v>
      </c>
      <c r="E193" s="1">
        <v>1</v>
      </c>
      <c r="F193" s="1">
        <v>6</v>
      </c>
      <c r="G193" s="1" t="b">
        <v>0</v>
      </c>
      <c r="H193" s="1">
        <v>0</v>
      </c>
      <c r="I193" s="1">
        <v>1</v>
      </c>
      <c r="J193" s="1">
        <v>0.1</v>
      </c>
      <c r="K193" s="20">
        <v>9.0899999999999995E-2</v>
      </c>
      <c r="L193" s="23">
        <v>0.49</v>
      </c>
      <c r="M193" s="23">
        <v>0.28360000000000002</v>
      </c>
      <c r="N193" s="23">
        <v>0</v>
      </c>
      <c r="O193" s="23">
        <v>1</v>
      </c>
      <c r="P193" s="24">
        <v>1</v>
      </c>
    </row>
    <row r="194" spans="1:16">
      <c r="A194" s="1">
        <v>193</v>
      </c>
      <c r="B194" s="2">
        <v>40552</v>
      </c>
      <c r="C194" s="1">
        <v>1</v>
      </c>
      <c r="D194" s="1">
        <v>0</v>
      </c>
      <c r="E194" s="1">
        <v>1</v>
      </c>
      <c r="F194" s="1">
        <v>7</v>
      </c>
      <c r="G194" s="1" t="b">
        <v>0</v>
      </c>
      <c r="H194" s="1">
        <v>0</v>
      </c>
      <c r="I194" s="1">
        <v>1</v>
      </c>
      <c r="J194" s="1">
        <v>0.08</v>
      </c>
      <c r="K194" s="19">
        <v>9.0899999999999995E-2</v>
      </c>
      <c r="L194" s="21">
        <v>0.53</v>
      </c>
      <c r="M194" s="21">
        <v>0.19400000000000001</v>
      </c>
      <c r="N194" s="21">
        <v>1</v>
      </c>
      <c r="O194" s="21">
        <v>5</v>
      </c>
      <c r="P194" s="22">
        <v>6</v>
      </c>
    </row>
    <row r="195" spans="1:16">
      <c r="A195" s="1">
        <v>194</v>
      </c>
      <c r="B195" s="2">
        <v>40552</v>
      </c>
      <c r="C195" s="1">
        <v>1</v>
      </c>
      <c r="D195" s="1">
        <v>0</v>
      </c>
      <c r="E195" s="1">
        <v>1</v>
      </c>
      <c r="F195" s="1">
        <v>8</v>
      </c>
      <c r="G195" s="1" t="b">
        <v>0</v>
      </c>
      <c r="H195" s="1">
        <v>0</v>
      </c>
      <c r="I195" s="1">
        <v>1</v>
      </c>
      <c r="J195" s="1">
        <v>0.1</v>
      </c>
      <c r="K195" s="20">
        <v>9.0899999999999995E-2</v>
      </c>
      <c r="L195" s="23">
        <v>0.49</v>
      </c>
      <c r="M195" s="23">
        <v>0.28360000000000002</v>
      </c>
      <c r="N195" s="23">
        <v>0</v>
      </c>
      <c r="O195" s="23">
        <v>10</v>
      </c>
      <c r="P195" s="24">
        <v>10</v>
      </c>
    </row>
    <row r="196" spans="1:16">
      <c r="A196" s="1">
        <v>195</v>
      </c>
      <c r="B196" s="2">
        <v>40552</v>
      </c>
      <c r="C196" s="1">
        <v>1</v>
      </c>
      <c r="D196" s="1">
        <v>0</v>
      </c>
      <c r="E196" s="1">
        <v>1</v>
      </c>
      <c r="F196" s="1">
        <v>9</v>
      </c>
      <c r="G196" s="1" t="b">
        <v>0</v>
      </c>
      <c r="H196" s="1">
        <v>0</v>
      </c>
      <c r="I196" s="1">
        <v>1</v>
      </c>
      <c r="J196" s="1">
        <v>0.12</v>
      </c>
      <c r="K196" s="19">
        <v>7.5800000000000006E-2</v>
      </c>
      <c r="L196" s="21">
        <v>0.46</v>
      </c>
      <c r="M196" s="21">
        <v>0.52239999999999998</v>
      </c>
      <c r="N196" s="21">
        <v>0</v>
      </c>
      <c r="O196" s="21">
        <v>19</v>
      </c>
      <c r="P196" s="22">
        <v>19</v>
      </c>
    </row>
    <row r="197" spans="1:16">
      <c r="A197" s="1">
        <v>196</v>
      </c>
      <c r="B197" s="2">
        <v>40552</v>
      </c>
      <c r="C197" s="1">
        <v>1</v>
      </c>
      <c r="D197" s="1">
        <v>0</v>
      </c>
      <c r="E197" s="1">
        <v>1</v>
      </c>
      <c r="F197" s="1">
        <v>10</v>
      </c>
      <c r="G197" s="1" t="b">
        <v>0</v>
      </c>
      <c r="H197" s="1">
        <v>0</v>
      </c>
      <c r="I197" s="1">
        <v>1</v>
      </c>
      <c r="J197" s="1">
        <v>0.14000000000000001</v>
      </c>
      <c r="K197" s="20">
        <v>0.1061</v>
      </c>
      <c r="L197" s="23">
        <v>0.43</v>
      </c>
      <c r="M197" s="23">
        <v>0.3881</v>
      </c>
      <c r="N197" s="23">
        <v>0</v>
      </c>
      <c r="O197" s="23">
        <v>49</v>
      </c>
      <c r="P197" s="24">
        <v>49</v>
      </c>
    </row>
    <row r="198" spans="1:16">
      <c r="A198" s="1">
        <v>197</v>
      </c>
      <c r="B198" s="2">
        <v>40552</v>
      </c>
      <c r="C198" s="1">
        <v>1</v>
      </c>
      <c r="D198" s="1">
        <v>0</v>
      </c>
      <c r="E198" s="1">
        <v>1</v>
      </c>
      <c r="F198" s="1">
        <v>11</v>
      </c>
      <c r="G198" s="1" t="b">
        <v>0</v>
      </c>
      <c r="H198" s="1">
        <v>0</v>
      </c>
      <c r="I198" s="1">
        <v>1</v>
      </c>
      <c r="J198" s="1">
        <v>0.16</v>
      </c>
      <c r="K198" s="19">
        <v>0.1212</v>
      </c>
      <c r="L198" s="21">
        <v>0.4</v>
      </c>
      <c r="M198" s="21">
        <v>0.52239999999999998</v>
      </c>
      <c r="N198" s="21">
        <v>2</v>
      </c>
      <c r="O198" s="21">
        <v>47</v>
      </c>
      <c r="P198" s="22">
        <v>49</v>
      </c>
    </row>
    <row r="199" spans="1:16">
      <c r="A199" s="1">
        <v>198</v>
      </c>
      <c r="B199" s="2">
        <v>40552</v>
      </c>
      <c r="C199" s="1">
        <v>1</v>
      </c>
      <c r="D199" s="1">
        <v>0</v>
      </c>
      <c r="E199" s="1">
        <v>1</v>
      </c>
      <c r="F199" s="1">
        <v>12</v>
      </c>
      <c r="G199" s="1" t="b">
        <v>0</v>
      </c>
      <c r="H199" s="1">
        <v>0</v>
      </c>
      <c r="I199" s="1">
        <v>1</v>
      </c>
      <c r="J199" s="1">
        <v>0.18</v>
      </c>
      <c r="K199" s="20">
        <v>0.13639999999999999</v>
      </c>
      <c r="L199" s="23">
        <v>0.37</v>
      </c>
      <c r="M199" s="23">
        <v>0.44779999999999998</v>
      </c>
      <c r="N199" s="23">
        <v>4</v>
      </c>
      <c r="O199" s="23">
        <v>79</v>
      </c>
      <c r="P199" s="24">
        <v>83</v>
      </c>
    </row>
    <row r="200" spans="1:16">
      <c r="A200" s="1">
        <v>199</v>
      </c>
      <c r="B200" s="2">
        <v>40552</v>
      </c>
      <c r="C200" s="1">
        <v>1</v>
      </c>
      <c r="D200" s="1">
        <v>0</v>
      </c>
      <c r="E200" s="1">
        <v>1</v>
      </c>
      <c r="F200" s="1">
        <v>13</v>
      </c>
      <c r="G200" s="1" t="b">
        <v>0</v>
      </c>
      <c r="H200" s="1">
        <v>0</v>
      </c>
      <c r="I200" s="1">
        <v>1</v>
      </c>
      <c r="J200" s="1">
        <v>0.2</v>
      </c>
      <c r="K200" s="19">
        <v>0.16669999999999999</v>
      </c>
      <c r="L200" s="21">
        <v>0.34</v>
      </c>
      <c r="M200" s="21">
        <v>0.44779999999999998</v>
      </c>
      <c r="N200" s="21">
        <v>6</v>
      </c>
      <c r="O200" s="21">
        <v>69</v>
      </c>
      <c r="P200" s="22">
        <v>75</v>
      </c>
    </row>
    <row r="201" spans="1:16">
      <c r="A201" s="1">
        <v>200</v>
      </c>
      <c r="B201" s="2">
        <v>40552</v>
      </c>
      <c r="C201" s="1">
        <v>1</v>
      </c>
      <c r="D201" s="1">
        <v>0</v>
      </c>
      <c r="E201" s="1">
        <v>1</v>
      </c>
      <c r="F201" s="1">
        <v>14</v>
      </c>
      <c r="G201" s="1" t="b">
        <v>0</v>
      </c>
      <c r="H201" s="1">
        <v>0</v>
      </c>
      <c r="I201" s="1">
        <v>1</v>
      </c>
      <c r="J201" s="1">
        <v>0.22</v>
      </c>
      <c r="K201" s="20">
        <v>0.18179999999999999</v>
      </c>
      <c r="L201" s="23">
        <v>0.32</v>
      </c>
      <c r="M201" s="23">
        <v>0.4627</v>
      </c>
      <c r="N201" s="23">
        <v>8</v>
      </c>
      <c r="O201" s="23">
        <v>64</v>
      </c>
      <c r="P201" s="24">
        <v>72</v>
      </c>
    </row>
    <row r="202" spans="1:16">
      <c r="A202" s="1">
        <v>201</v>
      </c>
      <c r="B202" s="2">
        <v>40552</v>
      </c>
      <c r="C202" s="1">
        <v>1</v>
      </c>
      <c r="D202" s="1">
        <v>0</v>
      </c>
      <c r="E202" s="1">
        <v>1</v>
      </c>
      <c r="F202" s="1">
        <v>15</v>
      </c>
      <c r="G202" s="1" t="b">
        <v>0</v>
      </c>
      <c r="H202" s="1">
        <v>0</v>
      </c>
      <c r="I202" s="1">
        <v>1</v>
      </c>
      <c r="J202" s="1">
        <v>0.22</v>
      </c>
      <c r="K202" s="19">
        <v>0.19700000000000001</v>
      </c>
      <c r="L202" s="21">
        <v>0.35</v>
      </c>
      <c r="M202" s="21">
        <v>0.35820000000000002</v>
      </c>
      <c r="N202" s="21">
        <v>5</v>
      </c>
      <c r="O202" s="21">
        <v>77</v>
      </c>
      <c r="P202" s="22">
        <v>82</v>
      </c>
    </row>
    <row r="203" spans="1:16">
      <c r="A203" s="1">
        <v>202</v>
      </c>
      <c r="B203" s="2">
        <v>40552</v>
      </c>
      <c r="C203" s="1">
        <v>1</v>
      </c>
      <c r="D203" s="1">
        <v>0</v>
      </c>
      <c r="E203" s="1">
        <v>1</v>
      </c>
      <c r="F203" s="1">
        <v>16</v>
      </c>
      <c r="G203" s="1" t="b">
        <v>0</v>
      </c>
      <c r="H203" s="1">
        <v>0</v>
      </c>
      <c r="I203" s="1">
        <v>1</v>
      </c>
      <c r="J203" s="1">
        <v>0.2</v>
      </c>
      <c r="K203" s="20">
        <v>0.16669999999999999</v>
      </c>
      <c r="L203" s="23">
        <v>0.34</v>
      </c>
      <c r="M203" s="23">
        <v>0.44779999999999998</v>
      </c>
      <c r="N203" s="23">
        <v>13</v>
      </c>
      <c r="O203" s="23">
        <v>79</v>
      </c>
      <c r="P203" s="24">
        <v>92</v>
      </c>
    </row>
    <row r="204" spans="1:16">
      <c r="A204" s="1">
        <v>203</v>
      </c>
      <c r="B204" s="2">
        <v>40552</v>
      </c>
      <c r="C204" s="1">
        <v>1</v>
      </c>
      <c r="D204" s="1">
        <v>0</v>
      </c>
      <c r="E204" s="1">
        <v>1</v>
      </c>
      <c r="F204" s="1">
        <v>17</v>
      </c>
      <c r="G204" s="1" t="b">
        <v>0</v>
      </c>
      <c r="H204" s="1">
        <v>0</v>
      </c>
      <c r="I204" s="1">
        <v>1</v>
      </c>
      <c r="J204" s="1">
        <v>0.18</v>
      </c>
      <c r="K204" s="19">
        <v>0.1515</v>
      </c>
      <c r="L204" s="21">
        <v>0.37</v>
      </c>
      <c r="M204" s="21">
        <v>0.3881</v>
      </c>
      <c r="N204" s="21">
        <v>3</v>
      </c>
      <c r="O204" s="21">
        <v>59</v>
      </c>
      <c r="P204" s="22">
        <v>62</v>
      </c>
    </row>
    <row r="205" spans="1:16">
      <c r="A205" s="1">
        <v>204</v>
      </c>
      <c r="B205" s="2">
        <v>40552</v>
      </c>
      <c r="C205" s="1">
        <v>1</v>
      </c>
      <c r="D205" s="1">
        <v>0</v>
      </c>
      <c r="E205" s="1">
        <v>1</v>
      </c>
      <c r="F205" s="1">
        <v>18</v>
      </c>
      <c r="G205" s="1" t="b">
        <v>0</v>
      </c>
      <c r="H205" s="1">
        <v>0</v>
      </c>
      <c r="I205" s="1">
        <v>1</v>
      </c>
      <c r="J205" s="1">
        <v>0.16</v>
      </c>
      <c r="K205" s="20">
        <v>0.13639999999999999</v>
      </c>
      <c r="L205" s="23">
        <v>0.4</v>
      </c>
      <c r="M205" s="23">
        <v>0.32840000000000003</v>
      </c>
      <c r="N205" s="23">
        <v>4</v>
      </c>
      <c r="O205" s="23">
        <v>44</v>
      </c>
      <c r="P205" s="24">
        <v>48</v>
      </c>
    </row>
    <row r="206" spans="1:16">
      <c r="A206" s="1">
        <v>205</v>
      </c>
      <c r="B206" s="2">
        <v>40552</v>
      </c>
      <c r="C206" s="1">
        <v>1</v>
      </c>
      <c r="D206" s="1">
        <v>0</v>
      </c>
      <c r="E206" s="1">
        <v>1</v>
      </c>
      <c r="F206" s="1">
        <v>19</v>
      </c>
      <c r="G206" s="1" t="b">
        <v>0</v>
      </c>
      <c r="H206" s="1">
        <v>0</v>
      </c>
      <c r="I206" s="1">
        <v>1</v>
      </c>
      <c r="J206" s="1">
        <v>0.16</v>
      </c>
      <c r="K206" s="19">
        <v>0.13639999999999999</v>
      </c>
      <c r="L206" s="21">
        <v>0.43</v>
      </c>
      <c r="M206" s="21">
        <v>0.32840000000000003</v>
      </c>
      <c r="N206" s="21">
        <v>1</v>
      </c>
      <c r="O206" s="21">
        <v>40</v>
      </c>
      <c r="P206" s="22">
        <v>41</v>
      </c>
    </row>
    <row r="207" spans="1:16">
      <c r="A207" s="1">
        <v>206</v>
      </c>
      <c r="B207" s="2">
        <v>40552</v>
      </c>
      <c r="C207" s="1">
        <v>1</v>
      </c>
      <c r="D207" s="1">
        <v>0</v>
      </c>
      <c r="E207" s="1">
        <v>1</v>
      </c>
      <c r="F207" s="1">
        <v>20</v>
      </c>
      <c r="G207" s="1" t="b">
        <v>0</v>
      </c>
      <c r="H207" s="1">
        <v>0</v>
      </c>
      <c r="I207" s="1">
        <v>1</v>
      </c>
      <c r="J207" s="1">
        <v>0.14000000000000001</v>
      </c>
      <c r="K207" s="20">
        <v>0.1212</v>
      </c>
      <c r="L207" s="23">
        <v>0.46</v>
      </c>
      <c r="M207" s="23">
        <v>0.25369999999999998</v>
      </c>
      <c r="N207" s="23">
        <v>0</v>
      </c>
      <c r="O207" s="23">
        <v>38</v>
      </c>
      <c r="P207" s="24">
        <v>38</v>
      </c>
    </row>
    <row r="208" spans="1:16">
      <c r="A208" s="1">
        <v>207</v>
      </c>
      <c r="B208" s="2">
        <v>40552</v>
      </c>
      <c r="C208" s="1">
        <v>1</v>
      </c>
      <c r="D208" s="1">
        <v>0</v>
      </c>
      <c r="E208" s="1">
        <v>1</v>
      </c>
      <c r="F208" s="1">
        <v>21</v>
      </c>
      <c r="G208" s="1" t="b">
        <v>0</v>
      </c>
      <c r="H208" s="1">
        <v>0</v>
      </c>
      <c r="I208" s="1">
        <v>1</v>
      </c>
      <c r="J208" s="1">
        <v>0.14000000000000001</v>
      </c>
      <c r="K208" s="19">
        <v>0.1061</v>
      </c>
      <c r="L208" s="21">
        <v>0.46</v>
      </c>
      <c r="M208" s="21">
        <v>0.41789999999999999</v>
      </c>
      <c r="N208" s="21">
        <v>1</v>
      </c>
      <c r="O208" s="21">
        <v>19</v>
      </c>
      <c r="P208" s="22">
        <v>20</v>
      </c>
    </row>
    <row r="209" spans="1:16">
      <c r="A209" s="1">
        <v>208</v>
      </c>
      <c r="B209" s="2">
        <v>40552</v>
      </c>
      <c r="C209" s="1">
        <v>1</v>
      </c>
      <c r="D209" s="1">
        <v>0</v>
      </c>
      <c r="E209" s="1">
        <v>1</v>
      </c>
      <c r="F209" s="1">
        <v>22</v>
      </c>
      <c r="G209" s="1" t="b">
        <v>0</v>
      </c>
      <c r="H209" s="1">
        <v>0</v>
      </c>
      <c r="I209" s="1">
        <v>1</v>
      </c>
      <c r="J209" s="1">
        <v>0.14000000000000001</v>
      </c>
      <c r="K209" s="20">
        <v>0.1212</v>
      </c>
      <c r="L209" s="23">
        <v>0.46</v>
      </c>
      <c r="M209" s="23">
        <v>0.29849999999999999</v>
      </c>
      <c r="N209" s="23">
        <v>5</v>
      </c>
      <c r="O209" s="23">
        <v>10</v>
      </c>
      <c r="P209" s="24">
        <v>15</v>
      </c>
    </row>
    <row r="210" spans="1:16">
      <c r="A210" s="1">
        <v>209</v>
      </c>
      <c r="B210" s="2">
        <v>40552</v>
      </c>
      <c r="C210" s="1">
        <v>1</v>
      </c>
      <c r="D210" s="1">
        <v>0</v>
      </c>
      <c r="E210" s="1">
        <v>1</v>
      </c>
      <c r="F210" s="1">
        <v>23</v>
      </c>
      <c r="G210" s="1" t="b">
        <v>0</v>
      </c>
      <c r="H210" s="1">
        <v>0</v>
      </c>
      <c r="I210" s="1">
        <v>1</v>
      </c>
      <c r="J210" s="1">
        <v>0.12</v>
      </c>
      <c r="K210" s="19">
        <v>0.13639999999999999</v>
      </c>
      <c r="L210" s="21">
        <v>0.5</v>
      </c>
      <c r="M210" s="21">
        <v>0.19400000000000001</v>
      </c>
      <c r="N210" s="21">
        <v>0</v>
      </c>
      <c r="O210" s="21">
        <v>6</v>
      </c>
      <c r="P210" s="22">
        <v>6</v>
      </c>
    </row>
    <row r="211" spans="1:16">
      <c r="A211" s="1">
        <v>210</v>
      </c>
      <c r="B211" s="2">
        <v>40553</v>
      </c>
      <c r="C211" s="1">
        <v>1</v>
      </c>
      <c r="D211" s="1">
        <v>0</v>
      </c>
      <c r="E211" s="1">
        <v>1</v>
      </c>
      <c r="F211" s="1">
        <v>0</v>
      </c>
      <c r="G211" s="1" t="b">
        <v>0</v>
      </c>
      <c r="H211" s="1">
        <v>1</v>
      </c>
      <c r="I211" s="1">
        <v>1</v>
      </c>
      <c r="J211" s="1">
        <v>0.12</v>
      </c>
      <c r="K211" s="20">
        <v>0.1212</v>
      </c>
      <c r="L211" s="23">
        <v>0.5</v>
      </c>
      <c r="M211" s="23">
        <v>0.28360000000000002</v>
      </c>
      <c r="N211" s="23">
        <v>2</v>
      </c>
      <c r="O211" s="23">
        <v>3</v>
      </c>
      <c r="P211" s="24">
        <v>5</v>
      </c>
    </row>
    <row r="212" spans="1:16">
      <c r="A212" s="1">
        <v>211</v>
      </c>
      <c r="B212" s="2">
        <v>40553</v>
      </c>
      <c r="C212" s="1">
        <v>1</v>
      </c>
      <c r="D212" s="1">
        <v>0</v>
      </c>
      <c r="E212" s="1">
        <v>1</v>
      </c>
      <c r="F212" s="1">
        <v>1</v>
      </c>
      <c r="G212" s="1" t="b">
        <v>0</v>
      </c>
      <c r="H212" s="1">
        <v>1</v>
      </c>
      <c r="I212" s="1">
        <v>1</v>
      </c>
      <c r="J212" s="1">
        <v>0.12</v>
      </c>
      <c r="K212" s="19">
        <v>0.1212</v>
      </c>
      <c r="L212" s="21">
        <v>0.5</v>
      </c>
      <c r="M212" s="21">
        <v>0.28360000000000002</v>
      </c>
      <c r="N212" s="21">
        <v>1</v>
      </c>
      <c r="O212" s="21">
        <v>0</v>
      </c>
      <c r="P212" s="22">
        <v>1</v>
      </c>
    </row>
    <row r="213" spans="1:16">
      <c r="A213" s="1">
        <v>212</v>
      </c>
      <c r="B213" s="2">
        <v>40553</v>
      </c>
      <c r="C213" s="1">
        <v>1</v>
      </c>
      <c r="D213" s="1">
        <v>0</v>
      </c>
      <c r="E213" s="1">
        <v>1</v>
      </c>
      <c r="F213" s="1">
        <v>2</v>
      </c>
      <c r="G213" s="1" t="b">
        <v>0</v>
      </c>
      <c r="H213" s="1">
        <v>1</v>
      </c>
      <c r="I213" s="1">
        <v>1</v>
      </c>
      <c r="J213" s="1">
        <v>0.12</v>
      </c>
      <c r="K213" s="20">
        <v>0.1212</v>
      </c>
      <c r="L213" s="23">
        <v>0.5</v>
      </c>
      <c r="M213" s="23">
        <v>0.22389999999999999</v>
      </c>
      <c r="N213" s="23">
        <v>0</v>
      </c>
      <c r="O213" s="23">
        <v>3</v>
      </c>
      <c r="P213" s="24">
        <v>3</v>
      </c>
    </row>
    <row r="214" spans="1:16">
      <c r="A214" s="1">
        <v>213</v>
      </c>
      <c r="B214" s="2">
        <v>40553</v>
      </c>
      <c r="C214" s="1">
        <v>1</v>
      </c>
      <c r="D214" s="1">
        <v>0</v>
      </c>
      <c r="E214" s="1">
        <v>1</v>
      </c>
      <c r="F214" s="1">
        <v>3</v>
      </c>
      <c r="G214" s="1" t="b">
        <v>0</v>
      </c>
      <c r="H214" s="1">
        <v>1</v>
      </c>
      <c r="I214" s="1">
        <v>1</v>
      </c>
      <c r="J214" s="1">
        <v>0.12</v>
      </c>
      <c r="K214" s="19">
        <v>0.1212</v>
      </c>
      <c r="L214" s="21">
        <v>0.5</v>
      </c>
      <c r="M214" s="21">
        <v>0.22389999999999999</v>
      </c>
      <c r="N214" s="21">
        <v>0</v>
      </c>
      <c r="O214" s="21">
        <v>1</v>
      </c>
      <c r="P214" s="22">
        <v>1</v>
      </c>
    </row>
    <row r="215" spans="1:16">
      <c r="A215" s="1">
        <v>214</v>
      </c>
      <c r="B215" s="2">
        <v>40553</v>
      </c>
      <c r="C215" s="1">
        <v>1</v>
      </c>
      <c r="D215" s="1">
        <v>0</v>
      </c>
      <c r="E215" s="1">
        <v>1</v>
      </c>
      <c r="F215" s="1">
        <v>4</v>
      </c>
      <c r="G215" s="1" t="b">
        <v>0</v>
      </c>
      <c r="H215" s="1">
        <v>1</v>
      </c>
      <c r="I215" s="1">
        <v>1</v>
      </c>
      <c r="J215" s="1">
        <v>0.1</v>
      </c>
      <c r="K215" s="20">
        <v>0.1212</v>
      </c>
      <c r="L215" s="23">
        <v>0.54</v>
      </c>
      <c r="M215" s="23">
        <v>0.1343</v>
      </c>
      <c r="N215" s="23">
        <v>1</v>
      </c>
      <c r="O215" s="23">
        <v>2</v>
      </c>
      <c r="P215" s="24">
        <v>3</v>
      </c>
    </row>
    <row r="216" spans="1:16">
      <c r="A216" s="1">
        <v>215</v>
      </c>
      <c r="B216" s="2">
        <v>40553</v>
      </c>
      <c r="C216" s="1">
        <v>1</v>
      </c>
      <c r="D216" s="1">
        <v>0</v>
      </c>
      <c r="E216" s="1">
        <v>1</v>
      </c>
      <c r="F216" s="1">
        <v>5</v>
      </c>
      <c r="G216" s="1" t="b">
        <v>0</v>
      </c>
      <c r="H216" s="1">
        <v>1</v>
      </c>
      <c r="I216" s="1">
        <v>1</v>
      </c>
      <c r="J216" s="1">
        <v>0.1</v>
      </c>
      <c r="K216" s="19">
        <v>0.1061</v>
      </c>
      <c r="L216" s="21">
        <v>0.54</v>
      </c>
      <c r="M216" s="21">
        <v>0.25369999999999998</v>
      </c>
      <c r="N216" s="21">
        <v>0</v>
      </c>
      <c r="O216" s="21">
        <v>3</v>
      </c>
      <c r="P216" s="22">
        <v>3</v>
      </c>
    </row>
    <row r="217" spans="1:16">
      <c r="A217" s="1">
        <v>216</v>
      </c>
      <c r="B217" s="2">
        <v>40553</v>
      </c>
      <c r="C217" s="1">
        <v>1</v>
      </c>
      <c r="D217" s="1">
        <v>0</v>
      </c>
      <c r="E217" s="1">
        <v>1</v>
      </c>
      <c r="F217" s="1">
        <v>6</v>
      </c>
      <c r="G217" s="1" t="b">
        <v>0</v>
      </c>
      <c r="H217" s="1">
        <v>1</v>
      </c>
      <c r="I217" s="1">
        <v>1</v>
      </c>
      <c r="J217" s="1">
        <v>0.12</v>
      </c>
      <c r="K217" s="20">
        <v>0.1212</v>
      </c>
      <c r="L217" s="23">
        <v>0.5</v>
      </c>
      <c r="M217" s="23">
        <v>0.28360000000000002</v>
      </c>
      <c r="N217" s="23">
        <v>0</v>
      </c>
      <c r="O217" s="23">
        <v>31</v>
      </c>
      <c r="P217" s="24">
        <v>31</v>
      </c>
    </row>
    <row r="218" spans="1:16">
      <c r="A218" s="1">
        <v>217</v>
      </c>
      <c r="B218" s="2">
        <v>40553</v>
      </c>
      <c r="C218" s="1">
        <v>1</v>
      </c>
      <c r="D218" s="1">
        <v>0</v>
      </c>
      <c r="E218" s="1">
        <v>1</v>
      </c>
      <c r="F218" s="1">
        <v>7</v>
      </c>
      <c r="G218" s="1" t="b">
        <v>0</v>
      </c>
      <c r="H218" s="1">
        <v>1</v>
      </c>
      <c r="I218" s="1">
        <v>1</v>
      </c>
      <c r="J218" s="1">
        <v>0.12</v>
      </c>
      <c r="K218" s="19">
        <v>0.1212</v>
      </c>
      <c r="L218" s="21">
        <v>0.5</v>
      </c>
      <c r="M218" s="21">
        <v>0.22389999999999999</v>
      </c>
      <c r="N218" s="21">
        <v>2</v>
      </c>
      <c r="O218" s="21">
        <v>75</v>
      </c>
      <c r="P218" s="22">
        <v>77</v>
      </c>
    </row>
    <row r="219" spans="1:16">
      <c r="A219" s="1">
        <v>218</v>
      </c>
      <c r="B219" s="2">
        <v>40553</v>
      </c>
      <c r="C219" s="1">
        <v>1</v>
      </c>
      <c r="D219" s="1">
        <v>0</v>
      </c>
      <c r="E219" s="1">
        <v>1</v>
      </c>
      <c r="F219" s="1">
        <v>8</v>
      </c>
      <c r="G219" s="1" t="b">
        <v>0</v>
      </c>
      <c r="H219" s="1">
        <v>1</v>
      </c>
      <c r="I219" s="1">
        <v>2</v>
      </c>
      <c r="J219" s="1">
        <v>0.12</v>
      </c>
      <c r="K219" s="20">
        <v>0.1212</v>
      </c>
      <c r="L219" s="23">
        <v>0.5</v>
      </c>
      <c r="M219" s="23">
        <v>0.28360000000000002</v>
      </c>
      <c r="N219" s="23">
        <v>4</v>
      </c>
      <c r="O219" s="23">
        <v>184</v>
      </c>
      <c r="P219" s="24">
        <v>188</v>
      </c>
    </row>
    <row r="220" spans="1:16">
      <c r="A220" s="1">
        <v>219</v>
      </c>
      <c r="B220" s="2">
        <v>40553</v>
      </c>
      <c r="C220" s="1">
        <v>1</v>
      </c>
      <c r="D220" s="1">
        <v>0</v>
      </c>
      <c r="E220" s="1">
        <v>1</v>
      </c>
      <c r="F220" s="1">
        <v>9</v>
      </c>
      <c r="G220" s="1" t="b">
        <v>0</v>
      </c>
      <c r="H220" s="1">
        <v>1</v>
      </c>
      <c r="I220" s="1">
        <v>2</v>
      </c>
      <c r="J220" s="1">
        <v>0.14000000000000001</v>
      </c>
      <c r="K220" s="19">
        <v>0.1212</v>
      </c>
      <c r="L220" s="21">
        <v>0.5</v>
      </c>
      <c r="M220" s="21">
        <v>0.25369999999999998</v>
      </c>
      <c r="N220" s="21">
        <v>2</v>
      </c>
      <c r="O220" s="21">
        <v>92</v>
      </c>
      <c r="P220" s="22">
        <v>94</v>
      </c>
    </row>
    <row r="221" spans="1:16">
      <c r="A221" s="1">
        <v>220</v>
      </c>
      <c r="B221" s="2">
        <v>40553</v>
      </c>
      <c r="C221" s="1">
        <v>1</v>
      </c>
      <c r="D221" s="1">
        <v>0</v>
      </c>
      <c r="E221" s="1">
        <v>1</v>
      </c>
      <c r="F221" s="1">
        <v>10</v>
      </c>
      <c r="G221" s="1" t="b">
        <v>0</v>
      </c>
      <c r="H221" s="1">
        <v>1</v>
      </c>
      <c r="I221" s="1">
        <v>2</v>
      </c>
      <c r="J221" s="1">
        <v>0.14000000000000001</v>
      </c>
      <c r="K221" s="20">
        <v>0.1212</v>
      </c>
      <c r="L221" s="23">
        <v>0.5</v>
      </c>
      <c r="M221" s="23">
        <v>0.29849999999999999</v>
      </c>
      <c r="N221" s="23">
        <v>0</v>
      </c>
      <c r="O221" s="23">
        <v>31</v>
      </c>
      <c r="P221" s="24">
        <v>31</v>
      </c>
    </row>
    <row r="222" spans="1:16">
      <c r="A222" s="1">
        <v>221</v>
      </c>
      <c r="B222" s="2">
        <v>40553</v>
      </c>
      <c r="C222" s="1">
        <v>1</v>
      </c>
      <c r="D222" s="1">
        <v>0</v>
      </c>
      <c r="E222" s="1">
        <v>1</v>
      </c>
      <c r="F222" s="1">
        <v>11</v>
      </c>
      <c r="G222" s="1" t="b">
        <v>0</v>
      </c>
      <c r="H222" s="1">
        <v>1</v>
      </c>
      <c r="I222" s="1">
        <v>2</v>
      </c>
      <c r="J222" s="1">
        <v>0.16</v>
      </c>
      <c r="K222" s="19">
        <v>0.13639999999999999</v>
      </c>
      <c r="L222" s="21">
        <v>0.47</v>
      </c>
      <c r="M222" s="21">
        <v>0.28360000000000002</v>
      </c>
      <c r="N222" s="21">
        <v>2</v>
      </c>
      <c r="O222" s="21">
        <v>28</v>
      </c>
      <c r="P222" s="22">
        <v>30</v>
      </c>
    </row>
    <row r="223" spans="1:16">
      <c r="A223" s="1">
        <v>222</v>
      </c>
      <c r="B223" s="2">
        <v>40553</v>
      </c>
      <c r="C223" s="1">
        <v>1</v>
      </c>
      <c r="D223" s="1">
        <v>0</v>
      </c>
      <c r="E223" s="1">
        <v>1</v>
      </c>
      <c r="F223" s="1">
        <v>12</v>
      </c>
      <c r="G223" s="1" t="b">
        <v>0</v>
      </c>
      <c r="H223" s="1">
        <v>1</v>
      </c>
      <c r="I223" s="1">
        <v>2</v>
      </c>
      <c r="J223" s="1">
        <v>0.2</v>
      </c>
      <c r="K223" s="20">
        <v>0.18179999999999999</v>
      </c>
      <c r="L223" s="23">
        <v>0.4</v>
      </c>
      <c r="M223" s="23">
        <v>0.28360000000000002</v>
      </c>
      <c r="N223" s="23">
        <v>5</v>
      </c>
      <c r="O223" s="23">
        <v>47</v>
      </c>
      <c r="P223" s="24">
        <v>52</v>
      </c>
    </row>
    <row r="224" spans="1:16">
      <c r="A224" s="1">
        <v>223</v>
      </c>
      <c r="B224" s="2">
        <v>40553</v>
      </c>
      <c r="C224" s="1">
        <v>1</v>
      </c>
      <c r="D224" s="1">
        <v>0</v>
      </c>
      <c r="E224" s="1">
        <v>1</v>
      </c>
      <c r="F224" s="1">
        <v>13</v>
      </c>
      <c r="G224" s="1" t="b">
        <v>0</v>
      </c>
      <c r="H224" s="1">
        <v>1</v>
      </c>
      <c r="I224" s="1">
        <v>2</v>
      </c>
      <c r="J224" s="1">
        <v>0.2</v>
      </c>
      <c r="K224" s="19">
        <v>0.18179999999999999</v>
      </c>
      <c r="L224" s="21">
        <v>0.4</v>
      </c>
      <c r="M224" s="21">
        <v>0.28360000000000002</v>
      </c>
      <c r="N224" s="21">
        <v>4</v>
      </c>
      <c r="O224" s="21">
        <v>50</v>
      </c>
      <c r="P224" s="22">
        <v>54</v>
      </c>
    </row>
    <row r="225" spans="1:16">
      <c r="A225" s="1">
        <v>224</v>
      </c>
      <c r="B225" s="2">
        <v>40553</v>
      </c>
      <c r="C225" s="1">
        <v>1</v>
      </c>
      <c r="D225" s="1">
        <v>0</v>
      </c>
      <c r="E225" s="1">
        <v>1</v>
      </c>
      <c r="F225" s="1">
        <v>14</v>
      </c>
      <c r="G225" s="1" t="b">
        <v>0</v>
      </c>
      <c r="H225" s="1">
        <v>1</v>
      </c>
      <c r="I225" s="1">
        <v>2</v>
      </c>
      <c r="J225" s="1">
        <v>0.2</v>
      </c>
      <c r="K225" s="20">
        <v>0.19700000000000001</v>
      </c>
      <c r="L225" s="23">
        <v>0.4</v>
      </c>
      <c r="M225" s="23">
        <v>0.22389999999999999</v>
      </c>
      <c r="N225" s="23">
        <v>0</v>
      </c>
      <c r="O225" s="23">
        <v>47</v>
      </c>
      <c r="P225" s="24">
        <v>47</v>
      </c>
    </row>
    <row r="226" spans="1:16">
      <c r="A226" s="1">
        <v>225</v>
      </c>
      <c r="B226" s="2">
        <v>40553</v>
      </c>
      <c r="C226" s="1">
        <v>1</v>
      </c>
      <c r="D226" s="1">
        <v>0</v>
      </c>
      <c r="E226" s="1">
        <v>1</v>
      </c>
      <c r="F226" s="1">
        <v>15</v>
      </c>
      <c r="G226" s="1" t="b">
        <v>0</v>
      </c>
      <c r="H226" s="1">
        <v>1</v>
      </c>
      <c r="I226" s="1">
        <v>2</v>
      </c>
      <c r="J226" s="1">
        <v>0.2</v>
      </c>
      <c r="K226" s="19">
        <v>0.19700000000000001</v>
      </c>
      <c r="L226" s="21">
        <v>0.4</v>
      </c>
      <c r="M226" s="21">
        <v>0.22389999999999999</v>
      </c>
      <c r="N226" s="21">
        <v>2</v>
      </c>
      <c r="O226" s="21">
        <v>43</v>
      </c>
      <c r="P226" s="22">
        <v>45</v>
      </c>
    </row>
    <row r="227" spans="1:16">
      <c r="A227" s="1">
        <v>226</v>
      </c>
      <c r="B227" s="2">
        <v>40553</v>
      </c>
      <c r="C227" s="1">
        <v>1</v>
      </c>
      <c r="D227" s="1">
        <v>0</v>
      </c>
      <c r="E227" s="1">
        <v>1</v>
      </c>
      <c r="F227" s="1">
        <v>16</v>
      </c>
      <c r="G227" s="1" t="b">
        <v>0</v>
      </c>
      <c r="H227" s="1">
        <v>1</v>
      </c>
      <c r="I227" s="1">
        <v>1</v>
      </c>
      <c r="J227" s="1">
        <v>0.2</v>
      </c>
      <c r="K227" s="20">
        <v>0.21210000000000001</v>
      </c>
      <c r="L227" s="23">
        <v>0.4</v>
      </c>
      <c r="M227" s="23">
        <v>0.1343</v>
      </c>
      <c r="N227" s="23">
        <v>4</v>
      </c>
      <c r="O227" s="23">
        <v>70</v>
      </c>
      <c r="P227" s="24">
        <v>74</v>
      </c>
    </row>
    <row r="228" spans="1:16">
      <c r="A228" s="1">
        <v>227</v>
      </c>
      <c r="B228" s="2">
        <v>40553</v>
      </c>
      <c r="C228" s="1">
        <v>1</v>
      </c>
      <c r="D228" s="1">
        <v>0</v>
      </c>
      <c r="E228" s="1">
        <v>1</v>
      </c>
      <c r="F228" s="1">
        <v>17</v>
      </c>
      <c r="G228" s="1" t="b">
        <v>0</v>
      </c>
      <c r="H228" s="1">
        <v>1</v>
      </c>
      <c r="I228" s="1">
        <v>1</v>
      </c>
      <c r="J228" s="1">
        <v>0.2</v>
      </c>
      <c r="K228" s="19">
        <v>0.2273</v>
      </c>
      <c r="L228" s="21">
        <v>0.4</v>
      </c>
      <c r="M228" s="21">
        <v>0.1045</v>
      </c>
      <c r="N228" s="21">
        <v>4</v>
      </c>
      <c r="O228" s="21">
        <v>174</v>
      </c>
      <c r="P228" s="22">
        <v>178</v>
      </c>
    </row>
    <row r="229" spans="1:16">
      <c r="A229" s="1">
        <v>228</v>
      </c>
      <c r="B229" s="2">
        <v>40553</v>
      </c>
      <c r="C229" s="1">
        <v>1</v>
      </c>
      <c r="D229" s="1">
        <v>0</v>
      </c>
      <c r="E229" s="1">
        <v>1</v>
      </c>
      <c r="F229" s="1">
        <v>18</v>
      </c>
      <c r="G229" s="1" t="b">
        <v>0</v>
      </c>
      <c r="H229" s="1">
        <v>1</v>
      </c>
      <c r="I229" s="1">
        <v>1</v>
      </c>
      <c r="J229" s="1">
        <v>0.2</v>
      </c>
      <c r="K229" s="20">
        <v>0.19700000000000001</v>
      </c>
      <c r="L229" s="23">
        <v>0.4</v>
      </c>
      <c r="M229" s="23">
        <v>0.22389999999999999</v>
      </c>
      <c r="N229" s="23">
        <v>1</v>
      </c>
      <c r="O229" s="23">
        <v>154</v>
      </c>
      <c r="P229" s="24">
        <v>155</v>
      </c>
    </row>
    <row r="230" spans="1:16">
      <c r="A230" s="1">
        <v>229</v>
      </c>
      <c r="B230" s="2">
        <v>40553</v>
      </c>
      <c r="C230" s="1">
        <v>1</v>
      </c>
      <c r="D230" s="1">
        <v>0</v>
      </c>
      <c r="E230" s="1">
        <v>1</v>
      </c>
      <c r="F230" s="1">
        <v>19</v>
      </c>
      <c r="G230" s="1" t="b">
        <v>0</v>
      </c>
      <c r="H230" s="1">
        <v>1</v>
      </c>
      <c r="I230" s="1">
        <v>1</v>
      </c>
      <c r="J230" s="1">
        <v>0.16</v>
      </c>
      <c r="K230" s="19">
        <v>0.16669999999999999</v>
      </c>
      <c r="L230" s="21">
        <v>0.47</v>
      </c>
      <c r="M230" s="21">
        <v>0.16420000000000001</v>
      </c>
      <c r="N230" s="21">
        <v>3</v>
      </c>
      <c r="O230" s="21">
        <v>92</v>
      </c>
      <c r="P230" s="22">
        <v>95</v>
      </c>
    </row>
    <row r="231" spans="1:16">
      <c r="A231" s="1">
        <v>230</v>
      </c>
      <c r="B231" s="2">
        <v>40553</v>
      </c>
      <c r="C231" s="1">
        <v>1</v>
      </c>
      <c r="D231" s="1">
        <v>0</v>
      </c>
      <c r="E231" s="1">
        <v>1</v>
      </c>
      <c r="F231" s="1">
        <v>20</v>
      </c>
      <c r="G231" s="1" t="b">
        <v>0</v>
      </c>
      <c r="H231" s="1">
        <v>1</v>
      </c>
      <c r="I231" s="1">
        <v>1</v>
      </c>
      <c r="J231" s="1">
        <v>0.16</v>
      </c>
      <c r="K231" s="20">
        <v>0.16669999999999999</v>
      </c>
      <c r="L231" s="23">
        <v>0.5</v>
      </c>
      <c r="M231" s="23">
        <v>0.16420000000000001</v>
      </c>
      <c r="N231" s="23">
        <v>1</v>
      </c>
      <c r="O231" s="23">
        <v>73</v>
      </c>
      <c r="P231" s="24">
        <v>74</v>
      </c>
    </row>
    <row r="232" spans="1:16">
      <c r="A232" s="1">
        <v>231</v>
      </c>
      <c r="B232" s="2">
        <v>40553</v>
      </c>
      <c r="C232" s="1">
        <v>1</v>
      </c>
      <c r="D232" s="1">
        <v>0</v>
      </c>
      <c r="E232" s="1">
        <v>1</v>
      </c>
      <c r="F232" s="1">
        <v>21</v>
      </c>
      <c r="G232" s="1" t="b">
        <v>0</v>
      </c>
      <c r="H232" s="1">
        <v>1</v>
      </c>
      <c r="I232" s="1">
        <v>1</v>
      </c>
      <c r="J232" s="1">
        <v>0.14000000000000001</v>
      </c>
      <c r="K232" s="19">
        <v>0.13639999999999999</v>
      </c>
      <c r="L232" s="21">
        <v>0.59</v>
      </c>
      <c r="M232" s="21">
        <v>0.19400000000000001</v>
      </c>
      <c r="N232" s="21">
        <v>1</v>
      </c>
      <c r="O232" s="21">
        <v>37</v>
      </c>
      <c r="P232" s="22">
        <v>38</v>
      </c>
    </row>
    <row r="233" spans="1:16">
      <c r="A233" s="1">
        <v>232</v>
      </c>
      <c r="B233" s="2">
        <v>40553</v>
      </c>
      <c r="C233" s="1">
        <v>1</v>
      </c>
      <c r="D233" s="1">
        <v>0</v>
      </c>
      <c r="E233" s="1">
        <v>1</v>
      </c>
      <c r="F233" s="1">
        <v>22</v>
      </c>
      <c r="G233" s="1" t="b">
        <v>0</v>
      </c>
      <c r="H233" s="1">
        <v>1</v>
      </c>
      <c r="I233" s="1">
        <v>1</v>
      </c>
      <c r="J233" s="1">
        <v>0.14000000000000001</v>
      </c>
      <c r="K233" s="20">
        <v>0.1515</v>
      </c>
      <c r="L233" s="23">
        <v>0.59</v>
      </c>
      <c r="M233" s="23">
        <v>0.16420000000000001</v>
      </c>
      <c r="N233" s="23">
        <v>2</v>
      </c>
      <c r="O233" s="23">
        <v>22</v>
      </c>
      <c r="P233" s="24">
        <v>24</v>
      </c>
    </row>
    <row r="234" spans="1:16">
      <c r="A234" s="1">
        <v>233</v>
      </c>
      <c r="B234" s="2">
        <v>40553</v>
      </c>
      <c r="C234" s="1">
        <v>1</v>
      </c>
      <c r="D234" s="1">
        <v>0</v>
      </c>
      <c r="E234" s="1">
        <v>1</v>
      </c>
      <c r="F234" s="1">
        <v>23</v>
      </c>
      <c r="G234" s="1" t="b">
        <v>0</v>
      </c>
      <c r="H234" s="1">
        <v>1</v>
      </c>
      <c r="I234" s="1">
        <v>1</v>
      </c>
      <c r="J234" s="1">
        <v>0.14000000000000001</v>
      </c>
      <c r="K234" s="19">
        <v>0.1515</v>
      </c>
      <c r="L234" s="21">
        <v>0.59</v>
      </c>
      <c r="M234" s="21">
        <v>0.16420000000000001</v>
      </c>
      <c r="N234" s="21">
        <v>0</v>
      </c>
      <c r="O234" s="21">
        <v>18</v>
      </c>
      <c r="P234" s="22">
        <v>18</v>
      </c>
    </row>
    <row r="235" spans="1:16">
      <c r="A235" s="1">
        <v>234</v>
      </c>
      <c r="B235" s="2">
        <v>40554</v>
      </c>
      <c r="C235" s="1">
        <v>1</v>
      </c>
      <c r="D235" s="1">
        <v>0</v>
      </c>
      <c r="E235" s="1">
        <v>1</v>
      </c>
      <c r="F235" s="1">
        <v>0</v>
      </c>
      <c r="G235" s="1" t="b">
        <v>0</v>
      </c>
      <c r="H235" s="1">
        <v>2</v>
      </c>
      <c r="I235" s="1">
        <v>1</v>
      </c>
      <c r="J235" s="1">
        <v>0.14000000000000001</v>
      </c>
      <c r="K235" s="20">
        <v>0.16669999999999999</v>
      </c>
      <c r="L235" s="23">
        <v>0.59</v>
      </c>
      <c r="M235" s="23">
        <v>0.1045</v>
      </c>
      <c r="N235" s="23">
        <v>2</v>
      </c>
      <c r="O235" s="23">
        <v>10</v>
      </c>
      <c r="P235" s="24">
        <v>12</v>
      </c>
    </row>
    <row r="236" spans="1:16">
      <c r="A236" s="1">
        <v>235</v>
      </c>
      <c r="B236" s="2">
        <v>40554</v>
      </c>
      <c r="C236" s="1">
        <v>1</v>
      </c>
      <c r="D236" s="1">
        <v>0</v>
      </c>
      <c r="E236" s="1">
        <v>1</v>
      </c>
      <c r="F236" s="1">
        <v>1</v>
      </c>
      <c r="G236" s="1" t="b">
        <v>0</v>
      </c>
      <c r="H236" s="1">
        <v>2</v>
      </c>
      <c r="I236" s="1">
        <v>1</v>
      </c>
      <c r="J236" s="1">
        <v>0.14000000000000001</v>
      </c>
      <c r="K236" s="19">
        <v>0.1515</v>
      </c>
      <c r="L236" s="21">
        <v>0.59</v>
      </c>
      <c r="M236" s="21">
        <v>0.16420000000000001</v>
      </c>
      <c r="N236" s="21">
        <v>0</v>
      </c>
      <c r="O236" s="21">
        <v>3</v>
      </c>
      <c r="P236" s="22">
        <v>3</v>
      </c>
    </row>
    <row r="237" spans="1:16">
      <c r="A237" s="1">
        <v>236</v>
      </c>
      <c r="B237" s="2">
        <v>40554</v>
      </c>
      <c r="C237" s="1">
        <v>1</v>
      </c>
      <c r="D237" s="1">
        <v>0</v>
      </c>
      <c r="E237" s="1">
        <v>1</v>
      </c>
      <c r="F237" s="1">
        <v>2</v>
      </c>
      <c r="G237" s="1" t="b">
        <v>0</v>
      </c>
      <c r="H237" s="1">
        <v>2</v>
      </c>
      <c r="I237" s="1">
        <v>2</v>
      </c>
      <c r="J237" s="1">
        <v>0.16</v>
      </c>
      <c r="K237" s="20">
        <v>0.1515</v>
      </c>
      <c r="L237" s="23">
        <v>0.55000000000000004</v>
      </c>
      <c r="M237" s="23">
        <v>0.19400000000000001</v>
      </c>
      <c r="N237" s="23">
        <v>0</v>
      </c>
      <c r="O237" s="23">
        <v>3</v>
      </c>
      <c r="P237" s="24">
        <v>3</v>
      </c>
    </row>
    <row r="238" spans="1:16">
      <c r="A238" s="1">
        <v>237</v>
      </c>
      <c r="B238" s="2">
        <v>40554</v>
      </c>
      <c r="C238" s="1">
        <v>1</v>
      </c>
      <c r="D238" s="1">
        <v>0</v>
      </c>
      <c r="E238" s="1">
        <v>1</v>
      </c>
      <c r="F238" s="1">
        <v>5</v>
      </c>
      <c r="G238" s="1" t="b">
        <v>0</v>
      </c>
      <c r="H238" s="1">
        <v>2</v>
      </c>
      <c r="I238" s="1">
        <v>2</v>
      </c>
      <c r="J238" s="1">
        <v>0.16</v>
      </c>
      <c r="K238" s="19">
        <v>0.18179999999999999</v>
      </c>
      <c r="L238" s="21">
        <v>0.55000000000000004</v>
      </c>
      <c r="M238" s="21">
        <v>0.1343</v>
      </c>
      <c r="N238" s="21">
        <v>0</v>
      </c>
      <c r="O238" s="21">
        <v>6</v>
      </c>
      <c r="P238" s="22">
        <v>6</v>
      </c>
    </row>
    <row r="239" spans="1:16">
      <c r="A239" s="1">
        <v>238</v>
      </c>
      <c r="B239" s="2">
        <v>40554</v>
      </c>
      <c r="C239" s="1">
        <v>1</v>
      </c>
      <c r="D239" s="1">
        <v>0</v>
      </c>
      <c r="E239" s="1">
        <v>1</v>
      </c>
      <c r="F239" s="1">
        <v>6</v>
      </c>
      <c r="G239" s="1" t="b">
        <v>0</v>
      </c>
      <c r="H239" s="1">
        <v>2</v>
      </c>
      <c r="I239" s="1">
        <v>2</v>
      </c>
      <c r="J239" s="1">
        <v>0.16</v>
      </c>
      <c r="K239" s="20">
        <v>0.18179999999999999</v>
      </c>
      <c r="L239" s="23">
        <v>0.55000000000000004</v>
      </c>
      <c r="M239" s="23">
        <v>0.1343</v>
      </c>
      <c r="N239" s="23">
        <v>0</v>
      </c>
      <c r="O239" s="23">
        <v>27</v>
      </c>
      <c r="P239" s="24">
        <v>27</v>
      </c>
    </row>
    <row r="240" spans="1:16">
      <c r="A240" s="1">
        <v>239</v>
      </c>
      <c r="B240" s="2">
        <v>40554</v>
      </c>
      <c r="C240" s="1">
        <v>1</v>
      </c>
      <c r="D240" s="1">
        <v>0</v>
      </c>
      <c r="E240" s="1">
        <v>1</v>
      </c>
      <c r="F240" s="1">
        <v>7</v>
      </c>
      <c r="G240" s="1" t="b">
        <v>0</v>
      </c>
      <c r="H240" s="1">
        <v>2</v>
      </c>
      <c r="I240" s="1">
        <v>2</v>
      </c>
      <c r="J240" s="1">
        <v>0.16</v>
      </c>
      <c r="K240" s="19">
        <v>0.2273</v>
      </c>
      <c r="L240" s="21">
        <v>0.55000000000000004</v>
      </c>
      <c r="M240" s="21">
        <v>0</v>
      </c>
      <c r="N240" s="21">
        <v>2</v>
      </c>
      <c r="O240" s="21">
        <v>97</v>
      </c>
      <c r="P240" s="22">
        <v>99</v>
      </c>
    </row>
    <row r="241" spans="1:16">
      <c r="A241" s="1">
        <v>240</v>
      </c>
      <c r="B241" s="2">
        <v>40554</v>
      </c>
      <c r="C241" s="1">
        <v>1</v>
      </c>
      <c r="D241" s="1">
        <v>0</v>
      </c>
      <c r="E241" s="1">
        <v>1</v>
      </c>
      <c r="F241" s="1">
        <v>8</v>
      </c>
      <c r="G241" s="1" t="b">
        <v>0</v>
      </c>
      <c r="H241" s="1">
        <v>2</v>
      </c>
      <c r="I241" s="1">
        <v>2</v>
      </c>
      <c r="J241" s="1">
        <v>0.18</v>
      </c>
      <c r="K241" s="20">
        <v>0.21210000000000001</v>
      </c>
      <c r="L241" s="23">
        <v>0.51</v>
      </c>
      <c r="M241" s="23">
        <v>8.9599999999999999E-2</v>
      </c>
      <c r="N241" s="23">
        <v>3</v>
      </c>
      <c r="O241" s="23">
        <v>214</v>
      </c>
      <c r="P241" s="24">
        <v>217</v>
      </c>
    </row>
    <row r="242" spans="1:16">
      <c r="A242" s="1">
        <v>241</v>
      </c>
      <c r="B242" s="2">
        <v>40554</v>
      </c>
      <c r="C242" s="1">
        <v>1</v>
      </c>
      <c r="D242" s="1">
        <v>0</v>
      </c>
      <c r="E242" s="1">
        <v>1</v>
      </c>
      <c r="F242" s="1">
        <v>9</v>
      </c>
      <c r="G242" s="1" t="b">
        <v>0</v>
      </c>
      <c r="H242" s="1">
        <v>2</v>
      </c>
      <c r="I242" s="1">
        <v>2</v>
      </c>
      <c r="J242" s="1">
        <v>0.18</v>
      </c>
      <c r="K242" s="19">
        <v>0.19700000000000001</v>
      </c>
      <c r="L242" s="21">
        <v>0.51</v>
      </c>
      <c r="M242" s="21">
        <v>0.16420000000000001</v>
      </c>
      <c r="N242" s="21">
        <v>3</v>
      </c>
      <c r="O242" s="21">
        <v>127</v>
      </c>
      <c r="P242" s="22">
        <v>130</v>
      </c>
    </row>
    <row r="243" spans="1:16">
      <c r="A243" s="1">
        <v>242</v>
      </c>
      <c r="B243" s="2">
        <v>40554</v>
      </c>
      <c r="C243" s="1">
        <v>1</v>
      </c>
      <c r="D243" s="1">
        <v>0</v>
      </c>
      <c r="E243" s="1">
        <v>1</v>
      </c>
      <c r="F243" s="1">
        <v>10</v>
      </c>
      <c r="G243" s="1" t="b">
        <v>0</v>
      </c>
      <c r="H243" s="1">
        <v>2</v>
      </c>
      <c r="I243" s="1">
        <v>2</v>
      </c>
      <c r="J243" s="1">
        <v>0.2</v>
      </c>
      <c r="K243" s="20">
        <v>0.21210000000000001</v>
      </c>
      <c r="L243" s="23">
        <v>0.51</v>
      </c>
      <c r="M243" s="23">
        <v>0.16420000000000001</v>
      </c>
      <c r="N243" s="23">
        <v>3</v>
      </c>
      <c r="O243" s="23">
        <v>51</v>
      </c>
      <c r="P243" s="24">
        <v>54</v>
      </c>
    </row>
    <row r="244" spans="1:16">
      <c r="A244" s="1">
        <v>243</v>
      </c>
      <c r="B244" s="2">
        <v>40554</v>
      </c>
      <c r="C244" s="1">
        <v>1</v>
      </c>
      <c r="D244" s="1">
        <v>0</v>
      </c>
      <c r="E244" s="1">
        <v>1</v>
      </c>
      <c r="F244" s="1">
        <v>11</v>
      </c>
      <c r="G244" s="1" t="b">
        <v>0</v>
      </c>
      <c r="H244" s="1">
        <v>2</v>
      </c>
      <c r="I244" s="1">
        <v>2</v>
      </c>
      <c r="J244" s="1">
        <v>0.2</v>
      </c>
      <c r="K244" s="19">
        <v>0.21210000000000001</v>
      </c>
      <c r="L244" s="21">
        <v>0.47</v>
      </c>
      <c r="M244" s="21">
        <v>0.1343</v>
      </c>
      <c r="N244" s="21">
        <v>4</v>
      </c>
      <c r="O244" s="21">
        <v>31</v>
      </c>
      <c r="P244" s="22">
        <v>35</v>
      </c>
    </row>
    <row r="245" spans="1:16">
      <c r="A245" s="1">
        <v>244</v>
      </c>
      <c r="B245" s="2">
        <v>40554</v>
      </c>
      <c r="C245" s="1">
        <v>1</v>
      </c>
      <c r="D245" s="1">
        <v>0</v>
      </c>
      <c r="E245" s="1">
        <v>1</v>
      </c>
      <c r="F245" s="1">
        <v>12</v>
      </c>
      <c r="G245" s="1" t="b">
        <v>0</v>
      </c>
      <c r="H245" s="1">
        <v>2</v>
      </c>
      <c r="I245" s="1">
        <v>2</v>
      </c>
      <c r="J245" s="1">
        <v>0.2</v>
      </c>
      <c r="K245" s="20">
        <v>0.2273</v>
      </c>
      <c r="L245" s="23">
        <v>0.51</v>
      </c>
      <c r="M245" s="23">
        <v>0.1045</v>
      </c>
      <c r="N245" s="23">
        <v>2</v>
      </c>
      <c r="O245" s="23">
        <v>55</v>
      </c>
      <c r="P245" s="24">
        <v>57</v>
      </c>
    </row>
    <row r="246" spans="1:16">
      <c r="A246" s="1">
        <v>245</v>
      </c>
      <c r="B246" s="2">
        <v>40554</v>
      </c>
      <c r="C246" s="1">
        <v>1</v>
      </c>
      <c r="D246" s="1">
        <v>0</v>
      </c>
      <c r="E246" s="1">
        <v>1</v>
      </c>
      <c r="F246" s="1">
        <v>13</v>
      </c>
      <c r="G246" s="1" t="b">
        <v>0</v>
      </c>
      <c r="H246" s="1">
        <v>2</v>
      </c>
      <c r="I246" s="1">
        <v>2</v>
      </c>
      <c r="J246" s="1">
        <v>0.2</v>
      </c>
      <c r="K246" s="19">
        <v>0.2273</v>
      </c>
      <c r="L246" s="21">
        <v>0.59</v>
      </c>
      <c r="M246" s="21">
        <v>8.9599999999999999E-2</v>
      </c>
      <c r="N246" s="21">
        <v>6</v>
      </c>
      <c r="O246" s="21">
        <v>46</v>
      </c>
      <c r="P246" s="22">
        <v>52</v>
      </c>
    </row>
    <row r="247" spans="1:16">
      <c r="A247" s="1">
        <v>246</v>
      </c>
      <c r="B247" s="2">
        <v>40554</v>
      </c>
      <c r="C247" s="1">
        <v>1</v>
      </c>
      <c r="D247" s="1">
        <v>0</v>
      </c>
      <c r="E247" s="1">
        <v>1</v>
      </c>
      <c r="F247" s="1">
        <v>14</v>
      </c>
      <c r="G247" s="1" t="b">
        <v>0</v>
      </c>
      <c r="H247" s="1">
        <v>2</v>
      </c>
      <c r="I247" s="1">
        <v>2</v>
      </c>
      <c r="J247" s="1">
        <v>0.2</v>
      </c>
      <c r="K247" s="20">
        <v>0.2273</v>
      </c>
      <c r="L247" s="23">
        <v>0.59</v>
      </c>
      <c r="M247" s="23">
        <v>8.9599999999999999E-2</v>
      </c>
      <c r="N247" s="23">
        <v>3</v>
      </c>
      <c r="O247" s="23">
        <v>60</v>
      </c>
      <c r="P247" s="24">
        <v>63</v>
      </c>
    </row>
    <row r="248" spans="1:16">
      <c r="A248" s="1">
        <v>247</v>
      </c>
      <c r="B248" s="2">
        <v>40554</v>
      </c>
      <c r="C248" s="1">
        <v>1</v>
      </c>
      <c r="D248" s="1">
        <v>0</v>
      </c>
      <c r="E248" s="1">
        <v>1</v>
      </c>
      <c r="F248" s="1">
        <v>15</v>
      </c>
      <c r="G248" s="1" t="b">
        <v>0</v>
      </c>
      <c r="H248" s="1">
        <v>2</v>
      </c>
      <c r="I248" s="1">
        <v>2</v>
      </c>
      <c r="J248" s="1">
        <v>0.16</v>
      </c>
      <c r="K248" s="19">
        <v>0.19700000000000001</v>
      </c>
      <c r="L248" s="21">
        <v>0.8</v>
      </c>
      <c r="M248" s="21">
        <v>8.9599999999999999E-2</v>
      </c>
      <c r="N248" s="21">
        <v>2</v>
      </c>
      <c r="O248" s="21">
        <v>45</v>
      </c>
      <c r="P248" s="22">
        <v>47</v>
      </c>
    </row>
    <row r="249" spans="1:16">
      <c r="A249" s="1">
        <v>248</v>
      </c>
      <c r="B249" s="2">
        <v>40554</v>
      </c>
      <c r="C249" s="1">
        <v>1</v>
      </c>
      <c r="D249" s="1">
        <v>0</v>
      </c>
      <c r="E249" s="1">
        <v>1</v>
      </c>
      <c r="F249" s="1">
        <v>16</v>
      </c>
      <c r="G249" s="1" t="b">
        <v>0</v>
      </c>
      <c r="H249" s="1">
        <v>2</v>
      </c>
      <c r="I249" s="1">
        <v>2</v>
      </c>
      <c r="J249" s="1">
        <v>0.16</v>
      </c>
      <c r="K249" s="20">
        <v>0.1515</v>
      </c>
      <c r="L249" s="23">
        <v>0.86</v>
      </c>
      <c r="M249" s="23">
        <v>0.22389999999999999</v>
      </c>
      <c r="N249" s="23">
        <v>4</v>
      </c>
      <c r="O249" s="23">
        <v>72</v>
      </c>
      <c r="P249" s="24">
        <v>76</v>
      </c>
    </row>
    <row r="250" spans="1:16">
      <c r="A250" s="1">
        <v>249</v>
      </c>
      <c r="B250" s="2">
        <v>40554</v>
      </c>
      <c r="C250" s="1">
        <v>1</v>
      </c>
      <c r="D250" s="1">
        <v>0</v>
      </c>
      <c r="E250" s="1">
        <v>1</v>
      </c>
      <c r="F250" s="1">
        <v>17</v>
      </c>
      <c r="G250" s="1" t="b">
        <v>0</v>
      </c>
      <c r="H250" s="1">
        <v>2</v>
      </c>
      <c r="I250" s="1">
        <v>2</v>
      </c>
      <c r="J250" s="1">
        <v>0.16</v>
      </c>
      <c r="K250" s="19">
        <v>0.1515</v>
      </c>
      <c r="L250" s="21">
        <v>0.86</v>
      </c>
      <c r="M250" s="21">
        <v>0.22389999999999999</v>
      </c>
      <c r="N250" s="21">
        <v>6</v>
      </c>
      <c r="O250" s="21">
        <v>130</v>
      </c>
      <c r="P250" s="22">
        <v>136</v>
      </c>
    </row>
    <row r="251" spans="1:16">
      <c r="A251" s="1">
        <v>250</v>
      </c>
      <c r="B251" s="2">
        <v>40554</v>
      </c>
      <c r="C251" s="1">
        <v>1</v>
      </c>
      <c r="D251" s="1">
        <v>0</v>
      </c>
      <c r="E251" s="1">
        <v>1</v>
      </c>
      <c r="F251" s="1">
        <v>18</v>
      </c>
      <c r="G251" s="1" t="b">
        <v>0</v>
      </c>
      <c r="H251" s="1">
        <v>2</v>
      </c>
      <c r="I251" s="1">
        <v>3</v>
      </c>
      <c r="J251" s="1">
        <v>0.16</v>
      </c>
      <c r="K251" s="20">
        <v>0.18179999999999999</v>
      </c>
      <c r="L251" s="23">
        <v>0.93</v>
      </c>
      <c r="M251" s="23">
        <v>0.1045</v>
      </c>
      <c r="N251" s="23">
        <v>1</v>
      </c>
      <c r="O251" s="23">
        <v>94</v>
      </c>
      <c r="P251" s="24">
        <v>95</v>
      </c>
    </row>
    <row r="252" spans="1:16">
      <c r="A252" s="1">
        <v>251</v>
      </c>
      <c r="B252" s="2">
        <v>40554</v>
      </c>
      <c r="C252" s="1">
        <v>1</v>
      </c>
      <c r="D252" s="1">
        <v>0</v>
      </c>
      <c r="E252" s="1">
        <v>1</v>
      </c>
      <c r="F252" s="1">
        <v>19</v>
      </c>
      <c r="G252" s="1" t="b">
        <v>0</v>
      </c>
      <c r="H252" s="1">
        <v>2</v>
      </c>
      <c r="I252" s="1">
        <v>3</v>
      </c>
      <c r="J252" s="1">
        <v>0.16</v>
      </c>
      <c r="K252" s="19">
        <v>0.2273</v>
      </c>
      <c r="L252" s="21">
        <v>0.93</v>
      </c>
      <c r="M252" s="21">
        <v>0</v>
      </c>
      <c r="N252" s="21">
        <v>0</v>
      </c>
      <c r="O252" s="21">
        <v>51</v>
      </c>
      <c r="P252" s="22">
        <v>51</v>
      </c>
    </row>
    <row r="253" spans="1:16">
      <c r="A253" s="1">
        <v>252</v>
      </c>
      <c r="B253" s="2">
        <v>40554</v>
      </c>
      <c r="C253" s="1">
        <v>1</v>
      </c>
      <c r="D253" s="1">
        <v>0</v>
      </c>
      <c r="E253" s="1">
        <v>1</v>
      </c>
      <c r="F253" s="1">
        <v>20</v>
      </c>
      <c r="G253" s="1" t="b">
        <v>0</v>
      </c>
      <c r="H253" s="1">
        <v>2</v>
      </c>
      <c r="I253" s="1">
        <v>3</v>
      </c>
      <c r="J253" s="1">
        <v>0.16</v>
      </c>
      <c r="K253" s="20">
        <v>0.1515</v>
      </c>
      <c r="L253" s="23">
        <v>0.93</v>
      </c>
      <c r="M253" s="23">
        <v>0.19400000000000001</v>
      </c>
      <c r="N253" s="23">
        <v>0</v>
      </c>
      <c r="O253" s="23">
        <v>32</v>
      </c>
      <c r="P253" s="24">
        <v>32</v>
      </c>
    </row>
    <row r="254" spans="1:16">
      <c r="A254" s="1">
        <v>253</v>
      </c>
      <c r="B254" s="2">
        <v>40554</v>
      </c>
      <c r="C254" s="1">
        <v>1</v>
      </c>
      <c r="D254" s="1">
        <v>0</v>
      </c>
      <c r="E254" s="1">
        <v>1</v>
      </c>
      <c r="F254" s="1">
        <v>21</v>
      </c>
      <c r="G254" s="1" t="b">
        <v>0</v>
      </c>
      <c r="H254" s="1">
        <v>2</v>
      </c>
      <c r="I254" s="1">
        <v>3</v>
      </c>
      <c r="J254" s="1">
        <v>0.16</v>
      </c>
      <c r="K254" s="19">
        <v>0.19700000000000001</v>
      </c>
      <c r="L254" s="21">
        <v>0.86</v>
      </c>
      <c r="M254" s="21">
        <v>8.9599999999999999E-2</v>
      </c>
      <c r="N254" s="21">
        <v>0</v>
      </c>
      <c r="O254" s="21">
        <v>20</v>
      </c>
      <c r="P254" s="22">
        <v>20</v>
      </c>
    </row>
    <row r="255" spans="1:16">
      <c r="A255" s="1">
        <v>254</v>
      </c>
      <c r="B255" s="2">
        <v>40554</v>
      </c>
      <c r="C255" s="1">
        <v>1</v>
      </c>
      <c r="D255" s="1">
        <v>0</v>
      </c>
      <c r="E255" s="1">
        <v>1</v>
      </c>
      <c r="F255" s="1">
        <v>22</v>
      </c>
      <c r="G255" s="1" t="b">
        <v>0</v>
      </c>
      <c r="H255" s="1">
        <v>2</v>
      </c>
      <c r="I255" s="1">
        <v>3</v>
      </c>
      <c r="J255" s="1">
        <v>0.16</v>
      </c>
      <c r="K255" s="20">
        <v>0.18179999999999999</v>
      </c>
      <c r="L255" s="23">
        <v>0.93</v>
      </c>
      <c r="M255" s="23">
        <v>0.1045</v>
      </c>
      <c r="N255" s="23">
        <v>1</v>
      </c>
      <c r="O255" s="23">
        <v>28</v>
      </c>
      <c r="P255" s="24">
        <v>29</v>
      </c>
    </row>
    <row r="256" spans="1:16">
      <c r="A256" s="1">
        <v>255</v>
      </c>
      <c r="B256" s="2">
        <v>40554</v>
      </c>
      <c r="C256" s="1">
        <v>1</v>
      </c>
      <c r="D256" s="1">
        <v>0</v>
      </c>
      <c r="E256" s="1">
        <v>1</v>
      </c>
      <c r="F256" s="1">
        <v>23</v>
      </c>
      <c r="G256" s="1" t="b">
        <v>0</v>
      </c>
      <c r="H256" s="1">
        <v>2</v>
      </c>
      <c r="I256" s="1">
        <v>3</v>
      </c>
      <c r="J256" s="1">
        <v>0.16</v>
      </c>
      <c r="K256" s="19">
        <v>0.19700000000000001</v>
      </c>
      <c r="L256" s="21">
        <v>0.93</v>
      </c>
      <c r="M256" s="21">
        <v>8.9599999999999999E-2</v>
      </c>
      <c r="N256" s="21">
        <v>1</v>
      </c>
      <c r="O256" s="21">
        <v>18</v>
      </c>
      <c r="P256" s="22">
        <v>19</v>
      </c>
    </row>
    <row r="257" spans="1:16">
      <c r="A257" s="1">
        <v>256</v>
      </c>
      <c r="B257" s="2">
        <v>40555</v>
      </c>
      <c r="C257" s="1">
        <v>1</v>
      </c>
      <c r="D257" s="1">
        <v>0</v>
      </c>
      <c r="E257" s="1">
        <v>1</v>
      </c>
      <c r="F257" s="1">
        <v>0</v>
      </c>
      <c r="G257" s="1" t="b">
        <v>0</v>
      </c>
      <c r="H257" s="1">
        <v>3</v>
      </c>
      <c r="I257" s="1">
        <v>2</v>
      </c>
      <c r="J257" s="1">
        <v>0.16</v>
      </c>
      <c r="K257" s="20">
        <v>0.19700000000000001</v>
      </c>
      <c r="L257" s="23">
        <v>0.86</v>
      </c>
      <c r="M257" s="23">
        <v>8.9599999999999999E-2</v>
      </c>
      <c r="N257" s="23">
        <v>0</v>
      </c>
      <c r="O257" s="23">
        <v>7</v>
      </c>
      <c r="P257" s="24">
        <v>7</v>
      </c>
    </row>
    <row r="258" spans="1:16">
      <c r="A258" s="1">
        <v>257</v>
      </c>
      <c r="B258" s="2">
        <v>40555</v>
      </c>
      <c r="C258" s="1">
        <v>1</v>
      </c>
      <c r="D258" s="1">
        <v>0</v>
      </c>
      <c r="E258" s="1">
        <v>1</v>
      </c>
      <c r="F258" s="1">
        <v>1</v>
      </c>
      <c r="G258" s="1" t="b">
        <v>0</v>
      </c>
      <c r="H258" s="1">
        <v>3</v>
      </c>
      <c r="I258" s="1">
        <v>2</v>
      </c>
      <c r="J258" s="1">
        <v>0.16</v>
      </c>
      <c r="K258" s="19">
        <v>0.18179999999999999</v>
      </c>
      <c r="L258" s="21">
        <v>0.86</v>
      </c>
      <c r="M258" s="21">
        <v>0.1045</v>
      </c>
      <c r="N258" s="21">
        <v>0</v>
      </c>
      <c r="O258" s="21">
        <v>6</v>
      </c>
      <c r="P258" s="22">
        <v>6</v>
      </c>
    </row>
    <row r="259" spans="1:16">
      <c r="A259" s="1">
        <v>258</v>
      </c>
      <c r="B259" s="2">
        <v>40555</v>
      </c>
      <c r="C259" s="1">
        <v>1</v>
      </c>
      <c r="D259" s="1">
        <v>0</v>
      </c>
      <c r="E259" s="1">
        <v>1</v>
      </c>
      <c r="F259" s="1">
        <v>2</v>
      </c>
      <c r="G259" s="1" t="b">
        <v>0</v>
      </c>
      <c r="H259" s="1">
        <v>3</v>
      </c>
      <c r="I259" s="1">
        <v>1</v>
      </c>
      <c r="J259" s="1">
        <v>0.14000000000000001</v>
      </c>
      <c r="K259" s="20">
        <v>0.1515</v>
      </c>
      <c r="L259" s="23">
        <v>0.86</v>
      </c>
      <c r="M259" s="23">
        <v>0.1343</v>
      </c>
      <c r="N259" s="23">
        <v>0</v>
      </c>
      <c r="O259" s="23">
        <v>1</v>
      </c>
      <c r="P259" s="24">
        <v>1</v>
      </c>
    </row>
    <row r="260" spans="1:16">
      <c r="A260" s="1">
        <v>259</v>
      </c>
      <c r="B260" s="2">
        <v>40555</v>
      </c>
      <c r="C260" s="1">
        <v>1</v>
      </c>
      <c r="D260" s="1">
        <v>0</v>
      </c>
      <c r="E260" s="1">
        <v>1</v>
      </c>
      <c r="F260" s="1">
        <v>5</v>
      </c>
      <c r="G260" s="1" t="b">
        <v>0</v>
      </c>
      <c r="H260" s="1">
        <v>3</v>
      </c>
      <c r="I260" s="1">
        <v>1</v>
      </c>
      <c r="J260" s="1">
        <v>0.14000000000000001</v>
      </c>
      <c r="K260" s="19">
        <v>0.1515</v>
      </c>
      <c r="L260" s="21">
        <v>0.86</v>
      </c>
      <c r="M260" s="21">
        <v>0.16420000000000001</v>
      </c>
      <c r="N260" s="21">
        <v>0</v>
      </c>
      <c r="O260" s="21">
        <v>5</v>
      </c>
      <c r="P260" s="22">
        <v>5</v>
      </c>
    </row>
    <row r="261" spans="1:16">
      <c r="A261" s="1">
        <v>260</v>
      </c>
      <c r="B261" s="2">
        <v>40555</v>
      </c>
      <c r="C261" s="1">
        <v>1</v>
      </c>
      <c r="D261" s="1">
        <v>0</v>
      </c>
      <c r="E261" s="1">
        <v>1</v>
      </c>
      <c r="F261" s="1">
        <v>6</v>
      </c>
      <c r="G261" s="1" t="b">
        <v>0</v>
      </c>
      <c r="H261" s="1">
        <v>3</v>
      </c>
      <c r="I261" s="1">
        <v>1</v>
      </c>
      <c r="J261" s="1">
        <v>0.12</v>
      </c>
      <c r="K261" s="20">
        <v>0.1515</v>
      </c>
      <c r="L261" s="23">
        <v>0.93</v>
      </c>
      <c r="M261" s="23">
        <v>0.1343</v>
      </c>
      <c r="N261" s="23">
        <v>0</v>
      </c>
      <c r="O261" s="23">
        <v>16</v>
      </c>
      <c r="P261" s="24">
        <v>16</v>
      </c>
    </row>
    <row r="262" spans="1:16">
      <c r="A262" s="1">
        <v>261</v>
      </c>
      <c r="B262" s="2">
        <v>40555</v>
      </c>
      <c r="C262" s="1">
        <v>1</v>
      </c>
      <c r="D262" s="1">
        <v>0</v>
      </c>
      <c r="E262" s="1">
        <v>1</v>
      </c>
      <c r="F262" s="1">
        <v>7</v>
      </c>
      <c r="G262" s="1" t="b">
        <v>0</v>
      </c>
      <c r="H262" s="1">
        <v>3</v>
      </c>
      <c r="I262" s="1">
        <v>1</v>
      </c>
      <c r="J262" s="1">
        <v>0.14000000000000001</v>
      </c>
      <c r="K262" s="19">
        <v>0.1515</v>
      </c>
      <c r="L262" s="21">
        <v>0.69</v>
      </c>
      <c r="M262" s="21">
        <v>0.1343</v>
      </c>
      <c r="N262" s="21">
        <v>0</v>
      </c>
      <c r="O262" s="21">
        <v>54</v>
      </c>
      <c r="P262" s="22">
        <v>54</v>
      </c>
    </row>
    <row r="263" spans="1:16">
      <c r="A263" s="1">
        <v>262</v>
      </c>
      <c r="B263" s="2">
        <v>40555</v>
      </c>
      <c r="C263" s="1">
        <v>1</v>
      </c>
      <c r="D263" s="1">
        <v>0</v>
      </c>
      <c r="E263" s="1">
        <v>1</v>
      </c>
      <c r="F263" s="1">
        <v>8</v>
      </c>
      <c r="G263" s="1" t="b">
        <v>0</v>
      </c>
      <c r="H263" s="1">
        <v>3</v>
      </c>
      <c r="I263" s="1">
        <v>1</v>
      </c>
      <c r="J263" s="1">
        <v>0.16</v>
      </c>
      <c r="K263" s="20">
        <v>0.16669999999999999</v>
      </c>
      <c r="L263" s="23">
        <v>0.59</v>
      </c>
      <c r="M263" s="23">
        <v>0.16420000000000001</v>
      </c>
      <c r="N263" s="23">
        <v>3</v>
      </c>
      <c r="O263" s="23">
        <v>125</v>
      </c>
      <c r="P263" s="24">
        <v>128</v>
      </c>
    </row>
    <row r="264" spans="1:16">
      <c r="A264" s="1">
        <v>263</v>
      </c>
      <c r="B264" s="2">
        <v>40555</v>
      </c>
      <c r="C264" s="1">
        <v>1</v>
      </c>
      <c r="D264" s="1">
        <v>0</v>
      </c>
      <c r="E264" s="1">
        <v>1</v>
      </c>
      <c r="F264" s="1">
        <v>9</v>
      </c>
      <c r="G264" s="1" t="b">
        <v>0</v>
      </c>
      <c r="H264" s="1">
        <v>3</v>
      </c>
      <c r="I264" s="1">
        <v>1</v>
      </c>
      <c r="J264" s="1">
        <v>0.16</v>
      </c>
      <c r="K264" s="19">
        <v>0.13639999999999999</v>
      </c>
      <c r="L264" s="21">
        <v>0.59</v>
      </c>
      <c r="M264" s="21">
        <v>0.32840000000000003</v>
      </c>
      <c r="N264" s="21">
        <v>3</v>
      </c>
      <c r="O264" s="21">
        <v>78</v>
      </c>
      <c r="P264" s="22">
        <v>81</v>
      </c>
    </row>
    <row r="265" spans="1:16">
      <c r="A265" s="1">
        <v>264</v>
      </c>
      <c r="B265" s="2">
        <v>40555</v>
      </c>
      <c r="C265" s="1">
        <v>1</v>
      </c>
      <c r="D265" s="1">
        <v>0</v>
      </c>
      <c r="E265" s="1">
        <v>1</v>
      </c>
      <c r="F265" s="1">
        <v>10</v>
      </c>
      <c r="G265" s="1" t="b">
        <v>0</v>
      </c>
      <c r="H265" s="1">
        <v>3</v>
      </c>
      <c r="I265" s="1">
        <v>1</v>
      </c>
      <c r="J265" s="1">
        <v>0.18</v>
      </c>
      <c r="K265" s="20">
        <v>0.18179999999999999</v>
      </c>
      <c r="L265" s="23">
        <v>0.55000000000000004</v>
      </c>
      <c r="M265" s="23">
        <v>0.22389999999999999</v>
      </c>
      <c r="N265" s="23">
        <v>0</v>
      </c>
      <c r="O265" s="23">
        <v>39</v>
      </c>
      <c r="P265" s="24">
        <v>39</v>
      </c>
    </row>
    <row r="266" spans="1:16">
      <c r="A266" s="1">
        <v>265</v>
      </c>
      <c r="B266" s="2">
        <v>40555</v>
      </c>
      <c r="C266" s="1">
        <v>1</v>
      </c>
      <c r="D266" s="1">
        <v>0</v>
      </c>
      <c r="E266" s="1">
        <v>1</v>
      </c>
      <c r="F266" s="1">
        <v>11</v>
      </c>
      <c r="G266" s="1" t="b">
        <v>0</v>
      </c>
      <c r="H266" s="1">
        <v>3</v>
      </c>
      <c r="I266" s="1">
        <v>1</v>
      </c>
      <c r="J266" s="1">
        <v>0.2</v>
      </c>
      <c r="K266" s="19">
        <v>0.18179999999999999</v>
      </c>
      <c r="L266" s="21">
        <v>0.51</v>
      </c>
      <c r="M266" s="21">
        <v>0.3881</v>
      </c>
      <c r="N266" s="21">
        <v>3</v>
      </c>
      <c r="O266" s="21">
        <v>32</v>
      </c>
      <c r="P266" s="22">
        <v>35</v>
      </c>
    </row>
    <row r="267" spans="1:16">
      <c r="A267" s="1">
        <v>266</v>
      </c>
      <c r="B267" s="2">
        <v>40555</v>
      </c>
      <c r="C267" s="1">
        <v>1</v>
      </c>
      <c r="D267" s="1">
        <v>0</v>
      </c>
      <c r="E267" s="1">
        <v>1</v>
      </c>
      <c r="F267" s="1">
        <v>12</v>
      </c>
      <c r="G267" s="1" t="b">
        <v>0</v>
      </c>
      <c r="H267" s="1">
        <v>3</v>
      </c>
      <c r="I267" s="1">
        <v>1</v>
      </c>
      <c r="J267" s="1">
        <v>0.2</v>
      </c>
      <c r="K267" s="20">
        <v>0.1515</v>
      </c>
      <c r="L267" s="23">
        <v>0.47</v>
      </c>
      <c r="M267" s="23">
        <v>0.58209999999999995</v>
      </c>
      <c r="N267" s="23">
        <v>3</v>
      </c>
      <c r="O267" s="23">
        <v>52</v>
      </c>
      <c r="P267" s="24">
        <v>55</v>
      </c>
    </row>
    <row r="268" spans="1:16">
      <c r="A268" s="1">
        <v>267</v>
      </c>
      <c r="B268" s="2">
        <v>40555</v>
      </c>
      <c r="C268" s="1">
        <v>1</v>
      </c>
      <c r="D268" s="1">
        <v>0</v>
      </c>
      <c r="E268" s="1">
        <v>1</v>
      </c>
      <c r="F268" s="1">
        <v>13</v>
      </c>
      <c r="G268" s="1" t="b">
        <v>0</v>
      </c>
      <c r="H268" s="1">
        <v>3</v>
      </c>
      <c r="I268" s="1">
        <v>1</v>
      </c>
      <c r="J268" s="1">
        <v>0.22</v>
      </c>
      <c r="K268" s="19">
        <v>0.19700000000000001</v>
      </c>
      <c r="L268" s="21">
        <v>0.44</v>
      </c>
      <c r="M268" s="21">
        <v>0.35820000000000002</v>
      </c>
      <c r="N268" s="21">
        <v>0</v>
      </c>
      <c r="O268" s="21">
        <v>49</v>
      </c>
      <c r="P268" s="22">
        <v>49</v>
      </c>
    </row>
    <row r="269" spans="1:16">
      <c r="A269" s="1">
        <v>268</v>
      </c>
      <c r="B269" s="2">
        <v>40555</v>
      </c>
      <c r="C269" s="1">
        <v>1</v>
      </c>
      <c r="D269" s="1">
        <v>0</v>
      </c>
      <c r="E269" s="1">
        <v>1</v>
      </c>
      <c r="F269" s="1">
        <v>14</v>
      </c>
      <c r="G269" s="1" t="b">
        <v>0</v>
      </c>
      <c r="H269" s="1">
        <v>3</v>
      </c>
      <c r="I269" s="1">
        <v>1</v>
      </c>
      <c r="J269" s="1">
        <v>0.2</v>
      </c>
      <c r="K269" s="20">
        <v>0.18179999999999999</v>
      </c>
      <c r="L269" s="23">
        <v>0.47</v>
      </c>
      <c r="M269" s="23">
        <v>0.32840000000000003</v>
      </c>
      <c r="N269" s="23">
        <v>0</v>
      </c>
      <c r="O269" s="23">
        <v>44</v>
      </c>
      <c r="P269" s="24">
        <v>44</v>
      </c>
    </row>
    <row r="270" spans="1:16">
      <c r="A270" s="1">
        <v>269</v>
      </c>
      <c r="B270" s="2">
        <v>40555</v>
      </c>
      <c r="C270" s="1">
        <v>1</v>
      </c>
      <c r="D270" s="1">
        <v>0</v>
      </c>
      <c r="E270" s="1">
        <v>1</v>
      </c>
      <c r="F270" s="1">
        <v>15</v>
      </c>
      <c r="G270" s="1" t="b">
        <v>0</v>
      </c>
      <c r="H270" s="1">
        <v>3</v>
      </c>
      <c r="I270" s="1">
        <v>1</v>
      </c>
      <c r="J270" s="1">
        <v>0.2</v>
      </c>
      <c r="K270" s="19">
        <v>0.16669999999999999</v>
      </c>
      <c r="L270" s="21">
        <v>0.47</v>
      </c>
      <c r="M270" s="21">
        <v>0.41789999999999999</v>
      </c>
      <c r="N270" s="21">
        <v>1</v>
      </c>
      <c r="O270" s="21">
        <v>48</v>
      </c>
      <c r="P270" s="22">
        <v>49</v>
      </c>
    </row>
    <row r="271" spans="1:16">
      <c r="A271" s="1">
        <v>270</v>
      </c>
      <c r="B271" s="2">
        <v>40555</v>
      </c>
      <c r="C271" s="1">
        <v>1</v>
      </c>
      <c r="D271" s="1">
        <v>0</v>
      </c>
      <c r="E271" s="1">
        <v>1</v>
      </c>
      <c r="F271" s="1">
        <v>16</v>
      </c>
      <c r="G271" s="1" t="b">
        <v>0</v>
      </c>
      <c r="H271" s="1">
        <v>3</v>
      </c>
      <c r="I271" s="1">
        <v>1</v>
      </c>
      <c r="J271" s="1">
        <v>0.22</v>
      </c>
      <c r="K271" s="20">
        <v>0.19700000000000001</v>
      </c>
      <c r="L271" s="23">
        <v>0.44</v>
      </c>
      <c r="M271" s="23">
        <v>0.32840000000000003</v>
      </c>
      <c r="N271" s="23">
        <v>5</v>
      </c>
      <c r="O271" s="23">
        <v>63</v>
      </c>
      <c r="P271" s="24">
        <v>68</v>
      </c>
    </row>
    <row r="272" spans="1:16">
      <c r="A272" s="1">
        <v>271</v>
      </c>
      <c r="B272" s="2">
        <v>40555</v>
      </c>
      <c r="C272" s="1">
        <v>1</v>
      </c>
      <c r="D272" s="1">
        <v>0</v>
      </c>
      <c r="E272" s="1">
        <v>1</v>
      </c>
      <c r="F272" s="1">
        <v>17</v>
      </c>
      <c r="G272" s="1" t="b">
        <v>0</v>
      </c>
      <c r="H272" s="1">
        <v>3</v>
      </c>
      <c r="I272" s="1">
        <v>1</v>
      </c>
      <c r="J272" s="1">
        <v>0.2</v>
      </c>
      <c r="K272" s="19">
        <v>0.18179999999999999</v>
      </c>
      <c r="L272" s="21">
        <v>0.47</v>
      </c>
      <c r="M272" s="21">
        <v>0.35820000000000002</v>
      </c>
      <c r="N272" s="21">
        <v>0</v>
      </c>
      <c r="O272" s="21">
        <v>139</v>
      </c>
      <c r="P272" s="22">
        <v>139</v>
      </c>
    </row>
    <row r="273" spans="1:16">
      <c r="A273" s="1">
        <v>272</v>
      </c>
      <c r="B273" s="2">
        <v>40555</v>
      </c>
      <c r="C273" s="1">
        <v>1</v>
      </c>
      <c r="D273" s="1">
        <v>0</v>
      </c>
      <c r="E273" s="1">
        <v>1</v>
      </c>
      <c r="F273" s="1">
        <v>18</v>
      </c>
      <c r="G273" s="1" t="b">
        <v>0</v>
      </c>
      <c r="H273" s="1">
        <v>3</v>
      </c>
      <c r="I273" s="1">
        <v>1</v>
      </c>
      <c r="J273" s="1">
        <v>0.2</v>
      </c>
      <c r="K273" s="20">
        <v>0.1515</v>
      </c>
      <c r="L273" s="23">
        <v>0.47</v>
      </c>
      <c r="M273" s="23">
        <v>0.52239999999999998</v>
      </c>
      <c r="N273" s="23">
        <v>2</v>
      </c>
      <c r="O273" s="23">
        <v>135</v>
      </c>
      <c r="P273" s="24">
        <v>137</v>
      </c>
    </row>
    <row r="274" spans="1:16">
      <c r="A274" s="1">
        <v>273</v>
      </c>
      <c r="B274" s="2">
        <v>40555</v>
      </c>
      <c r="C274" s="1">
        <v>1</v>
      </c>
      <c r="D274" s="1">
        <v>0</v>
      </c>
      <c r="E274" s="1">
        <v>1</v>
      </c>
      <c r="F274" s="1">
        <v>19</v>
      </c>
      <c r="G274" s="1" t="b">
        <v>0</v>
      </c>
      <c r="H274" s="1">
        <v>3</v>
      </c>
      <c r="I274" s="1">
        <v>1</v>
      </c>
      <c r="J274" s="1">
        <v>0.18</v>
      </c>
      <c r="K274" s="19">
        <v>0.1515</v>
      </c>
      <c r="L274" s="21">
        <v>0.47</v>
      </c>
      <c r="M274" s="21">
        <v>0.41789999999999999</v>
      </c>
      <c r="N274" s="21">
        <v>1</v>
      </c>
      <c r="O274" s="21">
        <v>82</v>
      </c>
      <c r="P274" s="22">
        <v>83</v>
      </c>
    </row>
    <row r="275" spans="1:16">
      <c r="A275" s="1">
        <v>274</v>
      </c>
      <c r="B275" s="2">
        <v>40555</v>
      </c>
      <c r="C275" s="1">
        <v>1</v>
      </c>
      <c r="D275" s="1">
        <v>0</v>
      </c>
      <c r="E275" s="1">
        <v>1</v>
      </c>
      <c r="F275" s="1">
        <v>20</v>
      </c>
      <c r="G275" s="1" t="b">
        <v>0</v>
      </c>
      <c r="H275" s="1">
        <v>3</v>
      </c>
      <c r="I275" s="1">
        <v>1</v>
      </c>
      <c r="J275" s="1">
        <v>0.16</v>
      </c>
      <c r="K275" s="20">
        <v>0.13639999999999999</v>
      </c>
      <c r="L275" s="23">
        <v>0.5</v>
      </c>
      <c r="M275" s="23">
        <v>0.32840000000000003</v>
      </c>
      <c r="N275" s="23">
        <v>2</v>
      </c>
      <c r="O275" s="23">
        <v>54</v>
      </c>
      <c r="P275" s="24">
        <v>56</v>
      </c>
    </row>
    <row r="276" spans="1:16">
      <c r="A276" s="1">
        <v>275</v>
      </c>
      <c r="B276" s="2">
        <v>40555</v>
      </c>
      <c r="C276" s="1">
        <v>1</v>
      </c>
      <c r="D276" s="1">
        <v>0</v>
      </c>
      <c r="E276" s="1">
        <v>1</v>
      </c>
      <c r="F276" s="1">
        <v>21</v>
      </c>
      <c r="G276" s="1" t="b">
        <v>0</v>
      </c>
      <c r="H276" s="1">
        <v>3</v>
      </c>
      <c r="I276" s="1">
        <v>1</v>
      </c>
      <c r="J276" s="1">
        <v>0.16</v>
      </c>
      <c r="K276" s="19">
        <v>0.13639999999999999</v>
      </c>
      <c r="L276" s="21">
        <v>0.55000000000000004</v>
      </c>
      <c r="M276" s="21">
        <v>0.32840000000000003</v>
      </c>
      <c r="N276" s="21">
        <v>0</v>
      </c>
      <c r="O276" s="21">
        <v>57</v>
      </c>
      <c r="P276" s="22">
        <v>57</v>
      </c>
    </row>
    <row r="277" spans="1:16">
      <c r="A277" s="1">
        <v>276</v>
      </c>
      <c r="B277" s="2">
        <v>40555</v>
      </c>
      <c r="C277" s="1">
        <v>1</v>
      </c>
      <c r="D277" s="1">
        <v>0</v>
      </c>
      <c r="E277" s="1">
        <v>1</v>
      </c>
      <c r="F277" s="1">
        <v>22</v>
      </c>
      <c r="G277" s="1" t="b">
        <v>0</v>
      </c>
      <c r="H277" s="1">
        <v>3</v>
      </c>
      <c r="I277" s="1">
        <v>1</v>
      </c>
      <c r="J277" s="1">
        <v>0.16</v>
      </c>
      <c r="K277" s="20">
        <v>0.1212</v>
      </c>
      <c r="L277" s="23">
        <v>0.55000000000000004</v>
      </c>
      <c r="M277" s="23">
        <v>0.44779999999999998</v>
      </c>
      <c r="N277" s="23">
        <v>1</v>
      </c>
      <c r="O277" s="23">
        <v>32</v>
      </c>
      <c r="P277" s="24">
        <v>33</v>
      </c>
    </row>
    <row r="278" spans="1:16">
      <c r="A278" s="1">
        <v>277</v>
      </c>
      <c r="B278" s="2">
        <v>40555</v>
      </c>
      <c r="C278" s="1">
        <v>1</v>
      </c>
      <c r="D278" s="1">
        <v>0</v>
      </c>
      <c r="E278" s="1">
        <v>1</v>
      </c>
      <c r="F278" s="1">
        <v>23</v>
      </c>
      <c r="G278" s="1" t="b">
        <v>0</v>
      </c>
      <c r="H278" s="1">
        <v>3</v>
      </c>
      <c r="I278" s="1">
        <v>1</v>
      </c>
      <c r="J278" s="1">
        <v>0.14000000000000001</v>
      </c>
      <c r="K278" s="19">
        <v>0.1061</v>
      </c>
      <c r="L278" s="21">
        <v>0.59</v>
      </c>
      <c r="M278" s="21">
        <v>0.41789999999999999</v>
      </c>
      <c r="N278" s="21">
        <v>1</v>
      </c>
      <c r="O278" s="21">
        <v>19</v>
      </c>
      <c r="P278" s="22">
        <v>20</v>
      </c>
    </row>
    <row r="279" spans="1:16">
      <c r="A279" s="1">
        <v>278</v>
      </c>
      <c r="B279" s="2">
        <v>40556</v>
      </c>
      <c r="C279" s="1">
        <v>1</v>
      </c>
      <c r="D279" s="1">
        <v>0</v>
      </c>
      <c r="E279" s="1">
        <v>1</v>
      </c>
      <c r="F279" s="1">
        <v>0</v>
      </c>
      <c r="G279" s="1" t="b">
        <v>0</v>
      </c>
      <c r="H279" s="1">
        <v>4</v>
      </c>
      <c r="I279" s="1">
        <v>1</v>
      </c>
      <c r="J279" s="1">
        <v>0.14000000000000001</v>
      </c>
      <c r="K279" s="20">
        <v>0.1212</v>
      </c>
      <c r="L279" s="23">
        <v>0.59</v>
      </c>
      <c r="M279" s="23">
        <v>0.28360000000000002</v>
      </c>
      <c r="N279" s="23">
        <v>1</v>
      </c>
      <c r="O279" s="23">
        <v>6</v>
      </c>
      <c r="P279" s="24">
        <v>7</v>
      </c>
    </row>
    <row r="280" spans="1:16">
      <c r="A280" s="1">
        <v>279</v>
      </c>
      <c r="B280" s="2">
        <v>40556</v>
      </c>
      <c r="C280" s="1">
        <v>1</v>
      </c>
      <c r="D280" s="1">
        <v>0</v>
      </c>
      <c r="E280" s="1">
        <v>1</v>
      </c>
      <c r="F280" s="1">
        <v>1</v>
      </c>
      <c r="G280" s="1" t="b">
        <v>0</v>
      </c>
      <c r="H280" s="1">
        <v>4</v>
      </c>
      <c r="I280" s="1">
        <v>1</v>
      </c>
      <c r="J280" s="1">
        <v>0.14000000000000001</v>
      </c>
      <c r="K280" s="19">
        <v>0.1212</v>
      </c>
      <c r="L280" s="21">
        <v>0.5</v>
      </c>
      <c r="M280" s="21">
        <v>0.28360000000000002</v>
      </c>
      <c r="N280" s="21">
        <v>0</v>
      </c>
      <c r="O280" s="21">
        <v>2</v>
      </c>
      <c r="P280" s="22">
        <v>2</v>
      </c>
    </row>
    <row r="281" spans="1:16">
      <c r="A281" s="1">
        <v>280</v>
      </c>
      <c r="B281" s="2">
        <v>40556</v>
      </c>
      <c r="C281" s="1">
        <v>1</v>
      </c>
      <c r="D281" s="1">
        <v>0</v>
      </c>
      <c r="E281" s="1">
        <v>1</v>
      </c>
      <c r="F281" s="1">
        <v>2</v>
      </c>
      <c r="G281" s="1" t="b">
        <v>0</v>
      </c>
      <c r="H281" s="1">
        <v>4</v>
      </c>
      <c r="I281" s="1">
        <v>1</v>
      </c>
      <c r="J281" s="1">
        <v>0.14000000000000001</v>
      </c>
      <c r="K281" s="20">
        <v>0.1212</v>
      </c>
      <c r="L281" s="23">
        <v>0.5</v>
      </c>
      <c r="M281" s="23">
        <v>0.35820000000000002</v>
      </c>
      <c r="N281" s="23">
        <v>0</v>
      </c>
      <c r="O281" s="23">
        <v>2</v>
      </c>
      <c r="P281" s="24">
        <v>2</v>
      </c>
    </row>
    <row r="282" spans="1:16">
      <c r="A282" s="1">
        <v>281</v>
      </c>
      <c r="B282" s="2">
        <v>40556</v>
      </c>
      <c r="C282" s="1">
        <v>1</v>
      </c>
      <c r="D282" s="1">
        <v>0</v>
      </c>
      <c r="E282" s="1">
        <v>1</v>
      </c>
      <c r="F282" s="1">
        <v>3</v>
      </c>
      <c r="G282" s="1" t="b">
        <v>0</v>
      </c>
      <c r="H282" s="1">
        <v>4</v>
      </c>
      <c r="I282" s="1">
        <v>1</v>
      </c>
      <c r="J282" s="1">
        <v>0.14000000000000001</v>
      </c>
      <c r="K282" s="19">
        <v>0.1212</v>
      </c>
      <c r="L282" s="21">
        <v>0.5</v>
      </c>
      <c r="M282" s="21">
        <v>0.32840000000000003</v>
      </c>
      <c r="N282" s="21">
        <v>0</v>
      </c>
      <c r="O282" s="21">
        <v>3</v>
      </c>
      <c r="P282" s="22">
        <v>3</v>
      </c>
    </row>
    <row r="283" spans="1:16">
      <c r="A283" s="1">
        <v>282</v>
      </c>
      <c r="B283" s="2">
        <v>40556</v>
      </c>
      <c r="C283" s="1">
        <v>1</v>
      </c>
      <c r="D283" s="1">
        <v>0</v>
      </c>
      <c r="E283" s="1">
        <v>1</v>
      </c>
      <c r="F283" s="1">
        <v>4</v>
      </c>
      <c r="G283" s="1" t="b">
        <v>0</v>
      </c>
      <c r="H283" s="1">
        <v>4</v>
      </c>
      <c r="I283" s="1">
        <v>1</v>
      </c>
      <c r="J283" s="1">
        <v>0.14000000000000001</v>
      </c>
      <c r="K283" s="20">
        <v>0.1212</v>
      </c>
      <c r="L283" s="23">
        <v>0.5</v>
      </c>
      <c r="M283" s="23">
        <v>0.25369999999999998</v>
      </c>
      <c r="N283" s="23">
        <v>0</v>
      </c>
      <c r="O283" s="23">
        <v>4</v>
      </c>
      <c r="P283" s="24">
        <v>4</v>
      </c>
    </row>
    <row r="284" spans="1:16">
      <c r="A284" s="1">
        <v>283</v>
      </c>
      <c r="B284" s="2">
        <v>40556</v>
      </c>
      <c r="C284" s="1">
        <v>1</v>
      </c>
      <c r="D284" s="1">
        <v>0</v>
      </c>
      <c r="E284" s="1">
        <v>1</v>
      </c>
      <c r="F284" s="1">
        <v>5</v>
      </c>
      <c r="G284" s="1" t="b">
        <v>0</v>
      </c>
      <c r="H284" s="1">
        <v>4</v>
      </c>
      <c r="I284" s="1">
        <v>1</v>
      </c>
      <c r="J284" s="1">
        <v>0.14000000000000001</v>
      </c>
      <c r="K284" s="19">
        <v>0.1212</v>
      </c>
      <c r="L284" s="21">
        <v>0.5</v>
      </c>
      <c r="M284" s="21">
        <v>0.29849999999999999</v>
      </c>
      <c r="N284" s="21">
        <v>0</v>
      </c>
      <c r="O284" s="21">
        <v>3</v>
      </c>
      <c r="P284" s="22">
        <v>3</v>
      </c>
    </row>
    <row r="285" spans="1:16">
      <c r="A285" s="1">
        <v>284</v>
      </c>
      <c r="B285" s="2">
        <v>40556</v>
      </c>
      <c r="C285" s="1">
        <v>1</v>
      </c>
      <c r="D285" s="1">
        <v>0</v>
      </c>
      <c r="E285" s="1">
        <v>1</v>
      </c>
      <c r="F285" s="1">
        <v>6</v>
      </c>
      <c r="G285" s="1" t="b">
        <v>0</v>
      </c>
      <c r="H285" s="1">
        <v>4</v>
      </c>
      <c r="I285" s="1">
        <v>1</v>
      </c>
      <c r="J285" s="1">
        <v>0.12</v>
      </c>
      <c r="K285" s="20">
        <v>0.1515</v>
      </c>
      <c r="L285" s="23">
        <v>0.54</v>
      </c>
      <c r="M285" s="23">
        <v>0.1343</v>
      </c>
      <c r="N285" s="23">
        <v>0</v>
      </c>
      <c r="O285" s="23">
        <v>28</v>
      </c>
      <c r="P285" s="24">
        <v>28</v>
      </c>
    </row>
    <row r="286" spans="1:16">
      <c r="A286" s="1">
        <v>285</v>
      </c>
      <c r="B286" s="2">
        <v>40556</v>
      </c>
      <c r="C286" s="1">
        <v>1</v>
      </c>
      <c r="D286" s="1">
        <v>0</v>
      </c>
      <c r="E286" s="1">
        <v>1</v>
      </c>
      <c r="F286" s="1">
        <v>7</v>
      </c>
      <c r="G286" s="1" t="b">
        <v>0</v>
      </c>
      <c r="H286" s="1">
        <v>4</v>
      </c>
      <c r="I286" s="1">
        <v>1</v>
      </c>
      <c r="J286" s="1">
        <v>0.12</v>
      </c>
      <c r="K286" s="19">
        <v>0.1515</v>
      </c>
      <c r="L286" s="21">
        <v>0.54</v>
      </c>
      <c r="M286" s="21">
        <v>0.1343</v>
      </c>
      <c r="N286" s="21">
        <v>0</v>
      </c>
      <c r="O286" s="21">
        <v>72</v>
      </c>
      <c r="P286" s="22">
        <v>72</v>
      </c>
    </row>
    <row r="287" spans="1:16">
      <c r="A287" s="1">
        <v>286</v>
      </c>
      <c r="B287" s="2">
        <v>40556</v>
      </c>
      <c r="C287" s="1">
        <v>1</v>
      </c>
      <c r="D287" s="1">
        <v>0</v>
      </c>
      <c r="E287" s="1">
        <v>1</v>
      </c>
      <c r="F287" s="1">
        <v>8</v>
      </c>
      <c r="G287" s="1" t="b">
        <v>0</v>
      </c>
      <c r="H287" s="1">
        <v>4</v>
      </c>
      <c r="I287" s="1">
        <v>1</v>
      </c>
      <c r="J287" s="1">
        <v>0.14000000000000001</v>
      </c>
      <c r="K287" s="20">
        <v>0.13639999999999999</v>
      </c>
      <c r="L287" s="23">
        <v>0.5</v>
      </c>
      <c r="M287" s="23">
        <v>0.19400000000000001</v>
      </c>
      <c r="N287" s="23">
        <v>5</v>
      </c>
      <c r="O287" s="23">
        <v>197</v>
      </c>
      <c r="P287" s="24">
        <v>202</v>
      </c>
    </row>
    <row r="288" spans="1:16">
      <c r="A288" s="1">
        <v>287</v>
      </c>
      <c r="B288" s="2">
        <v>40556</v>
      </c>
      <c r="C288" s="1">
        <v>1</v>
      </c>
      <c r="D288" s="1">
        <v>0</v>
      </c>
      <c r="E288" s="1">
        <v>1</v>
      </c>
      <c r="F288" s="1">
        <v>9</v>
      </c>
      <c r="G288" s="1" t="b">
        <v>0</v>
      </c>
      <c r="H288" s="1">
        <v>4</v>
      </c>
      <c r="I288" s="1">
        <v>1</v>
      </c>
      <c r="J288" s="1">
        <v>0.14000000000000001</v>
      </c>
      <c r="K288" s="19">
        <v>0.1212</v>
      </c>
      <c r="L288" s="21">
        <v>0.5</v>
      </c>
      <c r="M288" s="21">
        <v>0.32840000000000003</v>
      </c>
      <c r="N288" s="21">
        <v>2</v>
      </c>
      <c r="O288" s="21">
        <v>137</v>
      </c>
      <c r="P288" s="22">
        <v>139</v>
      </c>
    </row>
    <row r="289" spans="1:16">
      <c r="A289" s="1">
        <v>288</v>
      </c>
      <c r="B289" s="2">
        <v>40556</v>
      </c>
      <c r="C289" s="1">
        <v>1</v>
      </c>
      <c r="D289" s="1">
        <v>0</v>
      </c>
      <c r="E289" s="1">
        <v>1</v>
      </c>
      <c r="F289" s="1">
        <v>10</v>
      </c>
      <c r="G289" s="1" t="b">
        <v>0</v>
      </c>
      <c r="H289" s="1">
        <v>4</v>
      </c>
      <c r="I289" s="1">
        <v>2</v>
      </c>
      <c r="J289" s="1">
        <v>0.16</v>
      </c>
      <c r="K289" s="20">
        <v>0.13639999999999999</v>
      </c>
      <c r="L289" s="23">
        <v>0.5</v>
      </c>
      <c r="M289" s="23">
        <v>0.35820000000000002</v>
      </c>
      <c r="N289" s="23">
        <v>2</v>
      </c>
      <c r="O289" s="23">
        <v>36</v>
      </c>
      <c r="P289" s="24">
        <v>38</v>
      </c>
    </row>
    <row r="290" spans="1:16">
      <c r="A290" s="1">
        <v>289</v>
      </c>
      <c r="B290" s="2">
        <v>40556</v>
      </c>
      <c r="C290" s="1">
        <v>1</v>
      </c>
      <c r="D290" s="1">
        <v>0</v>
      </c>
      <c r="E290" s="1">
        <v>1</v>
      </c>
      <c r="F290" s="1">
        <v>11</v>
      </c>
      <c r="G290" s="1" t="b">
        <v>0</v>
      </c>
      <c r="H290" s="1">
        <v>4</v>
      </c>
      <c r="I290" s="1">
        <v>2</v>
      </c>
      <c r="J290" s="1">
        <v>0.2</v>
      </c>
      <c r="K290" s="19">
        <v>0.16669999999999999</v>
      </c>
      <c r="L290" s="21">
        <v>0.44</v>
      </c>
      <c r="M290" s="21">
        <v>0.44779999999999998</v>
      </c>
      <c r="N290" s="21">
        <v>4</v>
      </c>
      <c r="O290" s="21">
        <v>33</v>
      </c>
      <c r="P290" s="22">
        <v>37</v>
      </c>
    </row>
    <row r="291" spans="1:16">
      <c r="A291" s="1">
        <v>290</v>
      </c>
      <c r="B291" s="2">
        <v>40556</v>
      </c>
      <c r="C291" s="1">
        <v>1</v>
      </c>
      <c r="D291" s="1">
        <v>0</v>
      </c>
      <c r="E291" s="1">
        <v>1</v>
      </c>
      <c r="F291" s="1">
        <v>12</v>
      </c>
      <c r="G291" s="1" t="b">
        <v>0</v>
      </c>
      <c r="H291" s="1">
        <v>4</v>
      </c>
      <c r="I291" s="1">
        <v>1</v>
      </c>
      <c r="J291" s="1">
        <v>0.2</v>
      </c>
      <c r="K291" s="20">
        <v>0.16669999999999999</v>
      </c>
      <c r="L291" s="23">
        <v>0.44</v>
      </c>
      <c r="M291" s="23">
        <v>0.41789999999999999</v>
      </c>
      <c r="N291" s="23">
        <v>3</v>
      </c>
      <c r="O291" s="23">
        <v>49</v>
      </c>
      <c r="P291" s="24">
        <v>52</v>
      </c>
    </row>
    <row r="292" spans="1:16">
      <c r="A292" s="1">
        <v>291</v>
      </c>
      <c r="B292" s="2">
        <v>40556</v>
      </c>
      <c r="C292" s="1">
        <v>1</v>
      </c>
      <c r="D292" s="1">
        <v>0</v>
      </c>
      <c r="E292" s="1">
        <v>1</v>
      </c>
      <c r="F292" s="1">
        <v>13</v>
      </c>
      <c r="G292" s="1" t="b">
        <v>0</v>
      </c>
      <c r="H292" s="1">
        <v>4</v>
      </c>
      <c r="I292" s="1">
        <v>1</v>
      </c>
      <c r="J292" s="1">
        <v>0.22</v>
      </c>
      <c r="K292" s="19">
        <v>0.19700000000000001</v>
      </c>
      <c r="L292" s="21">
        <v>0.41</v>
      </c>
      <c r="M292" s="21">
        <v>0.44779999999999998</v>
      </c>
      <c r="N292" s="21">
        <v>2</v>
      </c>
      <c r="O292" s="21">
        <v>81</v>
      </c>
      <c r="P292" s="22">
        <v>83</v>
      </c>
    </row>
    <row r="293" spans="1:16">
      <c r="A293" s="1">
        <v>292</v>
      </c>
      <c r="B293" s="2">
        <v>40556</v>
      </c>
      <c r="C293" s="1">
        <v>1</v>
      </c>
      <c r="D293" s="1">
        <v>0</v>
      </c>
      <c r="E293" s="1">
        <v>1</v>
      </c>
      <c r="F293" s="1">
        <v>14</v>
      </c>
      <c r="G293" s="1" t="b">
        <v>0</v>
      </c>
      <c r="H293" s="1">
        <v>4</v>
      </c>
      <c r="I293" s="1">
        <v>1</v>
      </c>
      <c r="J293" s="1">
        <v>0.22</v>
      </c>
      <c r="K293" s="20">
        <v>0.19700000000000001</v>
      </c>
      <c r="L293" s="23">
        <v>0.41</v>
      </c>
      <c r="M293" s="23">
        <v>0.3881</v>
      </c>
      <c r="N293" s="23">
        <v>3</v>
      </c>
      <c r="O293" s="23">
        <v>39</v>
      </c>
      <c r="P293" s="24">
        <v>42</v>
      </c>
    </row>
    <row r="294" spans="1:16">
      <c r="A294" s="1">
        <v>293</v>
      </c>
      <c r="B294" s="2">
        <v>40556</v>
      </c>
      <c r="C294" s="1">
        <v>1</v>
      </c>
      <c r="D294" s="1">
        <v>0</v>
      </c>
      <c r="E294" s="1">
        <v>1</v>
      </c>
      <c r="F294" s="1">
        <v>15</v>
      </c>
      <c r="G294" s="1" t="b">
        <v>0</v>
      </c>
      <c r="H294" s="1">
        <v>4</v>
      </c>
      <c r="I294" s="1">
        <v>1</v>
      </c>
      <c r="J294" s="1">
        <v>0.24</v>
      </c>
      <c r="K294" s="19">
        <v>0.21210000000000001</v>
      </c>
      <c r="L294" s="21">
        <v>0.38</v>
      </c>
      <c r="M294" s="21">
        <v>0.29849999999999999</v>
      </c>
      <c r="N294" s="21">
        <v>5</v>
      </c>
      <c r="O294" s="21">
        <v>55</v>
      </c>
      <c r="P294" s="22">
        <v>60</v>
      </c>
    </row>
    <row r="295" spans="1:16">
      <c r="A295" s="1">
        <v>294</v>
      </c>
      <c r="B295" s="2">
        <v>40556</v>
      </c>
      <c r="C295" s="1">
        <v>1</v>
      </c>
      <c r="D295" s="1">
        <v>0</v>
      </c>
      <c r="E295" s="1">
        <v>1</v>
      </c>
      <c r="F295" s="1">
        <v>16</v>
      </c>
      <c r="G295" s="1" t="b">
        <v>0</v>
      </c>
      <c r="H295" s="1">
        <v>4</v>
      </c>
      <c r="I295" s="1">
        <v>1</v>
      </c>
      <c r="J295" s="1">
        <v>0.24</v>
      </c>
      <c r="K295" s="20">
        <v>0.21210000000000001</v>
      </c>
      <c r="L295" s="23">
        <v>0.38</v>
      </c>
      <c r="M295" s="23">
        <v>0.35820000000000002</v>
      </c>
      <c r="N295" s="23">
        <v>2</v>
      </c>
      <c r="O295" s="23">
        <v>76</v>
      </c>
      <c r="P295" s="24">
        <v>78</v>
      </c>
    </row>
    <row r="296" spans="1:16">
      <c r="A296" s="1">
        <v>295</v>
      </c>
      <c r="B296" s="2">
        <v>40556</v>
      </c>
      <c r="C296" s="1">
        <v>1</v>
      </c>
      <c r="D296" s="1">
        <v>0</v>
      </c>
      <c r="E296" s="1">
        <v>1</v>
      </c>
      <c r="F296" s="1">
        <v>17</v>
      </c>
      <c r="G296" s="1" t="b">
        <v>0</v>
      </c>
      <c r="H296" s="1">
        <v>4</v>
      </c>
      <c r="I296" s="1">
        <v>1</v>
      </c>
      <c r="J296" s="1">
        <v>0.2</v>
      </c>
      <c r="K296" s="19">
        <v>0.18179999999999999</v>
      </c>
      <c r="L296" s="21">
        <v>0.4</v>
      </c>
      <c r="M296" s="21">
        <v>0.28360000000000002</v>
      </c>
      <c r="N296" s="21">
        <v>4</v>
      </c>
      <c r="O296" s="21">
        <v>158</v>
      </c>
      <c r="P296" s="22">
        <v>162</v>
      </c>
    </row>
    <row r="297" spans="1:16">
      <c r="A297" s="1">
        <v>296</v>
      </c>
      <c r="B297" s="2">
        <v>40556</v>
      </c>
      <c r="C297" s="1">
        <v>1</v>
      </c>
      <c r="D297" s="1">
        <v>0</v>
      </c>
      <c r="E297" s="1">
        <v>1</v>
      </c>
      <c r="F297" s="1">
        <v>18</v>
      </c>
      <c r="G297" s="1" t="b">
        <v>0</v>
      </c>
      <c r="H297" s="1">
        <v>4</v>
      </c>
      <c r="I297" s="1">
        <v>1</v>
      </c>
      <c r="J297" s="1">
        <v>0.2</v>
      </c>
      <c r="K297" s="20">
        <v>0.18179999999999999</v>
      </c>
      <c r="L297" s="23">
        <v>0.4</v>
      </c>
      <c r="M297" s="23">
        <v>0.32840000000000003</v>
      </c>
      <c r="N297" s="23">
        <v>3</v>
      </c>
      <c r="O297" s="23">
        <v>141</v>
      </c>
      <c r="P297" s="24">
        <v>144</v>
      </c>
    </row>
    <row r="298" spans="1:16">
      <c r="A298" s="1">
        <v>297</v>
      </c>
      <c r="B298" s="2">
        <v>40556</v>
      </c>
      <c r="C298" s="1">
        <v>1</v>
      </c>
      <c r="D298" s="1">
        <v>0</v>
      </c>
      <c r="E298" s="1">
        <v>1</v>
      </c>
      <c r="F298" s="1">
        <v>19</v>
      </c>
      <c r="G298" s="1" t="b">
        <v>0</v>
      </c>
      <c r="H298" s="1">
        <v>4</v>
      </c>
      <c r="I298" s="1">
        <v>1</v>
      </c>
      <c r="J298" s="1">
        <v>0.16</v>
      </c>
      <c r="K298" s="19">
        <v>0.1515</v>
      </c>
      <c r="L298" s="21">
        <v>0.47</v>
      </c>
      <c r="M298" s="21">
        <v>0.25369999999999998</v>
      </c>
      <c r="N298" s="21">
        <v>1</v>
      </c>
      <c r="O298" s="21">
        <v>98</v>
      </c>
      <c r="P298" s="22">
        <v>99</v>
      </c>
    </row>
    <row r="299" spans="1:16">
      <c r="A299" s="1">
        <v>298</v>
      </c>
      <c r="B299" s="2">
        <v>40556</v>
      </c>
      <c r="C299" s="1">
        <v>1</v>
      </c>
      <c r="D299" s="1">
        <v>0</v>
      </c>
      <c r="E299" s="1">
        <v>1</v>
      </c>
      <c r="F299" s="1">
        <v>20</v>
      </c>
      <c r="G299" s="1" t="b">
        <v>0</v>
      </c>
      <c r="H299" s="1">
        <v>4</v>
      </c>
      <c r="I299" s="1">
        <v>1</v>
      </c>
      <c r="J299" s="1">
        <v>0.16</v>
      </c>
      <c r="K299" s="20">
        <v>0.1515</v>
      </c>
      <c r="L299" s="23">
        <v>0.47</v>
      </c>
      <c r="M299" s="23">
        <v>0.22389999999999999</v>
      </c>
      <c r="N299" s="23">
        <v>0</v>
      </c>
      <c r="O299" s="23">
        <v>64</v>
      </c>
      <c r="P299" s="24">
        <v>64</v>
      </c>
    </row>
    <row r="300" spans="1:16">
      <c r="A300" s="1">
        <v>299</v>
      </c>
      <c r="B300" s="2">
        <v>40556</v>
      </c>
      <c r="C300" s="1">
        <v>1</v>
      </c>
      <c r="D300" s="1">
        <v>0</v>
      </c>
      <c r="E300" s="1">
        <v>1</v>
      </c>
      <c r="F300" s="1">
        <v>21</v>
      </c>
      <c r="G300" s="1" t="b">
        <v>0</v>
      </c>
      <c r="H300" s="1">
        <v>4</v>
      </c>
      <c r="I300" s="1">
        <v>1</v>
      </c>
      <c r="J300" s="1">
        <v>0.14000000000000001</v>
      </c>
      <c r="K300" s="19">
        <v>0.1212</v>
      </c>
      <c r="L300" s="21">
        <v>0.46</v>
      </c>
      <c r="M300" s="21">
        <v>0.29849999999999999</v>
      </c>
      <c r="N300" s="21">
        <v>0</v>
      </c>
      <c r="O300" s="21">
        <v>40</v>
      </c>
      <c r="P300" s="22">
        <v>40</v>
      </c>
    </row>
    <row r="301" spans="1:16">
      <c r="A301" s="1">
        <v>300</v>
      </c>
      <c r="B301" s="2">
        <v>40556</v>
      </c>
      <c r="C301" s="1">
        <v>1</v>
      </c>
      <c r="D301" s="1">
        <v>0</v>
      </c>
      <c r="E301" s="1">
        <v>1</v>
      </c>
      <c r="F301" s="1">
        <v>22</v>
      </c>
      <c r="G301" s="1" t="b">
        <v>0</v>
      </c>
      <c r="H301" s="1">
        <v>4</v>
      </c>
      <c r="I301" s="1">
        <v>1</v>
      </c>
      <c r="J301" s="1">
        <v>0.14000000000000001</v>
      </c>
      <c r="K301" s="20">
        <v>0.1212</v>
      </c>
      <c r="L301" s="23">
        <v>0.46</v>
      </c>
      <c r="M301" s="23">
        <v>0.32840000000000003</v>
      </c>
      <c r="N301" s="23">
        <v>0</v>
      </c>
      <c r="O301" s="23">
        <v>30</v>
      </c>
      <c r="P301" s="24">
        <v>30</v>
      </c>
    </row>
    <row r="302" spans="1:16">
      <c r="A302" s="1">
        <v>301</v>
      </c>
      <c r="B302" s="2">
        <v>40556</v>
      </c>
      <c r="C302" s="1">
        <v>1</v>
      </c>
      <c r="D302" s="1">
        <v>0</v>
      </c>
      <c r="E302" s="1">
        <v>1</v>
      </c>
      <c r="F302" s="1">
        <v>23</v>
      </c>
      <c r="G302" s="1" t="b">
        <v>0</v>
      </c>
      <c r="H302" s="1">
        <v>4</v>
      </c>
      <c r="I302" s="1">
        <v>1</v>
      </c>
      <c r="J302" s="1">
        <v>0.12</v>
      </c>
      <c r="K302" s="19">
        <v>0.13639999999999999</v>
      </c>
      <c r="L302" s="21">
        <v>0.5</v>
      </c>
      <c r="M302" s="21">
        <v>0.19400000000000001</v>
      </c>
      <c r="N302" s="21">
        <v>1</v>
      </c>
      <c r="O302" s="21">
        <v>14</v>
      </c>
      <c r="P302" s="22">
        <v>15</v>
      </c>
    </row>
    <row r="303" spans="1:16">
      <c r="A303" s="1">
        <v>302</v>
      </c>
      <c r="B303" s="2">
        <v>40557</v>
      </c>
      <c r="C303" s="1">
        <v>1</v>
      </c>
      <c r="D303" s="1">
        <v>0</v>
      </c>
      <c r="E303" s="1">
        <v>1</v>
      </c>
      <c r="F303" s="1">
        <v>0</v>
      </c>
      <c r="G303" s="1" t="b">
        <v>0</v>
      </c>
      <c r="H303" s="1">
        <v>5</v>
      </c>
      <c r="I303" s="1">
        <v>1</v>
      </c>
      <c r="J303" s="1">
        <v>0.12</v>
      </c>
      <c r="K303" s="20">
        <v>0.13639999999999999</v>
      </c>
      <c r="L303" s="23">
        <v>0.5</v>
      </c>
      <c r="M303" s="23">
        <v>0.19400000000000001</v>
      </c>
      <c r="N303" s="23">
        <v>0</v>
      </c>
      <c r="O303" s="23">
        <v>14</v>
      </c>
      <c r="P303" s="24">
        <v>14</v>
      </c>
    </row>
    <row r="304" spans="1:16">
      <c r="A304" s="1">
        <v>303</v>
      </c>
      <c r="B304" s="2">
        <v>40557</v>
      </c>
      <c r="C304" s="1">
        <v>1</v>
      </c>
      <c r="D304" s="1">
        <v>0</v>
      </c>
      <c r="E304" s="1">
        <v>1</v>
      </c>
      <c r="F304" s="1">
        <v>1</v>
      </c>
      <c r="G304" s="1" t="b">
        <v>0</v>
      </c>
      <c r="H304" s="1">
        <v>5</v>
      </c>
      <c r="I304" s="1">
        <v>1</v>
      </c>
      <c r="J304" s="1">
        <v>0.1</v>
      </c>
      <c r="K304" s="19">
        <v>0.1212</v>
      </c>
      <c r="L304" s="21">
        <v>0.54</v>
      </c>
      <c r="M304" s="21">
        <v>0.16420000000000001</v>
      </c>
      <c r="N304" s="21">
        <v>0</v>
      </c>
      <c r="O304" s="21">
        <v>5</v>
      </c>
      <c r="P304" s="22">
        <v>5</v>
      </c>
    </row>
    <row r="305" spans="1:16">
      <c r="A305" s="1">
        <v>304</v>
      </c>
      <c r="B305" s="2">
        <v>40557</v>
      </c>
      <c r="C305" s="1">
        <v>1</v>
      </c>
      <c r="D305" s="1">
        <v>0</v>
      </c>
      <c r="E305" s="1">
        <v>1</v>
      </c>
      <c r="F305" s="1">
        <v>2</v>
      </c>
      <c r="G305" s="1" t="b">
        <v>0</v>
      </c>
      <c r="H305" s="1">
        <v>5</v>
      </c>
      <c r="I305" s="1">
        <v>1</v>
      </c>
      <c r="J305" s="1">
        <v>0.1</v>
      </c>
      <c r="K305" s="20">
        <v>0.1212</v>
      </c>
      <c r="L305" s="23">
        <v>0.54</v>
      </c>
      <c r="M305" s="23">
        <v>0.1343</v>
      </c>
      <c r="N305" s="23">
        <v>0</v>
      </c>
      <c r="O305" s="23">
        <v>1</v>
      </c>
      <c r="P305" s="24">
        <v>1</v>
      </c>
    </row>
    <row r="306" spans="1:16">
      <c r="A306" s="1">
        <v>305</v>
      </c>
      <c r="B306" s="2">
        <v>40557</v>
      </c>
      <c r="C306" s="1">
        <v>1</v>
      </c>
      <c r="D306" s="1">
        <v>0</v>
      </c>
      <c r="E306" s="1">
        <v>1</v>
      </c>
      <c r="F306" s="1">
        <v>3</v>
      </c>
      <c r="G306" s="1" t="b">
        <v>0</v>
      </c>
      <c r="H306" s="1">
        <v>5</v>
      </c>
      <c r="I306" s="1">
        <v>1</v>
      </c>
      <c r="J306" s="1">
        <v>0.1</v>
      </c>
      <c r="K306" s="19">
        <v>0.13639999999999999</v>
      </c>
      <c r="L306" s="21">
        <v>0.54</v>
      </c>
      <c r="M306" s="21">
        <v>0.1045</v>
      </c>
      <c r="N306" s="21">
        <v>0</v>
      </c>
      <c r="O306" s="21">
        <v>1</v>
      </c>
      <c r="P306" s="22">
        <v>1</v>
      </c>
    </row>
    <row r="307" spans="1:16">
      <c r="A307" s="1">
        <v>306</v>
      </c>
      <c r="B307" s="2">
        <v>40557</v>
      </c>
      <c r="C307" s="1">
        <v>1</v>
      </c>
      <c r="D307" s="1">
        <v>0</v>
      </c>
      <c r="E307" s="1">
        <v>1</v>
      </c>
      <c r="F307" s="1">
        <v>5</v>
      </c>
      <c r="G307" s="1" t="b">
        <v>0</v>
      </c>
      <c r="H307" s="1">
        <v>5</v>
      </c>
      <c r="I307" s="1">
        <v>1</v>
      </c>
      <c r="J307" s="1">
        <v>0.1</v>
      </c>
      <c r="K307" s="20">
        <v>0.13639999999999999</v>
      </c>
      <c r="L307" s="23">
        <v>0.54</v>
      </c>
      <c r="M307" s="23">
        <v>8.9599999999999999E-2</v>
      </c>
      <c r="N307" s="23">
        <v>0</v>
      </c>
      <c r="O307" s="23">
        <v>8</v>
      </c>
      <c r="P307" s="24">
        <v>8</v>
      </c>
    </row>
    <row r="308" spans="1:16">
      <c r="A308" s="1">
        <v>307</v>
      </c>
      <c r="B308" s="2">
        <v>40557</v>
      </c>
      <c r="C308" s="1">
        <v>1</v>
      </c>
      <c r="D308" s="1">
        <v>0</v>
      </c>
      <c r="E308" s="1">
        <v>1</v>
      </c>
      <c r="F308" s="1">
        <v>6</v>
      </c>
      <c r="G308" s="1" t="b">
        <v>0</v>
      </c>
      <c r="H308" s="1">
        <v>5</v>
      </c>
      <c r="I308" s="1">
        <v>1</v>
      </c>
      <c r="J308" s="1">
        <v>0.1</v>
      </c>
      <c r="K308" s="19">
        <v>0.18179999999999999</v>
      </c>
      <c r="L308" s="21">
        <v>0.54</v>
      </c>
      <c r="M308" s="21">
        <v>0</v>
      </c>
      <c r="N308" s="21">
        <v>0</v>
      </c>
      <c r="O308" s="21">
        <v>17</v>
      </c>
      <c r="P308" s="22">
        <v>17</v>
      </c>
    </row>
    <row r="309" spans="1:16">
      <c r="A309" s="1">
        <v>308</v>
      </c>
      <c r="B309" s="2">
        <v>40557</v>
      </c>
      <c r="C309" s="1">
        <v>1</v>
      </c>
      <c r="D309" s="1">
        <v>0</v>
      </c>
      <c r="E309" s="1">
        <v>1</v>
      </c>
      <c r="F309" s="1">
        <v>7</v>
      </c>
      <c r="G309" s="1" t="b">
        <v>0</v>
      </c>
      <c r="H309" s="1">
        <v>5</v>
      </c>
      <c r="I309" s="1">
        <v>1</v>
      </c>
      <c r="J309" s="1">
        <v>0.1</v>
      </c>
      <c r="K309" s="20">
        <v>0.1212</v>
      </c>
      <c r="L309" s="23">
        <v>0.74</v>
      </c>
      <c r="M309" s="23">
        <v>0.16420000000000001</v>
      </c>
      <c r="N309" s="23">
        <v>0</v>
      </c>
      <c r="O309" s="23">
        <v>70</v>
      </c>
      <c r="P309" s="24">
        <v>70</v>
      </c>
    </row>
    <row r="310" spans="1:16">
      <c r="A310" s="1">
        <v>309</v>
      </c>
      <c r="B310" s="2">
        <v>40557</v>
      </c>
      <c r="C310" s="1">
        <v>1</v>
      </c>
      <c r="D310" s="1">
        <v>0</v>
      </c>
      <c r="E310" s="1">
        <v>1</v>
      </c>
      <c r="F310" s="1">
        <v>8</v>
      </c>
      <c r="G310" s="1" t="b">
        <v>0</v>
      </c>
      <c r="H310" s="1">
        <v>5</v>
      </c>
      <c r="I310" s="1">
        <v>1</v>
      </c>
      <c r="J310" s="1">
        <v>0.12</v>
      </c>
      <c r="K310" s="19">
        <v>0.16669999999999999</v>
      </c>
      <c r="L310" s="21">
        <v>0.68</v>
      </c>
      <c r="M310" s="21">
        <v>0</v>
      </c>
      <c r="N310" s="21">
        <v>2</v>
      </c>
      <c r="O310" s="21">
        <v>156</v>
      </c>
      <c r="P310" s="22">
        <v>158</v>
      </c>
    </row>
    <row r="311" spans="1:16">
      <c r="A311" s="1">
        <v>310</v>
      </c>
      <c r="B311" s="2">
        <v>40557</v>
      </c>
      <c r="C311" s="1">
        <v>1</v>
      </c>
      <c r="D311" s="1">
        <v>0</v>
      </c>
      <c r="E311" s="1">
        <v>1</v>
      </c>
      <c r="F311" s="1">
        <v>9</v>
      </c>
      <c r="G311" s="1" t="b">
        <v>0</v>
      </c>
      <c r="H311" s="1">
        <v>5</v>
      </c>
      <c r="I311" s="1">
        <v>1</v>
      </c>
      <c r="J311" s="1">
        <v>0.14000000000000001</v>
      </c>
      <c r="K311" s="20">
        <v>0.1515</v>
      </c>
      <c r="L311" s="23">
        <v>0.69</v>
      </c>
      <c r="M311" s="23">
        <v>0.1343</v>
      </c>
      <c r="N311" s="23">
        <v>0</v>
      </c>
      <c r="O311" s="23">
        <v>117</v>
      </c>
      <c r="P311" s="24">
        <v>117</v>
      </c>
    </row>
    <row r="312" spans="1:16">
      <c r="A312" s="1">
        <v>311</v>
      </c>
      <c r="B312" s="2">
        <v>40557</v>
      </c>
      <c r="C312" s="1">
        <v>1</v>
      </c>
      <c r="D312" s="1">
        <v>0</v>
      </c>
      <c r="E312" s="1">
        <v>1</v>
      </c>
      <c r="F312" s="1">
        <v>10</v>
      </c>
      <c r="G312" s="1" t="b">
        <v>0</v>
      </c>
      <c r="H312" s="1">
        <v>5</v>
      </c>
      <c r="I312" s="1">
        <v>1</v>
      </c>
      <c r="J312" s="1">
        <v>0.18</v>
      </c>
      <c r="K312" s="19">
        <v>0.18179999999999999</v>
      </c>
      <c r="L312" s="21">
        <v>0.55000000000000004</v>
      </c>
      <c r="M312" s="21">
        <v>0.19400000000000001</v>
      </c>
      <c r="N312" s="21">
        <v>4</v>
      </c>
      <c r="O312" s="21">
        <v>40</v>
      </c>
      <c r="P312" s="22">
        <v>44</v>
      </c>
    </row>
    <row r="313" spans="1:16">
      <c r="A313" s="1">
        <v>312</v>
      </c>
      <c r="B313" s="2">
        <v>40557</v>
      </c>
      <c r="C313" s="1">
        <v>1</v>
      </c>
      <c r="D313" s="1">
        <v>0</v>
      </c>
      <c r="E313" s="1">
        <v>1</v>
      </c>
      <c r="F313" s="1">
        <v>11</v>
      </c>
      <c r="G313" s="1" t="b">
        <v>0</v>
      </c>
      <c r="H313" s="1">
        <v>5</v>
      </c>
      <c r="I313" s="1">
        <v>1</v>
      </c>
      <c r="J313" s="1">
        <v>0.18</v>
      </c>
      <c r="K313" s="20">
        <v>0.16669999999999999</v>
      </c>
      <c r="L313" s="23">
        <v>0.51</v>
      </c>
      <c r="M313" s="23">
        <v>0.28360000000000002</v>
      </c>
      <c r="N313" s="23">
        <v>6</v>
      </c>
      <c r="O313" s="23">
        <v>47</v>
      </c>
      <c r="P313" s="24">
        <v>53</v>
      </c>
    </row>
    <row r="314" spans="1:16">
      <c r="A314" s="1">
        <v>313</v>
      </c>
      <c r="B314" s="2">
        <v>40557</v>
      </c>
      <c r="C314" s="1">
        <v>1</v>
      </c>
      <c r="D314" s="1">
        <v>0</v>
      </c>
      <c r="E314" s="1">
        <v>1</v>
      </c>
      <c r="F314" s="1">
        <v>12</v>
      </c>
      <c r="G314" s="1" t="b">
        <v>0</v>
      </c>
      <c r="H314" s="1">
        <v>5</v>
      </c>
      <c r="I314" s="1">
        <v>1</v>
      </c>
      <c r="J314" s="1">
        <v>0.2</v>
      </c>
      <c r="K314" s="19">
        <v>0.19700000000000001</v>
      </c>
      <c r="L314" s="21">
        <v>0.44</v>
      </c>
      <c r="M314" s="21">
        <v>0.25369999999999998</v>
      </c>
      <c r="N314" s="21">
        <v>2</v>
      </c>
      <c r="O314" s="21">
        <v>59</v>
      </c>
      <c r="P314" s="22">
        <v>61</v>
      </c>
    </row>
    <row r="315" spans="1:16">
      <c r="A315" s="1">
        <v>314</v>
      </c>
      <c r="B315" s="2">
        <v>40557</v>
      </c>
      <c r="C315" s="1">
        <v>1</v>
      </c>
      <c r="D315" s="1">
        <v>0</v>
      </c>
      <c r="E315" s="1">
        <v>1</v>
      </c>
      <c r="F315" s="1">
        <v>13</v>
      </c>
      <c r="G315" s="1" t="b">
        <v>0</v>
      </c>
      <c r="H315" s="1">
        <v>5</v>
      </c>
      <c r="I315" s="1">
        <v>1</v>
      </c>
      <c r="J315" s="1">
        <v>0.22</v>
      </c>
      <c r="K315" s="20">
        <v>0.19700000000000001</v>
      </c>
      <c r="L315" s="23">
        <v>0.37</v>
      </c>
      <c r="M315" s="23">
        <v>0.3881</v>
      </c>
      <c r="N315" s="23">
        <v>4</v>
      </c>
      <c r="O315" s="23">
        <v>73</v>
      </c>
      <c r="P315" s="24">
        <v>77</v>
      </c>
    </row>
    <row r="316" spans="1:16">
      <c r="A316" s="1">
        <v>315</v>
      </c>
      <c r="B316" s="2">
        <v>40557</v>
      </c>
      <c r="C316" s="1">
        <v>1</v>
      </c>
      <c r="D316" s="1">
        <v>0</v>
      </c>
      <c r="E316" s="1">
        <v>1</v>
      </c>
      <c r="F316" s="1">
        <v>14</v>
      </c>
      <c r="G316" s="1" t="b">
        <v>0</v>
      </c>
      <c r="H316" s="1">
        <v>5</v>
      </c>
      <c r="I316" s="1">
        <v>1</v>
      </c>
      <c r="J316" s="1">
        <v>0.22</v>
      </c>
      <c r="K316" s="19">
        <v>0.21210000000000001</v>
      </c>
      <c r="L316" s="21">
        <v>0.41</v>
      </c>
      <c r="M316" s="21">
        <v>0.28360000000000002</v>
      </c>
      <c r="N316" s="21">
        <v>5</v>
      </c>
      <c r="O316" s="21">
        <v>59</v>
      </c>
      <c r="P316" s="22">
        <v>64</v>
      </c>
    </row>
    <row r="317" spans="1:16">
      <c r="A317" s="1">
        <v>316</v>
      </c>
      <c r="B317" s="2">
        <v>40557</v>
      </c>
      <c r="C317" s="1">
        <v>1</v>
      </c>
      <c r="D317" s="1">
        <v>0</v>
      </c>
      <c r="E317" s="1">
        <v>1</v>
      </c>
      <c r="F317" s="1">
        <v>15</v>
      </c>
      <c r="G317" s="1" t="b">
        <v>0</v>
      </c>
      <c r="H317" s="1">
        <v>5</v>
      </c>
      <c r="I317" s="1">
        <v>1</v>
      </c>
      <c r="J317" s="1">
        <v>0.24</v>
      </c>
      <c r="K317" s="20">
        <v>0.2424</v>
      </c>
      <c r="L317" s="23">
        <v>0.38</v>
      </c>
      <c r="M317" s="23">
        <v>0.16420000000000001</v>
      </c>
      <c r="N317" s="23">
        <v>9</v>
      </c>
      <c r="O317" s="23">
        <v>59</v>
      </c>
      <c r="P317" s="24">
        <v>68</v>
      </c>
    </row>
    <row r="318" spans="1:16">
      <c r="A318" s="1">
        <v>317</v>
      </c>
      <c r="B318" s="2">
        <v>40557</v>
      </c>
      <c r="C318" s="1">
        <v>1</v>
      </c>
      <c r="D318" s="1">
        <v>0</v>
      </c>
      <c r="E318" s="1">
        <v>1</v>
      </c>
      <c r="F318" s="1">
        <v>16</v>
      </c>
      <c r="G318" s="1" t="b">
        <v>0</v>
      </c>
      <c r="H318" s="1">
        <v>5</v>
      </c>
      <c r="I318" s="1">
        <v>1</v>
      </c>
      <c r="J318" s="1">
        <v>0.22</v>
      </c>
      <c r="K318" s="19">
        <v>0.2424</v>
      </c>
      <c r="L318" s="21">
        <v>0.41</v>
      </c>
      <c r="M318" s="21">
        <v>0.1045</v>
      </c>
      <c r="N318" s="21">
        <v>3</v>
      </c>
      <c r="O318" s="21">
        <v>87</v>
      </c>
      <c r="P318" s="22">
        <v>90</v>
      </c>
    </row>
    <row r="319" spans="1:16">
      <c r="A319" s="1">
        <v>318</v>
      </c>
      <c r="B319" s="2">
        <v>40557</v>
      </c>
      <c r="C319" s="1">
        <v>1</v>
      </c>
      <c r="D319" s="1">
        <v>0</v>
      </c>
      <c r="E319" s="1">
        <v>1</v>
      </c>
      <c r="F319" s="1">
        <v>17</v>
      </c>
      <c r="G319" s="1" t="b">
        <v>0</v>
      </c>
      <c r="H319" s="1">
        <v>5</v>
      </c>
      <c r="I319" s="1">
        <v>1</v>
      </c>
      <c r="J319" s="1">
        <v>0.22</v>
      </c>
      <c r="K319" s="20">
        <v>0.2273</v>
      </c>
      <c r="L319" s="23">
        <v>0.41</v>
      </c>
      <c r="M319" s="23">
        <v>0.16420000000000001</v>
      </c>
      <c r="N319" s="23">
        <v>4</v>
      </c>
      <c r="O319" s="23">
        <v>155</v>
      </c>
      <c r="P319" s="24">
        <v>159</v>
      </c>
    </row>
    <row r="320" spans="1:16">
      <c r="A320" s="1">
        <v>319</v>
      </c>
      <c r="B320" s="2">
        <v>40557</v>
      </c>
      <c r="C320" s="1">
        <v>1</v>
      </c>
      <c r="D320" s="1">
        <v>0</v>
      </c>
      <c r="E320" s="1">
        <v>1</v>
      </c>
      <c r="F320" s="1">
        <v>18</v>
      </c>
      <c r="G320" s="1" t="b">
        <v>0</v>
      </c>
      <c r="H320" s="1">
        <v>5</v>
      </c>
      <c r="I320" s="1">
        <v>1</v>
      </c>
      <c r="J320" s="1">
        <v>0.2</v>
      </c>
      <c r="K320" s="19">
        <v>0.2576</v>
      </c>
      <c r="L320" s="21">
        <v>0.47</v>
      </c>
      <c r="M320" s="21">
        <v>0</v>
      </c>
      <c r="N320" s="21">
        <v>5</v>
      </c>
      <c r="O320" s="21">
        <v>134</v>
      </c>
      <c r="P320" s="22">
        <v>139</v>
      </c>
    </row>
    <row r="321" spans="1:16">
      <c r="A321" s="1">
        <v>320</v>
      </c>
      <c r="B321" s="2">
        <v>40557</v>
      </c>
      <c r="C321" s="1">
        <v>1</v>
      </c>
      <c r="D321" s="1">
        <v>0</v>
      </c>
      <c r="E321" s="1">
        <v>1</v>
      </c>
      <c r="F321" s="1">
        <v>19</v>
      </c>
      <c r="G321" s="1" t="b">
        <v>0</v>
      </c>
      <c r="H321" s="1">
        <v>5</v>
      </c>
      <c r="I321" s="1">
        <v>1</v>
      </c>
      <c r="J321" s="1">
        <v>0.16</v>
      </c>
      <c r="K321" s="20">
        <v>0.19700000000000001</v>
      </c>
      <c r="L321" s="23">
        <v>0.59</v>
      </c>
      <c r="M321" s="23">
        <v>8.9599999999999999E-2</v>
      </c>
      <c r="N321" s="23">
        <v>3</v>
      </c>
      <c r="O321" s="23">
        <v>89</v>
      </c>
      <c r="P321" s="24">
        <v>92</v>
      </c>
    </row>
    <row r="322" spans="1:16">
      <c r="A322" s="1">
        <v>321</v>
      </c>
      <c r="B322" s="2">
        <v>40557</v>
      </c>
      <c r="C322" s="1">
        <v>1</v>
      </c>
      <c r="D322" s="1">
        <v>0</v>
      </c>
      <c r="E322" s="1">
        <v>1</v>
      </c>
      <c r="F322" s="1">
        <v>20</v>
      </c>
      <c r="G322" s="1" t="b">
        <v>0</v>
      </c>
      <c r="H322" s="1">
        <v>5</v>
      </c>
      <c r="I322" s="1">
        <v>1</v>
      </c>
      <c r="J322" s="1">
        <v>0.18</v>
      </c>
      <c r="K322" s="19">
        <v>0.2424</v>
      </c>
      <c r="L322" s="21">
        <v>0.59</v>
      </c>
      <c r="M322" s="21">
        <v>0</v>
      </c>
      <c r="N322" s="21">
        <v>0</v>
      </c>
      <c r="O322" s="21">
        <v>68</v>
      </c>
      <c r="P322" s="22">
        <v>68</v>
      </c>
    </row>
    <row r="323" spans="1:16">
      <c r="A323" s="1">
        <v>322</v>
      </c>
      <c r="B323" s="2">
        <v>40557</v>
      </c>
      <c r="C323" s="1">
        <v>1</v>
      </c>
      <c r="D323" s="1">
        <v>0</v>
      </c>
      <c r="E323" s="1">
        <v>1</v>
      </c>
      <c r="F323" s="1">
        <v>21</v>
      </c>
      <c r="G323" s="1" t="b">
        <v>0</v>
      </c>
      <c r="H323" s="1">
        <v>5</v>
      </c>
      <c r="I323" s="1">
        <v>1</v>
      </c>
      <c r="J323" s="1">
        <v>0.16</v>
      </c>
      <c r="K323" s="20">
        <v>0.2273</v>
      </c>
      <c r="L323" s="23">
        <v>0.69</v>
      </c>
      <c r="M323" s="23">
        <v>0</v>
      </c>
      <c r="N323" s="23">
        <v>4</v>
      </c>
      <c r="O323" s="23">
        <v>48</v>
      </c>
      <c r="P323" s="24">
        <v>52</v>
      </c>
    </row>
    <row r="324" spans="1:16">
      <c r="A324" s="1">
        <v>323</v>
      </c>
      <c r="B324" s="2">
        <v>40557</v>
      </c>
      <c r="C324" s="1">
        <v>1</v>
      </c>
      <c r="D324" s="1">
        <v>0</v>
      </c>
      <c r="E324" s="1">
        <v>1</v>
      </c>
      <c r="F324" s="1">
        <v>22</v>
      </c>
      <c r="G324" s="1" t="b">
        <v>0</v>
      </c>
      <c r="H324" s="1">
        <v>5</v>
      </c>
      <c r="I324" s="1">
        <v>2</v>
      </c>
      <c r="J324" s="1">
        <v>0.16</v>
      </c>
      <c r="K324" s="19">
        <v>0.2273</v>
      </c>
      <c r="L324" s="21">
        <v>0.69</v>
      </c>
      <c r="M324" s="21">
        <v>0</v>
      </c>
      <c r="N324" s="21">
        <v>2</v>
      </c>
      <c r="O324" s="21">
        <v>34</v>
      </c>
      <c r="P324" s="22">
        <v>36</v>
      </c>
    </row>
    <row r="325" spans="1:16">
      <c r="A325" s="1">
        <v>324</v>
      </c>
      <c r="B325" s="2">
        <v>40557</v>
      </c>
      <c r="C325" s="1">
        <v>1</v>
      </c>
      <c r="D325" s="1">
        <v>0</v>
      </c>
      <c r="E325" s="1">
        <v>1</v>
      </c>
      <c r="F325" s="1">
        <v>23</v>
      </c>
      <c r="G325" s="1" t="b">
        <v>0</v>
      </c>
      <c r="H325" s="1">
        <v>5</v>
      </c>
      <c r="I325" s="1">
        <v>2</v>
      </c>
      <c r="J325" s="1">
        <v>0.18</v>
      </c>
      <c r="K325" s="20">
        <v>0.2424</v>
      </c>
      <c r="L325" s="23">
        <v>0.55000000000000004</v>
      </c>
      <c r="M325" s="23">
        <v>0</v>
      </c>
      <c r="N325" s="23">
        <v>1</v>
      </c>
      <c r="O325" s="23">
        <v>26</v>
      </c>
      <c r="P325" s="24">
        <v>27</v>
      </c>
    </row>
    <row r="326" spans="1:16">
      <c r="A326" s="1">
        <v>325</v>
      </c>
      <c r="B326" s="2">
        <v>40558</v>
      </c>
      <c r="C326" s="1">
        <v>1</v>
      </c>
      <c r="D326" s="1">
        <v>0</v>
      </c>
      <c r="E326" s="1">
        <v>1</v>
      </c>
      <c r="F326" s="1">
        <v>0</v>
      </c>
      <c r="G326" s="1" t="b">
        <v>0</v>
      </c>
      <c r="H326" s="1">
        <v>6</v>
      </c>
      <c r="I326" s="1">
        <v>1</v>
      </c>
      <c r="J326" s="1">
        <v>0.18</v>
      </c>
      <c r="K326" s="19">
        <v>0.2424</v>
      </c>
      <c r="L326" s="21">
        <v>0.55000000000000004</v>
      </c>
      <c r="M326" s="21">
        <v>0</v>
      </c>
      <c r="N326" s="21">
        <v>3</v>
      </c>
      <c r="O326" s="21">
        <v>25</v>
      </c>
      <c r="P326" s="22">
        <v>28</v>
      </c>
    </row>
    <row r="327" spans="1:16">
      <c r="A327" s="1">
        <v>326</v>
      </c>
      <c r="B327" s="2">
        <v>40558</v>
      </c>
      <c r="C327" s="1">
        <v>1</v>
      </c>
      <c r="D327" s="1">
        <v>0</v>
      </c>
      <c r="E327" s="1">
        <v>1</v>
      </c>
      <c r="F327" s="1">
        <v>1</v>
      </c>
      <c r="G327" s="1" t="b">
        <v>0</v>
      </c>
      <c r="H327" s="1">
        <v>6</v>
      </c>
      <c r="I327" s="1">
        <v>2</v>
      </c>
      <c r="J327" s="1">
        <v>0.16</v>
      </c>
      <c r="K327" s="20">
        <v>0.19700000000000001</v>
      </c>
      <c r="L327" s="23">
        <v>0.59</v>
      </c>
      <c r="M327" s="23">
        <v>8.9599999999999999E-2</v>
      </c>
      <c r="N327" s="23">
        <v>2</v>
      </c>
      <c r="O327" s="23">
        <v>18</v>
      </c>
      <c r="P327" s="24">
        <v>20</v>
      </c>
    </row>
    <row r="328" spans="1:16">
      <c r="A328" s="1">
        <v>327</v>
      </c>
      <c r="B328" s="2">
        <v>40558</v>
      </c>
      <c r="C328" s="1">
        <v>1</v>
      </c>
      <c r="D328" s="1">
        <v>0</v>
      </c>
      <c r="E328" s="1">
        <v>1</v>
      </c>
      <c r="F328" s="1">
        <v>2</v>
      </c>
      <c r="G328" s="1" t="b">
        <v>0</v>
      </c>
      <c r="H328" s="1">
        <v>6</v>
      </c>
      <c r="I328" s="1">
        <v>2</v>
      </c>
      <c r="J328" s="1">
        <v>0.16</v>
      </c>
      <c r="K328" s="19">
        <v>0.19700000000000001</v>
      </c>
      <c r="L328" s="21">
        <v>0.59</v>
      </c>
      <c r="M328" s="21">
        <v>8.9599999999999999E-2</v>
      </c>
      <c r="N328" s="21">
        <v>0</v>
      </c>
      <c r="O328" s="21">
        <v>12</v>
      </c>
      <c r="P328" s="22">
        <v>12</v>
      </c>
    </row>
    <row r="329" spans="1:16">
      <c r="A329" s="1">
        <v>328</v>
      </c>
      <c r="B329" s="2">
        <v>40558</v>
      </c>
      <c r="C329" s="1">
        <v>1</v>
      </c>
      <c r="D329" s="1">
        <v>0</v>
      </c>
      <c r="E329" s="1">
        <v>1</v>
      </c>
      <c r="F329" s="1">
        <v>3</v>
      </c>
      <c r="G329" s="1" t="b">
        <v>0</v>
      </c>
      <c r="H329" s="1">
        <v>6</v>
      </c>
      <c r="I329" s="1">
        <v>2</v>
      </c>
      <c r="J329" s="1">
        <v>0.16</v>
      </c>
      <c r="K329" s="20">
        <v>0.2273</v>
      </c>
      <c r="L329" s="23">
        <v>0.59</v>
      </c>
      <c r="M329" s="23">
        <v>0</v>
      </c>
      <c r="N329" s="23">
        <v>1</v>
      </c>
      <c r="O329" s="23">
        <v>7</v>
      </c>
      <c r="P329" s="24">
        <v>8</v>
      </c>
    </row>
    <row r="330" spans="1:16">
      <c r="A330" s="1">
        <v>329</v>
      </c>
      <c r="B330" s="2">
        <v>40558</v>
      </c>
      <c r="C330" s="1">
        <v>1</v>
      </c>
      <c r="D330" s="1">
        <v>0</v>
      </c>
      <c r="E330" s="1">
        <v>1</v>
      </c>
      <c r="F330" s="1">
        <v>4</v>
      </c>
      <c r="G330" s="1" t="b">
        <v>0</v>
      </c>
      <c r="H330" s="1">
        <v>6</v>
      </c>
      <c r="I330" s="1">
        <v>2</v>
      </c>
      <c r="J330" s="1">
        <v>0.16</v>
      </c>
      <c r="K330" s="19">
        <v>0.2273</v>
      </c>
      <c r="L330" s="21">
        <v>0.59</v>
      </c>
      <c r="M330" s="21">
        <v>0</v>
      </c>
      <c r="N330" s="21">
        <v>0</v>
      </c>
      <c r="O330" s="21">
        <v>5</v>
      </c>
      <c r="P330" s="22">
        <v>5</v>
      </c>
    </row>
    <row r="331" spans="1:16">
      <c r="A331" s="1">
        <v>330</v>
      </c>
      <c r="B331" s="2">
        <v>40558</v>
      </c>
      <c r="C331" s="1">
        <v>1</v>
      </c>
      <c r="D331" s="1">
        <v>0</v>
      </c>
      <c r="E331" s="1">
        <v>1</v>
      </c>
      <c r="F331" s="1">
        <v>5</v>
      </c>
      <c r="G331" s="1" t="b">
        <v>0</v>
      </c>
      <c r="H331" s="1">
        <v>6</v>
      </c>
      <c r="I331" s="1">
        <v>1</v>
      </c>
      <c r="J331" s="1">
        <v>0.16</v>
      </c>
      <c r="K331" s="20">
        <v>0.2273</v>
      </c>
      <c r="L331" s="23">
        <v>0.59</v>
      </c>
      <c r="M331" s="23">
        <v>0</v>
      </c>
      <c r="N331" s="23">
        <v>0</v>
      </c>
      <c r="O331" s="23">
        <v>1</v>
      </c>
      <c r="P331" s="24">
        <v>1</v>
      </c>
    </row>
    <row r="332" spans="1:16">
      <c r="A332" s="1">
        <v>331</v>
      </c>
      <c r="B332" s="2">
        <v>40558</v>
      </c>
      <c r="C332" s="1">
        <v>1</v>
      </c>
      <c r="D332" s="1">
        <v>0</v>
      </c>
      <c r="E332" s="1">
        <v>1</v>
      </c>
      <c r="F332" s="1">
        <v>6</v>
      </c>
      <c r="G332" s="1" t="b">
        <v>0</v>
      </c>
      <c r="H332" s="1">
        <v>6</v>
      </c>
      <c r="I332" s="1">
        <v>1</v>
      </c>
      <c r="J332" s="1">
        <v>0.14000000000000001</v>
      </c>
      <c r="K332" s="19">
        <v>0.16669999999999999</v>
      </c>
      <c r="L332" s="21">
        <v>0.63</v>
      </c>
      <c r="M332" s="21">
        <v>0.1045</v>
      </c>
      <c r="N332" s="21">
        <v>1</v>
      </c>
      <c r="O332" s="21">
        <v>2</v>
      </c>
      <c r="P332" s="22">
        <v>3</v>
      </c>
    </row>
    <row r="333" spans="1:16">
      <c r="A333" s="1">
        <v>332</v>
      </c>
      <c r="B333" s="2">
        <v>40558</v>
      </c>
      <c r="C333" s="1">
        <v>1</v>
      </c>
      <c r="D333" s="1">
        <v>0</v>
      </c>
      <c r="E333" s="1">
        <v>1</v>
      </c>
      <c r="F333" s="1">
        <v>7</v>
      </c>
      <c r="G333" s="1" t="b">
        <v>0</v>
      </c>
      <c r="H333" s="1">
        <v>6</v>
      </c>
      <c r="I333" s="1">
        <v>1</v>
      </c>
      <c r="J333" s="1">
        <v>0.14000000000000001</v>
      </c>
      <c r="K333" s="20">
        <v>0.21210000000000001</v>
      </c>
      <c r="L333" s="23">
        <v>0.63</v>
      </c>
      <c r="M333" s="23">
        <v>0</v>
      </c>
      <c r="N333" s="23">
        <v>1</v>
      </c>
      <c r="O333" s="23">
        <v>9</v>
      </c>
      <c r="P333" s="24">
        <v>10</v>
      </c>
    </row>
    <row r="334" spans="1:16">
      <c r="A334" s="1">
        <v>333</v>
      </c>
      <c r="B334" s="2">
        <v>40558</v>
      </c>
      <c r="C334" s="1">
        <v>1</v>
      </c>
      <c r="D334" s="1">
        <v>0</v>
      </c>
      <c r="E334" s="1">
        <v>1</v>
      </c>
      <c r="F334" s="1">
        <v>8</v>
      </c>
      <c r="G334" s="1" t="b">
        <v>0</v>
      </c>
      <c r="H334" s="1">
        <v>6</v>
      </c>
      <c r="I334" s="1">
        <v>1</v>
      </c>
      <c r="J334" s="1">
        <v>0.14000000000000001</v>
      </c>
      <c r="K334" s="19">
        <v>0.1515</v>
      </c>
      <c r="L334" s="21">
        <v>0.63</v>
      </c>
      <c r="M334" s="21">
        <v>0.1343</v>
      </c>
      <c r="N334" s="21">
        <v>1</v>
      </c>
      <c r="O334" s="21">
        <v>22</v>
      </c>
      <c r="P334" s="22">
        <v>23</v>
      </c>
    </row>
    <row r="335" spans="1:16">
      <c r="A335" s="1">
        <v>334</v>
      </c>
      <c r="B335" s="2">
        <v>40558</v>
      </c>
      <c r="C335" s="1">
        <v>1</v>
      </c>
      <c r="D335" s="1">
        <v>0</v>
      </c>
      <c r="E335" s="1">
        <v>1</v>
      </c>
      <c r="F335" s="1">
        <v>9</v>
      </c>
      <c r="G335" s="1" t="b">
        <v>0</v>
      </c>
      <c r="H335" s="1">
        <v>6</v>
      </c>
      <c r="I335" s="1">
        <v>1</v>
      </c>
      <c r="J335" s="1">
        <v>0.16</v>
      </c>
      <c r="K335" s="20">
        <v>0.18179999999999999</v>
      </c>
      <c r="L335" s="23">
        <v>0.64</v>
      </c>
      <c r="M335" s="23">
        <v>0.1343</v>
      </c>
      <c r="N335" s="23">
        <v>2</v>
      </c>
      <c r="O335" s="23">
        <v>31</v>
      </c>
      <c r="P335" s="24">
        <v>33</v>
      </c>
    </row>
    <row r="336" spans="1:16">
      <c r="A336" s="1">
        <v>335</v>
      </c>
      <c r="B336" s="2">
        <v>40558</v>
      </c>
      <c r="C336" s="1">
        <v>1</v>
      </c>
      <c r="D336" s="1">
        <v>0</v>
      </c>
      <c r="E336" s="1">
        <v>1</v>
      </c>
      <c r="F336" s="1">
        <v>10</v>
      </c>
      <c r="G336" s="1" t="b">
        <v>0</v>
      </c>
      <c r="H336" s="1">
        <v>6</v>
      </c>
      <c r="I336" s="1">
        <v>1</v>
      </c>
      <c r="J336" s="1">
        <v>0.18</v>
      </c>
      <c r="K336" s="19">
        <v>0.19700000000000001</v>
      </c>
      <c r="L336" s="21">
        <v>0.59</v>
      </c>
      <c r="M336" s="21">
        <v>0.16420000000000001</v>
      </c>
      <c r="N336" s="21">
        <v>2</v>
      </c>
      <c r="O336" s="21">
        <v>57</v>
      </c>
      <c r="P336" s="22">
        <v>59</v>
      </c>
    </row>
    <row r="337" spans="1:16">
      <c r="A337" s="1">
        <v>336</v>
      </c>
      <c r="B337" s="2">
        <v>40558</v>
      </c>
      <c r="C337" s="1">
        <v>1</v>
      </c>
      <c r="D337" s="1">
        <v>0</v>
      </c>
      <c r="E337" s="1">
        <v>1</v>
      </c>
      <c r="F337" s="1">
        <v>11</v>
      </c>
      <c r="G337" s="1" t="b">
        <v>0</v>
      </c>
      <c r="H337" s="1">
        <v>6</v>
      </c>
      <c r="I337" s="1">
        <v>1</v>
      </c>
      <c r="J337" s="1">
        <v>0.2</v>
      </c>
      <c r="K337" s="20">
        <v>0.19700000000000001</v>
      </c>
      <c r="L337" s="23">
        <v>0.55000000000000004</v>
      </c>
      <c r="M337" s="23">
        <v>0.22389999999999999</v>
      </c>
      <c r="N337" s="23">
        <v>18</v>
      </c>
      <c r="O337" s="23">
        <v>54</v>
      </c>
      <c r="P337" s="24">
        <v>72</v>
      </c>
    </row>
    <row r="338" spans="1:16">
      <c r="A338" s="1">
        <v>337</v>
      </c>
      <c r="B338" s="2">
        <v>40558</v>
      </c>
      <c r="C338" s="1">
        <v>1</v>
      </c>
      <c r="D338" s="1">
        <v>0</v>
      </c>
      <c r="E338" s="1">
        <v>1</v>
      </c>
      <c r="F338" s="1">
        <v>12</v>
      </c>
      <c r="G338" s="1" t="b">
        <v>0</v>
      </c>
      <c r="H338" s="1">
        <v>6</v>
      </c>
      <c r="I338" s="1">
        <v>1</v>
      </c>
      <c r="J338" s="1">
        <v>0.24</v>
      </c>
      <c r="K338" s="19">
        <v>0.2273</v>
      </c>
      <c r="L338" s="21">
        <v>0.48</v>
      </c>
      <c r="M338" s="21">
        <v>0.22389999999999999</v>
      </c>
      <c r="N338" s="21">
        <v>15</v>
      </c>
      <c r="O338" s="21">
        <v>74</v>
      </c>
      <c r="P338" s="22">
        <v>89</v>
      </c>
    </row>
    <row r="339" spans="1:16">
      <c r="A339" s="1">
        <v>338</v>
      </c>
      <c r="B339" s="2">
        <v>40558</v>
      </c>
      <c r="C339" s="1">
        <v>1</v>
      </c>
      <c r="D339" s="1">
        <v>0</v>
      </c>
      <c r="E339" s="1">
        <v>1</v>
      </c>
      <c r="F339" s="1">
        <v>13</v>
      </c>
      <c r="G339" s="1" t="b">
        <v>0</v>
      </c>
      <c r="H339" s="1">
        <v>6</v>
      </c>
      <c r="I339" s="1">
        <v>1</v>
      </c>
      <c r="J339" s="1">
        <v>0.28000000000000003</v>
      </c>
      <c r="K339" s="20">
        <v>0.2576</v>
      </c>
      <c r="L339" s="23">
        <v>0.38</v>
      </c>
      <c r="M339" s="23">
        <v>0.29849999999999999</v>
      </c>
      <c r="N339" s="23">
        <v>21</v>
      </c>
      <c r="O339" s="23">
        <v>80</v>
      </c>
      <c r="P339" s="24">
        <v>101</v>
      </c>
    </row>
    <row r="340" spans="1:16">
      <c r="A340" s="1">
        <v>339</v>
      </c>
      <c r="B340" s="2">
        <v>40558</v>
      </c>
      <c r="C340" s="1">
        <v>1</v>
      </c>
      <c r="D340" s="1">
        <v>0</v>
      </c>
      <c r="E340" s="1">
        <v>1</v>
      </c>
      <c r="F340" s="1">
        <v>14</v>
      </c>
      <c r="G340" s="1" t="b">
        <v>0</v>
      </c>
      <c r="H340" s="1">
        <v>6</v>
      </c>
      <c r="I340" s="1">
        <v>1</v>
      </c>
      <c r="J340" s="1">
        <v>0.3</v>
      </c>
      <c r="K340" s="19">
        <v>0.28789999999999999</v>
      </c>
      <c r="L340" s="21">
        <v>0.39</v>
      </c>
      <c r="M340" s="21">
        <v>0.28360000000000002</v>
      </c>
      <c r="N340" s="21">
        <v>26</v>
      </c>
      <c r="O340" s="21">
        <v>92</v>
      </c>
      <c r="P340" s="22">
        <v>118</v>
      </c>
    </row>
    <row r="341" spans="1:16">
      <c r="A341" s="1">
        <v>340</v>
      </c>
      <c r="B341" s="2">
        <v>40558</v>
      </c>
      <c r="C341" s="1">
        <v>1</v>
      </c>
      <c r="D341" s="1">
        <v>0</v>
      </c>
      <c r="E341" s="1">
        <v>1</v>
      </c>
      <c r="F341" s="1">
        <v>15</v>
      </c>
      <c r="G341" s="1" t="b">
        <v>0</v>
      </c>
      <c r="H341" s="1">
        <v>6</v>
      </c>
      <c r="I341" s="1">
        <v>2</v>
      </c>
      <c r="J341" s="1">
        <v>0.32</v>
      </c>
      <c r="K341" s="20">
        <v>0.31819999999999998</v>
      </c>
      <c r="L341" s="23">
        <v>0.36</v>
      </c>
      <c r="M341" s="23">
        <v>0.19400000000000001</v>
      </c>
      <c r="N341" s="23">
        <v>21</v>
      </c>
      <c r="O341" s="23">
        <v>108</v>
      </c>
      <c r="P341" s="24">
        <v>129</v>
      </c>
    </row>
    <row r="342" spans="1:16">
      <c r="A342" s="1">
        <v>341</v>
      </c>
      <c r="B342" s="2">
        <v>40558</v>
      </c>
      <c r="C342" s="1">
        <v>1</v>
      </c>
      <c r="D342" s="1">
        <v>0</v>
      </c>
      <c r="E342" s="1">
        <v>1</v>
      </c>
      <c r="F342" s="1">
        <v>16</v>
      </c>
      <c r="G342" s="1" t="b">
        <v>0</v>
      </c>
      <c r="H342" s="1">
        <v>6</v>
      </c>
      <c r="I342" s="1">
        <v>2</v>
      </c>
      <c r="J342" s="1">
        <v>0.34</v>
      </c>
      <c r="K342" s="19">
        <v>0.33329999999999999</v>
      </c>
      <c r="L342" s="21">
        <v>0.34</v>
      </c>
      <c r="M342" s="21">
        <v>0.19400000000000001</v>
      </c>
      <c r="N342" s="21">
        <v>33</v>
      </c>
      <c r="O342" s="21">
        <v>95</v>
      </c>
      <c r="P342" s="22">
        <v>128</v>
      </c>
    </row>
    <row r="343" spans="1:16">
      <c r="A343" s="1">
        <v>342</v>
      </c>
      <c r="B343" s="2">
        <v>40558</v>
      </c>
      <c r="C343" s="1">
        <v>1</v>
      </c>
      <c r="D343" s="1">
        <v>0</v>
      </c>
      <c r="E343" s="1">
        <v>1</v>
      </c>
      <c r="F343" s="1">
        <v>17</v>
      </c>
      <c r="G343" s="1" t="b">
        <v>0</v>
      </c>
      <c r="H343" s="1">
        <v>6</v>
      </c>
      <c r="I343" s="1">
        <v>2</v>
      </c>
      <c r="J343" s="1">
        <v>0.32</v>
      </c>
      <c r="K343" s="20">
        <v>0.30299999999999999</v>
      </c>
      <c r="L343" s="23">
        <v>0.36</v>
      </c>
      <c r="M343" s="23">
        <v>0.28360000000000002</v>
      </c>
      <c r="N343" s="23">
        <v>29</v>
      </c>
      <c r="O343" s="23">
        <v>54</v>
      </c>
      <c r="P343" s="24">
        <v>83</v>
      </c>
    </row>
    <row r="344" spans="1:16">
      <c r="A344" s="1">
        <v>343</v>
      </c>
      <c r="B344" s="2">
        <v>40558</v>
      </c>
      <c r="C344" s="1">
        <v>1</v>
      </c>
      <c r="D344" s="1">
        <v>0</v>
      </c>
      <c r="E344" s="1">
        <v>1</v>
      </c>
      <c r="F344" s="1">
        <v>18</v>
      </c>
      <c r="G344" s="1" t="b">
        <v>0</v>
      </c>
      <c r="H344" s="1">
        <v>6</v>
      </c>
      <c r="I344" s="1">
        <v>2</v>
      </c>
      <c r="J344" s="1">
        <v>0.3</v>
      </c>
      <c r="K344" s="19">
        <v>0.28789999999999999</v>
      </c>
      <c r="L344" s="21">
        <v>0.45</v>
      </c>
      <c r="M344" s="21">
        <v>0.25369999999999998</v>
      </c>
      <c r="N344" s="21">
        <v>15</v>
      </c>
      <c r="O344" s="21">
        <v>69</v>
      </c>
      <c r="P344" s="22">
        <v>84</v>
      </c>
    </row>
    <row r="345" spans="1:16">
      <c r="A345" s="1">
        <v>344</v>
      </c>
      <c r="B345" s="2">
        <v>40558</v>
      </c>
      <c r="C345" s="1">
        <v>1</v>
      </c>
      <c r="D345" s="1">
        <v>0</v>
      </c>
      <c r="E345" s="1">
        <v>1</v>
      </c>
      <c r="F345" s="1">
        <v>19</v>
      </c>
      <c r="G345" s="1" t="b">
        <v>0</v>
      </c>
      <c r="H345" s="1">
        <v>6</v>
      </c>
      <c r="I345" s="1">
        <v>2</v>
      </c>
      <c r="J345" s="1">
        <v>0.32</v>
      </c>
      <c r="K345" s="20">
        <v>0.30299999999999999</v>
      </c>
      <c r="L345" s="23">
        <v>0.39</v>
      </c>
      <c r="M345" s="23">
        <v>0.25369999999999998</v>
      </c>
      <c r="N345" s="23">
        <v>14</v>
      </c>
      <c r="O345" s="23">
        <v>60</v>
      </c>
      <c r="P345" s="24">
        <v>74</v>
      </c>
    </row>
    <row r="346" spans="1:16">
      <c r="A346" s="1">
        <v>345</v>
      </c>
      <c r="B346" s="2">
        <v>40558</v>
      </c>
      <c r="C346" s="1">
        <v>1</v>
      </c>
      <c r="D346" s="1">
        <v>0</v>
      </c>
      <c r="E346" s="1">
        <v>1</v>
      </c>
      <c r="F346" s="1">
        <v>20</v>
      </c>
      <c r="G346" s="1" t="b">
        <v>0</v>
      </c>
      <c r="H346" s="1">
        <v>6</v>
      </c>
      <c r="I346" s="1">
        <v>2</v>
      </c>
      <c r="J346" s="1">
        <v>0.32</v>
      </c>
      <c r="K346" s="19">
        <v>0.30299999999999999</v>
      </c>
      <c r="L346" s="21">
        <v>0.39</v>
      </c>
      <c r="M346" s="21">
        <v>0.25369999999999998</v>
      </c>
      <c r="N346" s="21">
        <v>6</v>
      </c>
      <c r="O346" s="21">
        <v>35</v>
      </c>
      <c r="P346" s="22">
        <v>41</v>
      </c>
    </row>
    <row r="347" spans="1:16">
      <c r="A347" s="1">
        <v>346</v>
      </c>
      <c r="B347" s="2">
        <v>40558</v>
      </c>
      <c r="C347" s="1">
        <v>1</v>
      </c>
      <c r="D347" s="1">
        <v>0</v>
      </c>
      <c r="E347" s="1">
        <v>1</v>
      </c>
      <c r="F347" s="1">
        <v>21</v>
      </c>
      <c r="G347" s="1" t="b">
        <v>0</v>
      </c>
      <c r="H347" s="1">
        <v>6</v>
      </c>
      <c r="I347" s="1">
        <v>2</v>
      </c>
      <c r="J347" s="1">
        <v>0.32</v>
      </c>
      <c r="K347" s="20">
        <v>0.30299999999999999</v>
      </c>
      <c r="L347" s="23">
        <v>0.39</v>
      </c>
      <c r="M347" s="23">
        <v>0.22389999999999999</v>
      </c>
      <c r="N347" s="23">
        <v>6</v>
      </c>
      <c r="O347" s="23">
        <v>51</v>
      </c>
      <c r="P347" s="24">
        <v>57</v>
      </c>
    </row>
    <row r="348" spans="1:16">
      <c r="A348" s="1">
        <v>347</v>
      </c>
      <c r="B348" s="2">
        <v>40558</v>
      </c>
      <c r="C348" s="1">
        <v>1</v>
      </c>
      <c r="D348" s="1">
        <v>0</v>
      </c>
      <c r="E348" s="1">
        <v>1</v>
      </c>
      <c r="F348" s="1">
        <v>22</v>
      </c>
      <c r="G348" s="1" t="b">
        <v>0</v>
      </c>
      <c r="H348" s="1">
        <v>6</v>
      </c>
      <c r="I348" s="1">
        <v>2</v>
      </c>
      <c r="J348" s="1">
        <v>0.3</v>
      </c>
      <c r="K348" s="19">
        <v>0.31819999999999998</v>
      </c>
      <c r="L348" s="21">
        <v>0.42</v>
      </c>
      <c r="M348" s="21">
        <v>0.1045</v>
      </c>
      <c r="N348" s="21">
        <v>0</v>
      </c>
      <c r="O348" s="21">
        <v>26</v>
      </c>
      <c r="P348" s="22">
        <v>26</v>
      </c>
    </row>
    <row r="349" spans="1:16">
      <c r="A349" s="1">
        <v>348</v>
      </c>
      <c r="B349" s="2">
        <v>40558</v>
      </c>
      <c r="C349" s="1">
        <v>1</v>
      </c>
      <c r="D349" s="1">
        <v>0</v>
      </c>
      <c r="E349" s="1">
        <v>1</v>
      </c>
      <c r="F349" s="1">
        <v>23</v>
      </c>
      <c r="G349" s="1" t="b">
        <v>0</v>
      </c>
      <c r="H349" s="1">
        <v>6</v>
      </c>
      <c r="I349" s="1">
        <v>1</v>
      </c>
      <c r="J349" s="1">
        <v>0.3</v>
      </c>
      <c r="K349" s="20">
        <v>0.28789999999999999</v>
      </c>
      <c r="L349" s="23">
        <v>0.45</v>
      </c>
      <c r="M349" s="23">
        <v>0.28360000000000002</v>
      </c>
      <c r="N349" s="23">
        <v>5</v>
      </c>
      <c r="O349" s="23">
        <v>39</v>
      </c>
      <c r="P349" s="24">
        <v>44</v>
      </c>
    </row>
    <row r="350" spans="1:16">
      <c r="A350" s="1">
        <v>349</v>
      </c>
      <c r="B350" s="2">
        <v>40559</v>
      </c>
      <c r="C350" s="1">
        <v>1</v>
      </c>
      <c r="D350" s="1">
        <v>0</v>
      </c>
      <c r="E350" s="1">
        <v>1</v>
      </c>
      <c r="F350" s="1">
        <v>0</v>
      </c>
      <c r="G350" s="1" t="b">
        <v>0</v>
      </c>
      <c r="H350" s="1">
        <v>0</v>
      </c>
      <c r="I350" s="1">
        <v>1</v>
      </c>
      <c r="J350" s="1">
        <v>0.26</v>
      </c>
      <c r="K350" s="19">
        <v>0.30299999999999999</v>
      </c>
      <c r="L350" s="21">
        <v>0.56000000000000005</v>
      </c>
      <c r="M350" s="21">
        <v>0</v>
      </c>
      <c r="N350" s="21">
        <v>6</v>
      </c>
      <c r="O350" s="21">
        <v>33</v>
      </c>
      <c r="P350" s="22">
        <v>39</v>
      </c>
    </row>
    <row r="351" spans="1:16">
      <c r="A351" s="1">
        <v>350</v>
      </c>
      <c r="B351" s="2">
        <v>40559</v>
      </c>
      <c r="C351" s="1">
        <v>1</v>
      </c>
      <c r="D351" s="1">
        <v>0</v>
      </c>
      <c r="E351" s="1">
        <v>1</v>
      </c>
      <c r="F351" s="1">
        <v>1</v>
      </c>
      <c r="G351" s="1" t="b">
        <v>0</v>
      </c>
      <c r="H351" s="1">
        <v>0</v>
      </c>
      <c r="I351" s="1">
        <v>1</v>
      </c>
      <c r="J351" s="1">
        <v>0.26</v>
      </c>
      <c r="K351" s="20">
        <v>0.2727</v>
      </c>
      <c r="L351" s="23">
        <v>0.56000000000000005</v>
      </c>
      <c r="M351" s="23">
        <v>0.1343</v>
      </c>
      <c r="N351" s="23">
        <v>4</v>
      </c>
      <c r="O351" s="23">
        <v>19</v>
      </c>
      <c r="P351" s="24">
        <v>23</v>
      </c>
    </row>
    <row r="352" spans="1:16">
      <c r="A352" s="1">
        <v>351</v>
      </c>
      <c r="B352" s="2">
        <v>40559</v>
      </c>
      <c r="C352" s="1">
        <v>1</v>
      </c>
      <c r="D352" s="1">
        <v>0</v>
      </c>
      <c r="E352" s="1">
        <v>1</v>
      </c>
      <c r="F352" s="1">
        <v>2</v>
      </c>
      <c r="G352" s="1" t="b">
        <v>0</v>
      </c>
      <c r="H352" s="1">
        <v>0</v>
      </c>
      <c r="I352" s="1">
        <v>1</v>
      </c>
      <c r="J352" s="1">
        <v>0.26</v>
      </c>
      <c r="K352" s="19">
        <v>0.28789999999999999</v>
      </c>
      <c r="L352" s="21">
        <v>0.56000000000000005</v>
      </c>
      <c r="M352" s="21">
        <v>8.9599999999999999E-2</v>
      </c>
      <c r="N352" s="21">
        <v>3</v>
      </c>
      <c r="O352" s="21">
        <v>13</v>
      </c>
      <c r="P352" s="22">
        <v>16</v>
      </c>
    </row>
    <row r="353" spans="1:16">
      <c r="A353" s="1">
        <v>352</v>
      </c>
      <c r="B353" s="2">
        <v>40559</v>
      </c>
      <c r="C353" s="1">
        <v>1</v>
      </c>
      <c r="D353" s="1">
        <v>0</v>
      </c>
      <c r="E353" s="1">
        <v>1</v>
      </c>
      <c r="F353" s="1">
        <v>3</v>
      </c>
      <c r="G353" s="1" t="b">
        <v>0</v>
      </c>
      <c r="H353" s="1">
        <v>0</v>
      </c>
      <c r="I353" s="1">
        <v>1</v>
      </c>
      <c r="J353" s="1">
        <v>0.22</v>
      </c>
      <c r="K353" s="20">
        <v>0.2727</v>
      </c>
      <c r="L353" s="23">
        <v>0.69</v>
      </c>
      <c r="M353" s="23">
        <v>0</v>
      </c>
      <c r="N353" s="23">
        <v>9</v>
      </c>
      <c r="O353" s="23">
        <v>6</v>
      </c>
      <c r="P353" s="24">
        <v>15</v>
      </c>
    </row>
    <row r="354" spans="1:16">
      <c r="A354" s="1">
        <v>353</v>
      </c>
      <c r="B354" s="2">
        <v>40559</v>
      </c>
      <c r="C354" s="1">
        <v>1</v>
      </c>
      <c r="D354" s="1">
        <v>0</v>
      </c>
      <c r="E354" s="1">
        <v>1</v>
      </c>
      <c r="F354" s="1">
        <v>4</v>
      </c>
      <c r="G354" s="1" t="b">
        <v>0</v>
      </c>
      <c r="H354" s="1">
        <v>0</v>
      </c>
      <c r="I354" s="1">
        <v>1</v>
      </c>
      <c r="J354" s="1">
        <v>0.26</v>
      </c>
      <c r="K354" s="19">
        <v>0.2576</v>
      </c>
      <c r="L354" s="21">
        <v>0.56000000000000005</v>
      </c>
      <c r="M354" s="21">
        <v>0.16420000000000001</v>
      </c>
      <c r="N354" s="21">
        <v>0</v>
      </c>
      <c r="O354" s="21">
        <v>1</v>
      </c>
      <c r="P354" s="22">
        <v>1</v>
      </c>
    </row>
    <row r="355" spans="1:16">
      <c r="A355" s="1">
        <v>354</v>
      </c>
      <c r="B355" s="2">
        <v>40559</v>
      </c>
      <c r="C355" s="1">
        <v>1</v>
      </c>
      <c r="D355" s="1">
        <v>0</v>
      </c>
      <c r="E355" s="1">
        <v>1</v>
      </c>
      <c r="F355" s="1">
        <v>5</v>
      </c>
      <c r="G355" s="1" t="b">
        <v>0</v>
      </c>
      <c r="H355" s="1">
        <v>0</v>
      </c>
      <c r="I355" s="1">
        <v>2</v>
      </c>
      <c r="J355" s="1">
        <v>0.26</v>
      </c>
      <c r="K355" s="20">
        <v>0.2576</v>
      </c>
      <c r="L355" s="23">
        <v>0.56000000000000005</v>
      </c>
      <c r="M355" s="23">
        <v>0.16420000000000001</v>
      </c>
      <c r="N355" s="23">
        <v>1</v>
      </c>
      <c r="O355" s="23">
        <v>1</v>
      </c>
      <c r="P355" s="24">
        <v>2</v>
      </c>
    </row>
    <row r="356" spans="1:16">
      <c r="A356" s="1">
        <v>355</v>
      </c>
      <c r="B356" s="2">
        <v>40559</v>
      </c>
      <c r="C356" s="1">
        <v>1</v>
      </c>
      <c r="D356" s="1">
        <v>0</v>
      </c>
      <c r="E356" s="1">
        <v>1</v>
      </c>
      <c r="F356" s="1">
        <v>6</v>
      </c>
      <c r="G356" s="1" t="b">
        <v>0</v>
      </c>
      <c r="H356" s="1">
        <v>0</v>
      </c>
      <c r="I356" s="1">
        <v>2</v>
      </c>
      <c r="J356" s="1">
        <v>0.26</v>
      </c>
      <c r="K356" s="19">
        <v>0.2576</v>
      </c>
      <c r="L356" s="21">
        <v>0.56000000000000005</v>
      </c>
      <c r="M356" s="21">
        <v>0.16420000000000001</v>
      </c>
      <c r="N356" s="21">
        <v>0</v>
      </c>
      <c r="O356" s="21">
        <v>1</v>
      </c>
      <c r="P356" s="22">
        <v>1</v>
      </c>
    </row>
    <row r="357" spans="1:16">
      <c r="A357" s="1">
        <v>356</v>
      </c>
      <c r="B357" s="2">
        <v>40559</v>
      </c>
      <c r="C357" s="1">
        <v>1</v>
      </c>
      <c r="D357" s="1">
        <v>0</v>
      </c>
      <c r="E357" s="1">
        <v>1</v>
      </c>
      <c r="F357" s="1">
        <v>7</v>
      </c>
      <c r="G357" s="1" t="b">
        <v>0</v>
      </c>
      <c r="H357" s="1">
        <v>0</v>
      </c>
      <c r="I357" s="1">
        <v>2</v>
      </c>
      <c r="J357" s="1">
        <v>0.24</v>
      </c>
      <c r="K357" s="20">
        <v>0.21210000000000001</v>
      </c>
      <c r="L357" s="23">
        <v>0.56000000000000005</v>
      </c>
      <c r="M357" s="23">
        <v>0.29849999999999999</v>
      </c>
      <c r="N357" s="23">
        <v>0</v>
      </c>
      <c r="O357" s="23">
        <v>3</v>
      </c>
      <c r="P357" s="24">
        <v>3</v>
      </c>
    </row>
    <row r="358" spans="1:16">
      <c r="A358" s="1">
        <v>357</v>
      </c>
      <c r="B358" s="2">
        <v>40559</v>
      </c>
      <c r="C358" s="1">
        <v>1</v>
      </c>
      <c r="D358" s="1">
        <v>0</v>
      </c>
      <c r="E358" s="1">
        <v>1</v>
      </c>
      <c r="F358" s="1">
        <v>8</v>
      </c>
      <c r="G358" s="1" t="b">
        <v>0</v>
      </c>
      <c r="H358" s="1">
        <v>0</v>
      </c>
      <c r="I358" s="1">
        <v>1</v>
      </c>
      <c r="J358" s="1">
        <v>0.22</v>
      </c>
      <c r="K358" s="19">
        <v>0.21210000000000001</v>
      </c>
      <c r="L358" s="21">
        <v>0.55000000000000004</v>
      </c>
      <c r="M358" s="21">
        <v>0.28360000000000002</v>
      </c>
      <c r="N358" s="21">
        <v>0</v>
      </c>
      <c r="O358" s="21">
        <v>18</v>
      </c>
      <c r="P358" s="22">
        <v>18</v>
      </c>
    </row>
    <row r="359" spans="1:16">
      <c r="A359" s="1">
        <v>358</v>
      </c>
      <c r="B359" s="2">
        <v>40559</v>
      </c>
      <c r="C359" s="1">
        <v>1</v>
      </c>
      <c r="D359" s="1">
        <v>0</v>
      </c>
      <c r="E359" s="1">
        <v>1</v>
      </c>
      <c r="F359" s="1">
        <v>9</v>
      </c>
      <c r="G359" s="1" t="b">
        <v>0</v>
      </c>
      <c r="H359" s="1">
        <v>0</v>
      </c>
      <c r="I359" s="1">
        <v>1</v>
      </c>
      <c r="J359" s="1">
        <v>0.22</v>
      </c>
      <c r="K359" s="20">
        <v>0.21210000000000001</v>
      </c>
      <c r="L359" s="23">
        <v>0.51</v>
      </c>
      <c r="M359" s="23">
        <v>0.25369999999999998</v>
      </c>
      <c r="N359" s="23">
        <v>3</v>
      </c>
      <c r="O359" s="23">
        <v>29</v>
      </c>
      <c r="P359" s="24">
        <v>32</v>
      </c>
    </row>
    <row r="360" spans="1:16">
      <c r="A360" s="1">
        <v>359</v>
      </c>
      <c r="B360" s="2">
        <v>40559</v>
      </c>
      <c r="C360" s="1">
        <v>1</v>
      </c>
      <c r="D360" s="1">
        <v>0</v>
      </c>
      <c r="E360" s="1">
        <v>1</v>
      </c>
      <c r="F360" s="1">
        <v>10</v>
      </c>
      <c r="G360" s="1" t="b">
        <v>0</v>
      </c>
      <c r="H360" s="1">
        <v>0</v>
      </c>
      <c r="I360" s="1">
        <v>1</v>
      </c>
      <c r="J360" s="1">
        <v>0.22</v>
      </c>
      <c r="K360" s="19">
        <v>0.21210000000000001</v>
      </c>
      <c r="L360" s="21">
        <v>0.51</v>
      </c>
      <c r="M360" s="21">
        <v>0.28360000000000002</v>
      </c>
      <c r="N360" s="21">
        <v>8</v>
      </c>
      <c r="O360" s="21">
        <v>71</v>
      </c>
      <c r="P360" s="22">
        <v>79</v>
      </c>
    </row>
    <row r="361" spans="1:16">
      <c r="A361" s="1">
        <v>360</v>
      </c>
      <c r="B361" s="2">
        <v>40559</v>
      </c>
      <c r="C361" s="1">
        <v>1</v>
      </c>
      <c r="D361" s="1">
        <v>0</v>
      </c>
      <c r="E361" s="1">
        <v>1</v>
      </c>
      <c r="F361" s="1">
        <v>11</v>
      </c>
      <c r="G361" s="1" t="b">
        <v>0</v>
      </c>
      <c r="H361" s="1">
        <v>0</v>
      </c>
      <c r="I361" s="1">
        <v>1</v>
      </c>
      <c r="J361" s="1">
        <v>0.24</v>
      </c>
      <c r="K361" s="20">
        <v>0.2273</v>
      </c>
      <c r="L361" s="23">
        <v>0.44</v>
      </c>
      <c r="M361" s="23">
        <v>0.25369999999999998</v>
      </c>
      <c r="N361" s="23">
        <v>23</v>
      </c>
      <c r="O361" s="23">
        <v>70</v>
      </c>
      <c r="P361" s="24">
        <v>93</v>
      </c>
    </row>
    <row r="362" spans="1:16">
      <c r="A362" s="1">
        <v>361</v>
      </c>
      <c r="B362" s="2">
        <v>40559</v>
      </c>
      <c r="C362" s="1">
        <v>1</v>
      </c>
      <c r="D362" s="1">
        <v>0</v>
      </c>
      <c r="E362" s="1">
        <v>1</v>
      </c>
      <c r="F362" s="1">
        <v>12</v>
      </c>
      <c r="G362" s="1" t="b">
        <v>0</v>
      </c>
      <c r="H362" s="1">
        <v>0</v>
      </c>
      <c r="I362" s="1">
        <v>1</v>
      </c>
      <c r="J362" s="1">
        <v>0.24</v>
      </c>
      <c r="K362" s="19">
        <v>0.21210000000000001</v>
      </c>
      <c r="L362" s="21">
        <v>0.41</v>
      </c>
      <c r="M362" s="21">
        <v>0.28360000000000002</v>
      </c>
      <c r="N362" s="21">
        <v>29</v>
      </c>
      <c r="O362" s="21">
        <v>75</v>
      </c>
      <c r="P362" s="22">
        <v>104</v>
      </c>
    </row>
    <row r="363" spans="1:16">
      <c r="A363" s="1">
        <v>362</v>
      </c>
      <c r="B363" s="2">
        <v>40559</v>
      </c>
      <c r="C363" s="1">
        <v>1</v>
      </c>
      <c r="D363" s="1">
        <v>0</v>
      </c>
      <c r="E363" s="1">
        <v>1</v>
      </c>
      <c r="F363" s="1">
        <v>13</v>
      </c>
      <c r="G363" s="1" t="b">
        <v>0</v>
      </c>
      <c r="H363" s="1">
        <v>0</v>
      </c>
      <c r="I363" s="1">
        <v>1</v>
      </c>
      <c r="J363" s="1">
        <v>0.26</v>
      </c>
      <c r="K363" s="20">
        <v>0.2273</v>
      </c>
      <c r="L363" s="23">
        <v>0.35</v>
      </c>
      <c r="M363" s="23">
        <v>0.29849999999999999</v>
      </c>
      <c r="N363" s="23">
        <v>23</v>
      </c>
      <c r="O363" s="23">
        <v>95</v>
      </c>
      <c r="P363" s="24">
        <v>118</v>
      </c>
    </row>
    <row r="364" spans="1:16">
      <c r="A364" s="1">
        <v>363</v>
      </c>
      <c r="B364" s="2">
        <v>40559</v>
      </c>
      <c r="C364" s="1">
        <v>1</v>
      </c>
      <c r="D364" s="1">
        <v>0</v>
      </c>
      <c r="E364" s="1">
        <v>1</v>
      </c>
      <c r="F364" s="1">
        <v>14</v>
      </c>
      <c r="G364" s="1" t="b">
        <v>0</v>
      </c>
      <c r="H364" s="1">
        <v>0</v>
      </c>
      <c r="I364" s="1">
        <v>1</v>
      </c>
      <c r="J364" s="1">
        <v>0.28000000000000003</v>
      </c>
      <c r="K364" s="19">
        <v>0.2727</v>
      </c>
      <c r="L364" s="21">
        <v>0.36</v>
      </c>
      <c r="M364" s="21">
        <v>0.25369999999999998</v>
      </c>
      <c r="N364" s="21">
        <v>22</v>
      </c>
      <c r="O364" s="21">
        <v>69</v>
      </c>
      <c r="P364" s="22">
        <v>91</v>
      </c>
    </row>
    <row r="365" spans="1:16">
      <c r="A365" s="1">
        <v>364</v>
      </c>
      <c r="B365" s="2">
        <v>40559</v>
      </c>
      <c r="C365" s="1">
        <v>1</v>
      </c>
      <c r="D365" s="1">
        <v>0</v>
      </c>
      <c r="E365" s="1">
        <v>1</v>
      </c>
      <c r="F365" s="1">
        <v>15</v>
      </c>
      <c r="G365" s="1" t="b">
        <v>0</v>
      </c>
      <c r="H365" s="1">
        <v>0</v>
      </c>
      <c r="I365" s="1">
        <v>1</v>
      </c>
      <c r="J365" s="1">
        <v>0.26</v>
      </c>
      <c r="K365" s="20">
        <v>0.2424</v>
      </c>
      <c r="L365" s="23">
        <v>0.38</v>
      </c>
      <c r="M365" s="23">
        <v>0.25369999999999998</v>
      </c>
      <c r="N365" s="23">
        <v>35</v>
      </c>
      <c r="O365" s="23">
        <v>78</v>
      </c>
      <c r="P365" s="24">
        <v>113</v>
      </c>
    </row>
    <row r="366" spans="1:16">
      <c r="A366" s="1">
        <v>365</v>
      </c>
      <c r="B366" s="2">
        <v>40559</v>
      </c>
      <c r="C366" s="1">
        <v>1</v>
      </c>
      <c r="D366" s="1">
        <v>0</v>
      </c>
      <c r="E366" s="1">
        <v>1</v>
      </c>
      <c r="F366" s="1">
        <v>16</v>
      </c>
      <c r="G366" s="1" t="b">
        <v>0</v>
      </c>
      <c r="H366" s="1">
        <v>0</v>
      </c>
      <c r="I366" s="1">
        <v>1</v>
      </c>
      <c r="J366" s="1">
        <v>0.24</v>
      </c>
      <c r="K366" s="19">
        <v>0.2273</v>
      </c>
      <c r="L366" s="21">
        <v>0.38</v>
      </c>
      <c r="M366" s="21">
        <v>0.22389999999999999</v>
      </c>
      <c r="N366" s="21">
        <v>22</v>
      </c>
      <c r="O366" s="21">
        <v>77</v>
      </c>
      <c r="P366" s="22">
        <v>99</v>
      </c>
    </row>
    <row r="367" spans="1:16">
      <c r="A367" s="1">
        <v>366</v>
      </c>
      <c r="B367" s="2">
        <v>40559</v>
      </c>
      <c r="C367" s="1">
        <v>1</v>
      </c>
      <c r="D367" s="1">
        <v>0</v>
      </c>
      <c r="E367" s="1">
        <v>1</v>
      </c>
      <c r="F367" s="1">
        <v>17</v>
      </c>
      <c r="G367" s="1" t="b">
        <v>0</v>
      </c>
      <c r="H367" s="1">
        <v>0</v>
      </c>
      <c r="I367" s="1">
        <v>1</v>
      </c>
      <c r="J367" s="1">
        <v>0.22</v>
      </c>
      <c r="K367" s="20">
        <v>0.21210000000000001</v>
      </c>
      <c r="L367" s="23">
        <v>0.37</v>
      </c>
      <c r="M367" s="23">
        <v>0.25369999999999998</v>
      </c>
      <c r="N367" s="23">
        <v>23</v>
      </c>
      <c r="O367" s="23">
        <v>82</v>
      </c>
      <c r="P367" s="24">
        <v>105</v>
      </c>
    </row>
    <row r="368" spans="1:16">
      <c r="A368" s="1">
        <v>367</v>
      </c>
      <c r="B368" s="2">
        <v>40559</v>
      </c>
      <c r="C368" s="1">
        <v>1</v>
      </c>
      <c r="D368" s="1">
        <v>0</v>
      </c>
      <c r="E368" s="1">
        <v>1</v>
      </c>
      <c r="F368" s="1">
        <v>18</v>
      </c>
      <c r="G368" s="1" t="b">
        <v>0</v>
      </c>
      <c r="H368" s="1">
        <v>0</v>
      </c>
      <c r="I368" s="1">
        <v>1</v>
      </c>
      <c r="J368" s="1">
        <v>0.2</v>
      </c>
      <c r="K368" s="19">
        <v>0.21210000000000001</v>
      </c>
      <c r="L368" s="21">
        <v>0.4</v>
      </c>
      <c r="M368" s="21">
        <v>0.16420000000000001</v>
      </c>
      <c r="N368" s="21">
        <v>11</v>
      </c>
      <c r="O368" s="21">
        <v>56</v>
      </c>
      <c r="P368" s="22">
        <v>67</v>
      </c>
    </row>
    <row r="369" spans="1:16">
      <c r="A369" s="1">
        <v>368</v>
      </c>
      <c r="B369" s="2">
        <v>40559</v>
      </c>
      <c r="C369" s="1">
        <v>1</v>
      </c>
      <c r="D369" s="1">
        <v>0</v>
      </c>
      <c r="E369" s="1">
        <v>1</v>
      </c>
      <c r="F369" s="1">
        <v>19</v>
      </c>
      <c r="G369" s="1" t="b">
        <v>0</v>
      </c>
      <c r="H369" s="1">
        <v>0</v>
      </c>
      <c r="I369" s="1">
        <v>1</v>
      </c>
      <c r="J369" s="1">
        <v>0.18</v>
      </c>
      <c r="K369" s="20">
        <v>0.19700000000000001</v>
      </c>
      <c r="L369" s="23">
        <v>0.47</v>
      </c>
      <c r="M369" s="23">
        <v>0.1343</v>
      </c>
      <c r="N369" s="23">
        <v>14</v>
      </c>
      <c r="O369" s="23">
        <v>47</v>
      </c>
      <c r="P369" s="24">
        <v>61</v>
      </c>
    </row>
    <row r="370" spans="1:16">
      <c r="A370" s="1">
        <v>369</v>
      </c>
      <c r="B370" s="2">
        <v>40559</v>
      </c>
      <c r="C370" s="1">
        <v>1</v>
      </c>
      <c r="D370" s="1">
        <v>0</v>
      </c>
      <c r="E370" s="1">
        <v>1</v>
      </c>
      <c r="F370" s="1">
        <v>20</v>
      </c>
      <c r="G370" s="1" t="b">
        <v>0</v>
      </c>
      <c r="H370" s="1">
        <v>0</v>
      </c>
      <c r="I370" s="1">
        <v>1</v>
      </c>
      <c r="J370" s="1">
        <v>0.18</v>
      </c>
      <c r="K370" s="19">
        <v>0.19700000000000001</v>
      </c>
      <c r="L370" s="21">
        <v>0.47</v>
      </c>
      <c r="M370" s="21">
        <v>0.16420000000000001</v>
      </c>
      <c r="N370" s="21">
        <v>7</v>
      </c>
      <c r="O370" s="21">
        <v>50</v>
      </c>
      <c r="P370" s="22">
        <v>57</v>
      </c>
    </row>
    <row r="371" spans="1:16">
      <c r="A371" s="1">
        <v>370</v>
      </c>
      <c r="B371" s="2">
        <v>40559</v>
      </c>
      <c r="C371" s="1">
        <v>1</v>
      </c>
      <c r="D371" s="1">
        <v>0</v>
      </c>
      <c r="E371" s="1">
        <v>1</v>
      </c>
      <c r="F371" s="1">
        <v>21</v>
      </c>
      <c r="G371" s="1" t="b">
        <v>0</v>
      </c>
      <c r="H371" s="1">
        <v>0</v>
      </c>
      <c r="I371" s="1">
        <v>1</v>
      </c>
      <c r="J371" s="1">
        <v>0.18</v>
      </c>
      <c r="K371" s="20">
        <v>0.19700000000000001</v>
      </c>
      <c r="L371" s="23">
        <v>0.51</v>
      </c>
      <c r="M371" s="23">
        <v>0.16420000000000001</v>
      </c>
      <c r="N371" s="23">
        <v>6</v>
      </c>
      <c r="O371" s="23">
        <v>22</v>
      </c>
      <c r="P371" s="24">
        <v>28</v>
      </c>
    </row>
    <row r="372" spans="1:16">
      <c r="A372" s="1">
        <v>371</v>
      </c>
      <c r="B372" s="2">
        <v>40559</v>
      </c>
      <c r="C372" s="1">
        <v>1</v>
      </c>
      <c r="D372" s="1">
        <v>0</v>
      </c>
      <c r="E372" s="1">
        <v>1</v>
      </c>
      <c r="F372" s="1">
        <v>22</v>
      </c>
      <c r="G372" s="1" t="b">
        <v>0</v>
      </c>
      <c r="H372" s="1">
        <v>0</v>
      </c>
      <c r="I372" s="1">
        <v>2</v>
      </c>
      <c r="J372" s="1">
        <v>0.2</v>
      </c>
      <c r="K372" s="19">
        <v>0.21210000000000001</v>
      </c>
      <c r="L372" s="21">
        <v>0.49</v>
      </c>
      <c r="M372" s="21">
        <v>0.1343</v>
      </c>
      <c r="N372" s="21">
        <v>2</v>
      </c>
      <c r="O372" s="21">
        <v>19</v>
      </c>
      <c r="P372" s="22">
        <v>21</v>
      </c>
    </row>
    <row r="373" spans="1:16">
      <c r="A373" s="1">
        <v>372</v>
      </c>
      <c r="B373" s="2">
        <v>40559</v>
      </c>
      <c r="C373" s="1">
        <v>1</v>
      </c>
      <c r="D373" s="1">
        <v>0</v>
      </c>
      <c r="E373" s="1">
        <v>1</v>
      </c>
      <c r="F373" s="1">
        <v>23</v>
      </c>
      <c r="G373" s="1" t="b">
        <v>0</v>
      </c>
      <c r="H373" s="1">
        <v>0</v>
      </c>
      <c r="I373" s="1">
        <v>2</v>
      </c>
      <c r="J373" s="1">
        <v>0.2</v>
      </c>
      <c r="K373" s="20">
        <v>0.2273</v>
      </c>
      <c r="L373" s="23">
        <v>0.4</v>
      </c>
      <c r="M373" s="23">
        <v>0.1045</v>
      </c>
      <c r="N373" s="23">
        <v>0</v>
      </c>
      <c r="O373" s="23">
        <v>18</v>
      </c>
      <c r="P373" s="24">
        <v>18</v>
      </c>
    </row>
    <row r="374" spans="1:16">
      <c r="A374" s="1">
        <v>373</v>
      </c>
      <c r="B374" s="2">
        <v>40560</v>
      </c>
      <c r="C374" s="1">
        <v>1</v>
      </c>
      <c r="D374" s="1">
        <v>0</v>
      </c>
      <c r="E374" s="1">
        <v>1</v>
      </c>
      <c r="F374" s="1">
        <v>0</v>
      </c>
      <c r="G374" s="1" t="b">
        <v>1</v>
      </c>
      <c r="H374" s="1">
        <v>1</v>
      </c>
      <c r="I374" s="1">
        <v>2</v>
      </c>
      <c r="J374" s="1">
        <v>0.2</v>
      </c>
      <c r="K374" s="19">
        <v>0.19700000000000001</v>
      </c>
      <c r="L374" s="21">
        <v>0.47</v>
      </c>
      <c r="M374" s="21">
        <v>0.22389999999999999</v>
      </c>
      <c r="N374" s="21">
        <v>1</v>
      </c>
      <c r="O374" s="21">
        <v>16</v>
      </c>
      <c r="P374" s="22">
        <v>17</v>
      </c>
    </row>
    <row r="375" spans="1:16">
      <c r="A375" s="1">
        <v>374</v>
      </c>
      <c r="B375" s="2">
        <v>40560</v>
      </c>
      <c r="C375" s="1">
        <v>1</v>
      </c>
      <c r="D375" s="1">
        <v>0</v>
      </c>
      <c r="E375" s="1">
        <v>1</v>
      </c>
      <c r="F375" s="1">
        <v>1</v>
      </c>
      <c r="G375" s="1" t="b">
        <v>1</v>
      </c>
      <c r="H375" s="1">
        <v>1</v>
      </c>
      <c r="I375" s="1">
        <v>2</v>
      </c>
      <c r="J375" s="1">
        <v>0.2</v>
      </c>
      <c r="K375" s="20">
        <v>0.19700000000000001</v>
      </c>
      <c r="L375" s="23">
        <v>0.44</v>
      </c>
      <c r="M375" s="23">
        <v>0.19400000000000001</v>
      </c>
      <c r="N375" s="23">
        <v>1</v>
      </c>
      <c r="O375" s="23">
        <v>15</v>
      </c>
      <c r="P375" s="24">
        <v>16</v>
      </c>
    </row>
    <row r="376" spans="1:16">
      <c r="A376" s="1">
        <v>375</v>
      </c>
      <c r="B376" s="2">
        <v>40560</v>
      </c>
      <c r="C376" s="1">
        <v>1</v>
      </c>
      <c r="D376" s="1">
        <v>0</v>
      </c>
      <c r="E376" s="1">
        <v>1</v>
      </c>
      <c r="F376" s="1">
        <v>2</v>
      </c>
      <c r="G376" s="1" t="b">
        <v>1</v>
      </c>
      <c r="H376" s="1">
        <v>1</v>
      </c>
      <c r="I376" s="1">
        <v>2</v>
      </c>
      <c r="J376" s="1">
        <v>0.18</v>
      </c>
      <c r="K376" s="19">
        <v>0.16669999999999999</v>
      </c>
      <c r="L376" s="21">
        <v>0.43</v>
      </c>
      <c r="M376" s="21">
        <v>0.25369999999999998</v>
      </c>
      <c r="N376" s="21">
        <v>0</v>
      </c>
      <c r="O376" s="21">
        <v>8</v>
      </c>
      <c r="P376" s="22">
        <v>8</v>
      </c>
    </row>
    <row r="377" spans="1:16">
      <c r="A377" s="1">
        <v>376</v>
      </c>
      <c r="B377" s="2">
        <v>40560</v>
      </c>
      <c r="C377" s="1">
        <v>1</v>
      </c>
      <c r="D377" s="1">
        <v>0</v>
      </c>
      <c r="E377" s="1">
        <v>1</v>
      </c>
      <c r="F377" s="1">
        <v>3</v>
      </c>
      <c r="G377" s="1" t="b">
        <v>1</v>
      </c>
      <c r="H377" s="1">
        <v>1</v>
      </c>
      <c r="I377" s="1">
        <v>2</v>
      </c>
      <c r="J377" s="1">
        <v>0.18</v>
      </c>
      <c r="K377" s="20">
        <v>0.18179999999999999</v>
      </c>
      <c r="L377" s="23">
        <v>0.43</v>
      </c>
      <c r="M377" s="23">
        <v>0.19400000000000001</v>
      </c>
      <c r="N377" s="23">
        <v>0</v>
      </c>
      <c r="O377" s="23">
        <v>2</v>
      </c>
      <c r="P377" s="24">
        <v>2</v>
      </c>
    </row>
    <row r="378" spans="1:16">
      <c r="A378" s="1">
        <v>377</v>
      </c>
      <c r="B378" s="2">
        <v>40560</v>
      </c>
      <c r="C378" s="1">
        <v>1</v>
      </c>
      <c r="D378" s="1">
        <v>0</v>
      </c>
      <c r="E378" s="1">
        <v>1</v>
      </c>
      <c r="F378" s="1">
        <v>4</v>
      </c>
      <c r="G378" s="1" t="b">
        <v>1</v>
      </c>
      <c r="H378" s="1">
        <v>1</v>
      </c>
      <c r="I378" s="1">
        <v>2</v>
      </c>
      <c r="J378" s="1">
        <v>0.18</v>
      </c>
      <c r="K378" s="19">
        <v>0.19700000000000001</v>
      </c>
      <c r="L378" s="21">
        <v>0.43</v>
      </c>
      <c r="M378" s="21">
        <v>0.1343</v>
      </c>
      <c r="N378" s="21">
        <v>1</v>
      </c>
      <c r="O378" s="21">
        <v>2</v>
      </c>
      <c r="P378" s="22">
        <v>3</v>
      </c>
    </row>
    <row r="379" spans="1:16">
      <c r="A379" s="1">
        <v>378</v>
      </c>
      <c r="B379" s="2">
        <v>40560</v>
      </c>
      <c r="C379" s="1">
        <v>1</v>
      </c>
      <c r="D379" s="1">
        <v>0</v>
      </c>
      <c r="E379" s="1">
        <v>1</v>
      </c>
      <c r="F379" s="1">
        <v>5</v>
      </c>
      <c r="G379" s="1" t="b">
        <v>1</v>
      </c>
      <c r="H379" s="1">
        <v>1</v>
      </c>
      <c r="I379" s="1">
        <v>2</v>
      </c>
      <c r="J379" s="1">
        <v>0.18</v>
      </c>
      <c r="K379" s="20">
        <v>0.19700000000000001</v>
      </c>
      <c r="L379" s="23">
        <v>0.43</v>
      </c>
      <c r="M379" s="23">
        <v>0.16420000000000001</v>
      </c>
      <c r="N379" s="23">
        <v>0</v>
      </c>
      <c r="O379" s="23">
        <v>1</v>
      </c>
      <c r="P379" s="24">
        <v>1</v>
      </c>
    </row>
    <row r="380" spans="1:16">
      <c r="A380" s="1">
        <v>379</v>
      </c>
      <c r="B380" s="2">
        <v>40560</v>
      </c>
      <c r="C380" s="1">
        <v>1</v>
      </c>
      <c r="D380" s="1">
        <v>0</v>
      </c>
      <c r="E380" s="1">
        <v>1</v>
      </c>
      <c r="F380" s="1">
        <v>6</v>
      </c>
      <c r="G380" s="1" t="b">
        <v>1</v>
      </c>
      <c r="H380" s="1">
        <v>1</v>
      </c>
      <c r="I380" s="1">
        <v>2</v>
      </c>
      <c r="J380" s="1">
        <v>0.18</v>
      </c>
      <c r="K380" s="19">
        <v>0.18179999999999999</v>
      </c>
      <c r="L380" s="21">
        <v>0.43</v>
      </c>
      <c r="M380" s="21">
        <v>0.19400000000000001</v>
      </c>
      <c r="N380" s="21">
        <v>0</v>
      </c>
      <c r="O380" s="21">
        <v>5</v>
      </c>
      <c r="P380" s="22">
        <v>5</v>
      </c>
    </row>
    <row r="381" spans="1:16">
      <c r="A381" s="1">
        <v>380</v>
      </c>
      <c r="B381" s="2">
        <v>40560</v>
      </c>
      <c r="C381" s="1">
        <v>1</v>
      </c>
      <c r="D381" s="1">
        <v>0</v>
      </c>
      <c r="E381" s="1">
        <v>1</v>
      </c>
      <c r="F381" s="1">
        <v>7</v>
      </c>
      <c r="G381" s="1" t="b">
        <v>1</v>
      </c>
      <c r="H381" s="1">
        <v>1</v>
      </c>
      <c r="I381" s="1">
        <v>2</v>
      </c>
      <c r="J381" s="1">
        <v>0.16</v>
      </c>
      <c r="K381" s="20">
        <v>0.18179999999999999</v>
      </c>
      <c r="L381" s="23">
        <v>0.5</v>
      </c>
      <c r="M381" s="23">
        <v>0.1343</v>
      </c>
      <c r="N381" s="23">
        <v>4</v>
      </c>
      <c r="O381" s="23">
        <v>9</v>
      </c>
      <c r="P381" s="24">
        <v>13</v>
      </c>
    </row>
    <row r="382" spans="1:16">
      <c r="A382" s="1">
        <v>381</v>
      </c>
      <c r="B382" s="2">
        <v>40560</v>
      </c>
      <c r="C382" s="1">
        <v>1</v>
      </c>
      <c r="D382" s="1">
        <v>0</v>
      </c>
      <c r="E382" s="1">
        <v>1</v>
      </c>
      <c r="F382" s="1">
        <v>8</v>
      </c>
      <c r="G382" s="1" t="b">
        <v>1</v>
      </c>
      <c r="H382" s="1">
        <v>1</v>
      </c>
      <c r="I382" s="1">
        <v>2</v>
      </c>
      <c r="J382" s="1">
        <v>0.16</v>
      </c>
      <c r="K382" s="19">
        <v>0.1515</v>
      </c>
      <c r="L382" s="21">
        <v>0.47</v>
      </c>
      <c r="M382" s="21">
        <v>0.22389999999999999</v>
      </c>
      <c r="N382" s="21">
        <v>3</v>
      </c>
      <c r="O382" s="21">
        <v>30</v>
      </c>
      <c r="P382" s="22">
        <v>33</v>
      </c>
    </row>
    <row r="383" spans="1:16">
      <c r="A383" s="1">
        <v>382</v>
      </c>
      <c r="B383" s="2">
        <v>40560</v>
      </c>
      <c r="C383" s="1">
        <v>1</v>
      </c>
      <c r="D383" s="1">
        <v>0</v>
      </c>
      <c r="E383" s="1">
        <v>1</v>
      </c>
      <c r="F383" s="1">
        <v>9</v>
      </c>
      <c r="G383" s="1" t="b">
        <v>1</v>
      </c>
      <c r="H383" s="1">
        <v>1</v>
      </c>
      <c r="I383" s="1">
        <v>2</v>
      </c>
      <c r="J383" s="1">
        <v>0.16</v>
      </c>
      <c r="K383" s="20">
        <v>0.1515</v>
      </c>
      <c r="L383" s="23">
        <v>0.47</v>
      </c>
      <c r="M383" s="23">
        <v>0.22389999999999999</v>
      </c>
      <c r="N383" s="23">
        <v>8</v>
      </c>
      <c r="O383" s="23">
        <v>39</v>
      </c>
      <c r="P383" s="24">
        <v>47</v>
      </c>
    </row>
    <row r="384" spans="1:16">
      <c r="A384" s="1">
        <v>383</v>
      </c>
      <c r="B384" s="2">
        <v>40560</v>
      </c>
      <c r="C384" s="1">
        <v>1</v>
      </c>
      <c r="D384" s="1">
        <v>0</v>
      </c>
      <c r="E384" s="1">
        <v>1</v>
      </c>
      <c r="F384" s="1">
        <v>10</v>
      </c>
      <c r="G384" s="1" t="b">
        <v>1</v>
      </c>
      <c r="H384" s="1">
        <v>1</v>
      </c>
      <c r="I384" s="1">
        <v>2</v>
      </c>
      <c r="J384" s="1">
        <v>0.16</v>
      </c>
      <c r="K384" s="19">
        <v>0.1515</v>
      </c>
      <c r="L384" s="21">
        <v>0.5</v>
      </c>
      <c r="M384" s="21">
        <v>0.25369999999999998</v>
      </c>
      <c r="N384" s="21">
        <v>7</v>
      </c>
      <c r="O384" s="21">
        <v>50</v>
      </c>
      <c r="P384" s="22">
        <v>57</v>
      </c>
    </row>
    <row r="385" spans="1:16">
      <c r="A385" s="1">
        <v>384</v>
      </c>
      <c r="B385" s="2">
        <v>40560</v>
      </c>
      <c r="C385" s="1">
        <v>1</v>
      </c>
      <c r="D385" s="1">
        <v>0</v>
      </c>
      <c r="E385" s="1">
        <v>1</v>
      </c>
      <c r="F385" s="1">
        <v>11</v>
      </c>
      <c r="G385" s="1" t="b">
        <v>1</v>
      </c>
      <c r="H385" s="1">
        <v>1</v>
      </c>
      <c r="I385" s="1">
        <v>2</v>
      </c>
      <c r="J385" s="1">
        <v>0.16</v>
      </c>
      <c r="K385" s="20">
        <v>0.1515</v>
      </c>
      <c r="L385" s="23">
        <v>0.55000000000000004</v>
      </c>
      <c r="M385" s="23">
        <v>0.19400000000000001</v>
      </c>
      <c r="N385" s="23">
        <v>9</v>
      </c>
      <c r="O385" s="23">
        <v>55</v>
      </c>
      <c r="P385" s="24">
        <v>64</v>
      </c>
    </row>
    <row r="386" spans="1:16">
      <c r="A386" s="1">
        <v>385</v>
      </c>
      <c r="B386" s="2">
        <v>40560</v>
      </c>
      <c r="C386" s="1">
        <v>1</v>
      </c>
      <c r="D386" s="1">
        <v>0</v>
      </c>
      <c r="E386" s="1">
        <v>1</v>
      </c>
      <c r="F386" s="1">
        <v>12</v>
      </c>
      <c r="G386" s="1" t="b">
        <v>1</v>
      </c>
      <c r="H386" s="1">
        <v>1</v>
      </c>
      <c r="I386" s="1">
        <v>2</v>
      </c>
      <c r="J386" s="1">
        <v>0.18</v>
      </c>
      <c r="K386" s="19">
        <v>0.19700000000000001</v>
      </c>
      <c r="L386" s="21">
        <v>0.47</v>
      </c>
      <c r="M386" s="21">
        <v>0.1343</v>
      </c>
      <c r="N386" s="21">
        <v>10</v>
      </c>
      <c r="O386" s="21">
        <v>70</v>
      </c>
      <c r="P386" s="22">
        <v>80</v>
      </c>
    </row>
    <row r="387" spans="1:16">
      <c r="A387" s="1">
        <v>386</v>
      </c>
      <c r="B387" s="2">
        <v>40560</v>
      </c>
      <c r="C387" s="1">
        <v>1</v>
      </c>
      <c r="D387" s="1">
        <v>0</v>
      </c>
      <c r="E387" s="1">
        <v>1</v>
      </c>
      <c r="F387" s="1">
        <v>13</v>
      </c>
      <c r="G387" s="1" t="b">
        <v>1</v>
      </c>
      <c r="H387" s="1">
        <v>1</v>
      </c>
      <c r="I387" s="1">
        <v>2</v>
      </c>
      <c r="J387" s="1">
        <v>0.18</v>
      </c>
      <c r="K387" s="20">
        <v>0.19700000000000001</v>
      </c>
      <c r="L387" s="23">
        <v>0.47</v>
      </c>
      <c r="M387" s="23">
        <v>0.1343</v>
      </c>
      <c r="N387" s="23">
        <v>13</v>
      </c>
      <c r="O387" s="23">
        <v>80</v>
      </c>
      <c r="P387" s="24">
        <v>93</v>
      </c>
    </row>
    <row r="388" spans="1:16">
      <c r="A388" s="1">
        <v>387</v>
      </c>
      <c r="B388" s="2">
        <v>40560</v>
      </c>
      <c r="C388" s="1">
        <v>1</v>
      </c>
      <c r="D388" s="1">
        <v>0</v>
      </c>
      <c r="E388" s="1">
        <v>1</v>
      </c>
      <c r="F388" s="1">
        <v>14</v>
      </c>
      <c r="G388" s="1" t="b">
        <v>1</v>
      </c>
      <c r="H388" s="1">
        <v>1</v>
      </c>
      <c r="I388" s="1">
        <v>2</v>
      </c>
      <c r="J388" s="1">
        <v>0.18</v>
      </c>
      <c r="K388" s="19">
        <v>0.21210000000000001</v>
      </c>
      <c r="L388" s="21">
        <v>0.43</v>
      </c>
      <c r="M388" s="21">
        <v>0.1045</v>
      </c>
      <c r="N388" s="21">
        <v>12</v>
      </c>
      <c r="O388" s="21">
        <v>74</v>
      </c>
      <c r="P388" s="22">
        <v>86</v>
      </c>
    </row>
    <row r="389" spans="1:16">
      <c r="A389" s="1">
        <v>388</v>
      </c>
      <c r="B389" s="2">
        <v>40560</v>
      </c>
      <c r="C389" s="1">
        <v>1</v>
      </c>
      <c r="D389" s="1">
        <v>0</v>
      </c>
      <c r="E389" s="1">
        <v>1</v>
      </c>
      <c r="F389" s="1">
        <v>15</v>
      </c>
      <c r="G389" s="1" t="b">
        <v>1</v>
      </c>
      <c r="H389" s="1">
        <v>1</v>
      </c>
      <c r="I389" s="1">
        <v>2</v>
      </c>
      <c r="J389" s="1">
        <v>0.2</v>
      </c>
      <c r="K389" s="20">
        <v>0.21210000000000001</v>
      </c>
      <c r="L389" s="23">
        <v>0.47</v>
      </c>
      <c r="M389" s="23">
        <v>0.16420000000000001</v>
      </c>
      <c r="N389" s="23">
        <v>21</v>
      </c>
      <c r="O389" s="23">
        <v>72</v>
      </c>
      <c r="P389" s="24">
        <v>93</v>
      </c>
    </row>
    <row r="390" spans="1:16">
      <c r="A390" s="1">
        <v>389</v>
      </c>
      <c r="B390" s="2">
        <v>40560</v>
      </c>
      <c r="C390" s="1">
        <v>1</v>
      </c>
      <c r="D390" s="1">
        <v>0</v>
      </c>
      <c r="E390" s="1">
        <v>1</v>
      </c>
      <c r="F390" s="1">
        <v>16</v>
      </c>
      <c r="G390" s="1" t="b">
        <v>1</v>
      </c>
      <c r="H390" s="1">
        <v>1</v>
      </c>
      <c r="I390" s="1">
        <v>2</v>
      </c>
      <c r="J390" s="1">
        <v>0.2</v>
      </c>
      <c r="K390" s="19">
        <v>0.21210000000000001</v>
      </c>
      <c r="L390" s="21">
        <v>0.47</v>
      </c>
      <c r="M390" s="21">
        <v>0.16420000000000001</v>
      </c>
      <c r="N390" s="21">
        <v>6</v>
      </c>
      <c r="O390" s="21">
        <v>76</v>
      </c>
      <c r="P390" s="22">
        <v>82</v>
      </c>
    </row>
    <row r="391" spans="1:16">
      <c r="A391" s="1">
        <v>390</v>
      </c>
      <c r="B391" s="2">
        <v>40560</v>
      </c>
      <c r="C391" s="1">
        <v>1</v>
      </c>
      <c r="D391" s="1">
        <v>0</v>
      </c>
      <c r="E391" s="1">
        <v>1</v>
      </c>
      <c r="F391" s="1">
        <v>17</v>
      </c>
      <c r="G391" s="1" t="b">
        <v>1</v>
      </c>
      <c r="H391" s="1">
        <v>1</v>
      </c>
      <c r="I391" s="1">
        <v>1</v>
      </c>
      <c r="J391" s="1">
        <v>0.2</v>
      </c>
      <c r="K391" s="20">
        <v>0.19700000000000001</v>
      </c>
      <c r="L391" s="23">
        <v>0.51</v>
      </c>
      <c r="M391" s="23">
        <v>0.19400000000000001</v>
      </c>
      <c r="N391" s="23">
        <v>4</v>
      </c>
      <c r="O391" s="23">
        <v>67</v>
      </c>
      <c r="P391" s="24">
        <v>71</v>
      </c>
    </row>
    <row r="392" spans="1:16">
      <c r="A392" s="1">
        <v>391</v>
      </c>
      <c r="B392" s="2">
        <v>40560</v>
      </c>
      <c r="C392" s="1">
        <v>1</v>
      </c>
      <c r="D392" s="1">
        <v>0</v>
      </c>
      <c r="E392" s="1">
        <v>1</v>
      </c>
      <c r="F392" s="1">
        <v>18</v>
      </c>
      <c r="G392" s="1" t="b">
        <v>1</v>
      </c>
      <c r="H392" s="1">
        <v>1</v>
      </c>
      <c r="I392" s="1">
        <v>2</v>
      </c>
      <c r="J392" s="1">
        <v>0.18</v>
      </c>
      <c r="K392" s="19">
        <v>0.16669999999999999</v>
      </c>
      <c r="L392" s="21">
        <v>0.55000000000000004</v>
      </c>
      <c r="M392" s="21">
        <v>0.25369999999999998</v>
      </c>
      <c r="N392" s="21">
        <v>7</v>
      </c>
      <c r="O392" s="21">
        <v>85</v>
      </c>
      <c r="P392" s="22">
        <v>92</v>
      </c>
    </row>
    <row r="393" spans="1:16">
      <c r="A393" s="1">
        <v>392</v>
      </c>
      <c r="B393" s="2">
        <v>40560</v>
      </c>
      <c r="C393" s="1">
        <v>1</v>
      </c>
      <c r="D393" s="1">
        <v>0</v>
      </c>
      <c r="E393" s="1">
        <v>1</v>
      </c>
      <c r="F393" s="1">
        <v>19</v>
      </c>
      <c r="G393" s="1" t="b">
        <v>1</v>
      </c>
      <c r="H393" s="1">
        <v>1</v>
      </c>
      <c r="I393" s="1">
        <v>3</v>
      </c>
      <c r="J393" s="1">
        <v>0.18</v>
      </c>
      <c r="K393" s="20">
        <v>0.18179999999999999</v>
      </c>
      <c r="L393" s="23">
        <v>0.59</v>
      </c>
      <c r="M393" s="23">
        <v>0.19400000000000001</v>
      </c>
      <c r="N393" s="23">
        <v>2</v>
      </c>
      <c r="O393" s="23">
        <v>58</v>
      </c>
      <c r="P393" s="24">
        <v>60</v>
      </c>
    </row>
    <row r="394" spans="1:16">
      <c r="A394" s="1">
        <v>393</v>
      </c>
      <c r="B394" s="2">
        <v>40560</v>
      </c>
      <c r="C394" s="1">
        <v>1</v>
      </c>
      <c r="D394" s="1">
        <v>0</v>
      </c>
      <c r="E394" s="1">
        <v>1</v>
      </c>
      <c r="F394" s="1">
        <v>20</v>
      </c>
      <c r="G394" s="1" t="b">
        <v>1</v>
      </c>
      <c r="H394" s="1">
        <v>1</v>
      </c>
      <c r="I394" s="1">
        <v>3</v>
      </c>
      <c r="J394" s="1">
        <v>0.16</v>
      </c>
      <c r="K394" s="19">
        <v>0.1515</v>
      </c>
      <c r="L394" s="21">
        <v>0.8</v>
      </c>
      <c r="M394" s="21">
        <v>0.19400000000000001</v>
      </c>
      <c r="N394" s="21">
        <v>4</v>
      </c>
      <c r="O394" s="21">
        <v>29</v>
      </c>
      <c r="P394" s="22">
        <v>33</v>
      </c>
    </row>
    <row r="395" spans="1:16">
      <c r="A395" s="1">
        <v>394</v>
      </c>
      <c r="B395" s="2">
        <v>40560</v>
      </c>
      <c r="C395" s="1">
        <v>1</v>
      </c>
      <c r="D395" s="1">
        <v>0</v>
      </c>
      <c r="E395" s="1">
        <v>1</v>
      </c>
      <c r="F395" s="1">
        <v>21</v>
      </c>
      <c r="G395" s="1" t="b">
        <v>1</v>
      </c>
      <c r="H395" s="1">
        <v>1</v>
      </c>
      <c r="I395" s="1">
        <v>3</v>
      </c>
      <c r="J395" s="1">
        <v>0.16</v>
      </c>
      <c r="K395" s="20">
        <v>0.1515</v>
      </c>
      <c r="L395" s="23">
        <v>0.8</v>
      </c>
      <c r="M395" s="23">
        <v>0.19400000000000001</v>
      </c>
      <c r="N395" s="23">
        <v>3</v>
      </c>
      <c r="O395" s="23">
        <v>24</v>
      </c>
      <c r="P395" s="24">
        <v>27</v>
      </c>
    </row>
    <row r="396" spans="1:16">
      <c r="A396" s="1">
        <v>395</v>
      </c>
      <c r="B396" s="2">
        <v>40560</v>
      </c>
      <c r="C396" s="1">
        <v>1</v>
      </c>
      <c r="D396" s="1">
        <v>0</v>
      </c>
      <c r="E396" s="1">
        <v>1</v>
      </c>
      <c r="F396" s="1">
        <v>22</v>
      </c>
      <c r="G396" s="1" t="b">
        <v>1</v>
      </c>
      <c r="H396" s="1">
        <v>1</v>
      </c>
      <c r="I396" s="1">
        <v>3</v>
      </c>
      <c r="J396" s="1">
        <v>0.14000000000000001</v>
      </c>
      <c r="K396" s="19">
        <v>0.1212</v>
      </c>
      <c r="L396" s="21">
        <v>0.93</v>
      </c>
      <c r="M396" s="21">
        <v>0.25369999999999998</v>
      </c>
      <c r="N396" s="21">
        <v>0</v>
      </c>
      <c r="O396" s="21">
        <v>13</v>
      </c>
      <c r="P396" s="22">
        <v>13</v>
      </c>
    </row>
    <row r="397" spans="1:16">
      <c r="A397" s="1">
        <v>396</v>
      </c>
      <c r="B397" s="2">
        <v>40560</v>
      </c>
      <c r="C397" s="1">
        <v>1</v>
      </c>
      <c r="D397" s="1">
        <v>0</v>
      </c>
      <c r="E397" s="1">
        <v>1</v>
      </c>
      <c r="F397" s="1">
        <v>23</v>
      </c>
      <c r="G397" s="1" t="b">
        <v>1</v>
      </c>
      <c r="H397" s="1">
        <v>1</v>
      </c>
      <c r="I397" s="1">
        <v>3</v>
      </c>
      <c r="J397" s="1">
        <v>0.16</v>
      </c>
      <c r="K397" s="20">
        <v>0.13639999999999999</v>
      </c>
      <c r="L397" s="23">
        <v>0.86</v>
      </c>
      <c r="M397" s="23">
        <v>0.28360000000000002</v>
      </c>
      <c r="N397" s="23">
        <v>1</v>
      </c>
      <c r="O397" s="23">
        <v>3</v>
      </c>
      <c r="P397" s="24">
        <v>4</v>
      </c>
    </row>
    <row r="398" spans="1:16">
      <c r="A398" s="1">
        <v>397</v>
      </c>
      <c r="B398" s="2">
        <v>40561</v>
      </c>
      <c r="C398" s="1">
        <v>1</v>
      </c>
      <c r="D398" s="1">
        <v>0</v>
      </c>
      <c r="E398" s="1">
        <v>1</v>
      </c>
      <c r="F398" s="1">
        <v>12</v>
      </c>
      <c r="G398" s="1" t="b">
        <v>0</v>
      </c>
      <c r="H398" s="1">
        <v>2</v>
      </c>
      <c r="I398" s="1">
        <v>2</v>
      </c>
      <c r="J398" s="1">
        <v>0.2</v>
      </c>
      <c r="K398" s="19">
        <v>0.18179999999999999</v>
      </c>
      <c r="L398" s="21">
        <v>0.86</v>
      </c>
      <c r="M398" s="21">
        <v>0.32840000000000003</v>
      </c>
      <c r="N398" s="21">
        <v>0</v>
      </c>
      <c r="O398" s="21">
        <v>3</v>
      </c>
      <c r="P398" s="22">
        <v>3</v>
      </c>
    </row>
    <row r="399" spans="1:16">
      <c r="A399" s="1">
        <v>398</v>
      </c>
      <c r="B399" s="2">
        <v>40561</v>
      </c>
      <c r="C399" s="1">
        <v>1</v>
      </c>
      <c r="D399" s="1">
        <v>0</v>
      </c>
      <c r="E399" s="1">
        <v>1</v>
      </c>
      <c r="F399" s="1">
        <v>13</v>
      </c>
      <c r="G399" s="1" t="b">
        <v>0</v>
      </c>
      <c r="H399" s="1">
        <v>2</v>
      </c>
      <c r="I399" s="1">
        <v>2</v>
      </c>
      <c r="J399" s="1">
        <v>0.2</v>
      </c>
      <c r="K399" s="20">
        <v>0.19700000000000001</v>
      </c>
      <c r="L399" s="23">
        <v>0.86</v>
      </c>
      <c r="M399" s="23">
        <v>0.22389999999999999</v>
      </c>
      <c r="N399" s="23">
        <v>0</v>
      </c>
      <c r="O399" s="23">
        <v>22</v>
      </c>
      <c r="P399" s="24">
        <v>22</v>
      </c>
    </row>
    <row r="400" spans="1:16">
      <c r="A400" s="1">
        <v>399</v>
      </c>
      <c r="B400" s="2">
        <v>40561</v>
      </c>
      <c r="C400" s="1">
        <v>1</v>
      </c>
      <c r="D400" s="1">
        <v>0</v>
      </c>
      <c r="E400" s="1">
        <v>1</v>
      </c>
      <c r="F400" s="1">
        <v>14</v>
      </c>
      <c r="G400" s="1" t="b">
        <v>0</v>
      </c>
      <c r="H400" s="1">
        <v>2</v>
      </c>
      <c r="I400" s="1">
        <v>2</v>
      </c>
      <c r="J400" s="1">
        <v>0.22</v>
      </c>
      <c r="K400" s="19">
        <v>0.2273</v>
      </c>
      <c r="L400" s="21">
        <v>0.8</v>
      </c>
      <c r="M400" s="21">
        <v>0.16420000000000001</v>
      </c>
      <c r="N400" s="21">
        <v>2</v>
      </c>
      <c r="O400" s="21">
        <v>26</v>
      </c>
      <c r="P400" s="22">
        <v>28</v>
      </c>
    </row>
    <row r="401" spans="1:16">
      <c r="A401" s="1">
        <v>400</v>
      </c>
      <c r="B401" s="2">
        <v>40561</v>
      </c>
      <c r="C401" s="1">
        <v>1</v>
      </c>
      <c r="D401" s="1">
        <v>0</v>
      </c>
      <c r="E401" s="1">
        <v>1</v>
      </c>
      <c r="F401" s="1">
        <v>15</v>
      </c>
      <c r="G401" s="1" t="b">
        <v>0</v>
      </c>
      <c r="H401" s="1">
        <v>2</v>
      </c>
      <c r="I401" s="1">
        <v>2</v>
      </c>
      <c r="J401" s="1">
        <v>0.22</v>
      </c>
      <c r="K401" s="20">
        <v>0.2273</v>
      </c>
      <c r="L401" s="23">
        <v>0.87</v>
      </c>
      <c r="M401" s="23">
        <v>0.16420000000000001</v>
      </c>
      <c r="N401" s="23">
        <v>3</v>
      </c>
      <c r="O401" s="23">
        <v>32</v>
      </c>
      <c r="P401" s="24">
        <v>35</v>
      </c>
    </row>
    <row r="402" spans="1:16">
      <c r="A402" s="1">
        <v>401</v>
      </c>
      <c r="B402" s="2">
        <v>40561</v>
      </c>
      <c r="C402" s="1">
        <v>1</v>
      </c>
      <c r="D402" s="1">
        <v>0</v>
      </c>
      <c r="E402" s="1">
        <v>1</v>
      </c>
      <c r="F402" s="1">
        <v>16</v>
      </c>
      <c r="G402" s="1" t="b">
        <v>0</v>
      </c>
      <c r="H402" s="1">
        <v>2</v>
      </c>
      <c r="I402" s="1">
        <v>2</v>
      </c>
      <c r="J402" s="1">
        <v>0.22</v>
      </c>
      <c r="K402" s="19">
        <v>0.2273</v>
      </c>
      <c r="L402" s="21">
        <v>0.87</v>
      </c>
      <c r="M402" s="21">
        <v>0.19400000000000001</v>
      </c>
      <c r="N402" s="21">
        <v>0</v>
      </c>
      <c r="O402" s="21">
        <v>61</v>
      </c>
      <c r="P402" s="22">
        <v>61</v>
      </c>
    </row>
    <row r="403" spans="1:16">
      <c r="A403" s="1">
        <v>402</v>
      </c>
      <c r="B403" s="2">
        <v>40561</v>
      </c>
      <c r="C403" s="1">
        <v>1</v>
      </c>
      <c r="D403" s="1">
        <v>0</v>
      </c>
      <c r="E403" s="1">
        <v>1</v>
      </c>
      <c r="F403" s="1">
        <v>17</v>
      </c>
      <c r="G403" s="1" t="b">
        <v>0</v>
      </c>
      <c r="H403" s="1">
        <v>2</v>
      </c>
      <c r="I403" s="1">
        <v>2</v>
      </c>
      <c r="J403" s="1">
        <v>0.22</v>
      </c>
      <c r="K403" s="20">
        <v>0.2273</v>
      </c>
      <c r="L403" s="23">
        <v>0.82</v>
      </c>
      <c r="M403" s="23">
        <v>0.19400000000000001</v>
      </c>
      <c r="N403" s="23">
        <v>1</v>
      </c>
      <c r="O403" s="23">
        <v>124</v>
      </c>
      <c r="P403" s="24">
        <v>125</v>
      </c>
    </row>
    <row r="404" spans="1:16">
      <c r="A404" s="1">
        <v>403</v>
      </c>
      <c r="B404" s="2">
        <v>40561</v>
      </c>
      <c r="C404" s="1">
        <v>1</v>
      </c>
      <c r="D404" s="1">
        <v>0</v>
      </c>
      <c r="E404" s="1">
        <v>1</v>
      </c>
      <c r="F404" s="1">
        <v>18</v>
      </c>
      <c r="G404" s="1" t="b">
        <v>0</v>
      </c>
      <c r="H404" s="1">
        <v>2</v>
      </c>
      <c r="I404" s="1">
        <v>2</v>
      </c>
      <c r="J404" s="1">
        <v>0.22</v>
      </c>
      <c r="K404" s="19">
        <v>0.2273</v>
      </c>
      <c r="L404" s="21">
        <v>0.8</v>
      </c>
      <c r="M404" s="21">
        <v>0.16420000000000001</v>
      </c>
      <c r="N404" s="21">
        <v>1</v>
      </c>
      <c r="O404" s="21">
        <v>132</v>
      </c>
      <c r="P404" s="22">
        <v>133</v>
      </c>
    </row>
    <row r="405" spans="1:16">
      <c r="A405" s="1">
        <v>404</v>
      </c>
      <c r="B405" s="2">
        <v>40561</v>
      </c>
      <c r="C405" s="1">
        <v>1</v>
      </c>
      <c r="D405" s="1">
        <v>0</v>
      </c>
      <c r="E405" s="1">
        <v>1</v>
      </c>
      <c r="F405" s="1">
        <v>19</v>
      </c>
      <c r="G405" s="1" t="b">
        <v>0</v>
      </c>
      <c r="H405" s="1">
        <v>2</v>
      </c>
      <c r="I405" s="1">
        <v>2</v>
      </c>
      <c r="J405" s="1">
        <v>0.22</v>
      </c>
      <c r="K405" s="20">
        <v>0.2273</v>
      </c>
      <c r="L405" s="23">
        <v>0.8</v>
      </c>
      <c r="M405" s="23">
        <v>0.1343</v>
      </c>
      <c r="N405" s="23">
        <v>1</v>
      </c>
      <c r="O405" s="23">
        <v>98</v>
      </c>
      <c r="P405" s="24">
        <v>99</v>
      </c>
    </row>
    <row r="406" spans="1:16">
      <c r="A406" s="1">
        <v>405</v>
      </c>
      <c r="B406" s="2">
        <v>40561</v>
      </c>
      <c r="C406" s="1">
        <v>1</v>
      </c>
      <c r="D406" s="1">
        <v>0</v>
      </c>
      <c r="E406" s="1">
        <v>1</v>
      </c>
      <c r="F406" s="1">
        <v>20</v>
      </c>
      <c r="G406" s="1" t="b">
        <v>0</v>
      </c>
      <c r="H406" s="1">
        <v>2</v>
      </c>
      <c r="I406" s="1">
        <v>2</v>
      </c>
      <c r="J406" s="1">
        <v>0.22</v>
      </c>
      <c r="K406" s="19">
        <v>0.2727</v>
      </c>
      <c r="L406" s="21">
        <v>0.87</v>
      </c>
      <c r="M406" s="21">
        <v>0</v>
      </c>
      <c r="N406" s="21">
        <v>0</v>
      </c>
      <c r="O406" s="21">
        <v>83</v>
      </c>
      <c r="P406" s="22">
        <v>83</v>
      </c>
    </row>
    <row r="407" spans="1:16">
      <c r="A407" s="1">
        <v>406</v>
      </c>
      <c r="B407" s="2">
        <v>40561</v>
      </c>
      <c r="C407" s="1">
        <v>1</v>
      </c>
      <c r="D407" s="1">
        <v>0</v>
      </c>
      <c r="E407" s="1">
        <v>1</v>
      </c>
      <c r="F407" s="1">
        <v>21</v>
      </c>
      <c r="G407" s="1" t="b">
        <v>0</v>
      </c>
      <c r="H407" s="1">
        <v>2</v>
      </c>
      <c r="I407" s="1">
        <v>2</v>
      </c>
      <c r="J407" s="1">
        <v>0.22</v>
      </c>
      <c r="K407" s="20">
        <v>0.2424</v>
      </c>
      <c r="L407" s="23">
        <v>0.93</v>
      </c>
      <c r="M407" s="23">
        <v>0.1045</v>
      </c>
      <c r="N407" s="23">
        <v>0</v>
      </c>
      <c r="O407" s="23">
        <v>41</v>
      </c>
      <c r="P407" s="24">
        <v>41</v>
      </c>
    </row>
    <row r="408" spans="1:16">
      <c r="A408" s="1">
        <v>407</v>
      </c>
      <c r="B408" s="2">
        <v>40561</v>
      </c>
      <c r="C408" s="1">
        <v>1</v>
      </c>
      <c r="D408" s="1">
        <v>0</v>
      </c>
      <c r="E408" s="1">
        <v>1</v>
      </c>
      <c r="F408" s="1">
        <v>22</v>
      </c>
      <c r="G408" s="1" t="b">
        <v>0</v>
      </c>
      <c r="H408" s="1">
        <v>2</v>
      </c>
      <c r="I408" s="1">
        <v>2</v>
      </c>
      <c r="J408" s="1">
        <v>0.22</v>
      </c>
      <c r="K408" s="19">
        <v>0.2576</v>
      </c>
      <c r="L408" s="21">
        <v>0.93</v>
      </c>
      <c r="M408" s="21">
        <v>8.9599999999999999E-2</v>
      </c>
      <c r="N408" s="21">
        <v>0</v>
      </c>
      <c r="O408" s="21">
        <v>33</v>
      </c>
      <c r="P408" s="22">
        <v>33</v>
      </c>
    </row>
    <row r="409" spans="1:16">
      <c r="A409" s="1">
        <v>408</v>
      </c>
      <c r="B409" s="2">
        <v>40561</v>
      </c>
      <c r="C409" s="1">
        <v>1</v>
      </c>
      <c r="D409" s="1">
        <v>0</v>
      </c>
      <c r="E409" s="1">
        <v>1</v>
      </c>
      <c r="F409" s="1">
        <v>23</v>
      </c>
      <c r="G409" s="1" t="b">
        <v>0</v>
      </c>
      <c r="H409" s="1">
        <v>2</v>
      </c>
      <c r="I409" s="1">
        <v>2</v>
      </c>
      <c r="J409" s="1">
        <v>0.22</v>
      </c>
      <c r="K409" s="20">
        <v>0.2727</v>
      </c>
      <c r="L409" s="23">
        <v>0.93</v>
      </c>
      <c r="M409" s="23">
        <v>0</v>
      </c>
      <c r="N409" s="23">
        <v>1</v>
      </c>
      <c r="O409" s="23">
        <v>19</v>
      </c>
      <c r="P409" s="24">
        <v>20</v>
      </c>
    </row>
    <row r="410" spans="1:16">
      <c r="A410" s="1">
        <v>409</v>
      </c>
      <c r="B410" s="2">
        <v>40562</v>
      </c>
      <c r="C410" s="1">
        <v>1</v>
      </c>
      <c r="D410" s="1">
        <v>0</v>
      </c>
      <c r="E410" s="1">
        <v>1</v>
      </c>
      <c r="F410" s="1">
        <v>0</v>
      </c>
      <c r="G410" s="1" t="b">
        <v>0</v>
      </c>
      <c r="H410" s="1">
        <v>3</v>
      </c>
      <c r="I410" s="1">
        <v>2</v>
      </c>
      <c r="J410" s="1">
        <v>0.22</v>
      </c>
      <c r="K410" s="19">
        <v>0.2727</v>
      </c>
      <c r="L410" s="21">
        <v>0.93</v>
      </c>
      <c r="M410" s="21">
        <v>0</v>
      </c>
      <c r="N410" s="21">
        <v>0</v>
      </c>
      <c r="O410" s="21">
        <v>3</v>
      </c>
      <c r="P410" s="22">
        <v>3</v>
      </c>
    </row>
    <row r="411" spans="1:16">
      <c r="A411" s="1">
        <v>410</v>
      </c>
      <c r="B411" s="2">
        <v>40562</v>
      </c>
      <c r="C411" s="1">
        <v>1</v>
      </c>
      <c r="D411" s="1">
        <v>0</v>
      </c>
      <c r="E411" s="1">
        <v>1</v>
      </c>
      <c r="F411" s="1">
        <v>1</v>
      </c>
      <c r="G411" s="1" t="b">
        <v>0</v>
      </c>
      <c r="H411" s="1">
        <v>3</v>
      </c>
      <c r="I411" s="1">
        <v>3</v>
      </c>
      <c r="J411" s="1">
        <v>0.22</v>
      </c>
      <c r="K411" s="20">
        <v>0.2273</v>
      </c>
      <c r="L411" s="23">
        <v>0.93</v>
      </c>
      <c r="M411" s="23">
        <v>0.1343</v>
      </c>
      <c r="N411" s="23">
        <v>1</v>
      </c>
      <c r="O411" s="23">
        <v>6</v>
      </c>
      <c r="P411" s="24">
        <v>7</v>
      </c>
    </row>
    <row r="412" spans="1:16">
      <c r="A412" s="1">
        <v>411</v>
      </c>
      <c r="B412" s="2">
        <v>40562</v>
      </c>
      <c r="C412" s="1">
        <v>1</v>
      </c>
      <c r="D412" s="1">
        <v>0</v>
      </c>
      <c r="E412" s="1">
        <v>1</v>
      </c>
      <c r="F412" s="1">
        <v>2</v>
      </c>
      <c r="G412" s="1" t="b">
        <v>0</v>
      </c>
      <c r="H412" s="1">
        <v>3</v>
      </c>
      <c r="I412" s="1">
        <v>3</v>
      </c>
      <c r="J412" s="1">
        <v>0.22</v>
      </c>
      <c r="K412" s="19">
        <v>0.2273</v>
      </c>
      <c r="L412" s="21">
        <v>0.93</v>
      </c>
      <c r="M412" s="21">
        <v>0.1343</v>
      </c>
      <c r="N412" s="21">
        <v>0</v>
      </c>
      <c r="O412" s="21">
        <v>3</v>
      </c>
      <c r="P412" s="22">
        <v>3</v>
      </c>
    </row>
    <row r="413" spans="1:16">
      <c r="A413" s="1">
        <v>412</v>
      </c>
      <c r="B413" s="2">
        <v>40562</v>
      </c>
      <c r="C413" s="1">
        <v>1</v>
      </c>
      <c r="D413" s="1">
        <v>0</v>
      </c>
      <c r="E413" s="1">
        <v>1</v>
      </c>
      <c r="F413" s="1">
        <v>4</v>
      </c>
      <c r="G413" s="1" t="b">
        <v>0</v>
      </c>
      <c r="H413" s="1">
        <v>3</v>
      </c>
      <c r="I413" s="1">
        <v>3</v>
      </c>
      <c r="J413" s="1">
        <v>0.22</v>
      </c>
      <c r="K413" s="20">
        <v>0.2273</v>
      </c>
      <c r="L413" s="23">
        <v>0.93</v>
      </c>
      <c r="M413" s="23">
        <v>0.1343</v>
      </c>
      <c r="N413" s="23">
        <v>1</v>
      </c>
      <c r="O413" s="23">
        <v>1</v>
      </c>
      <c r="P413" s="24">
        <v>2</v>
      </c>
    </row>
    <row r="414" spans="1:16">
      <c r="A414" s="1">
        <v>413</v>
      </c>
      <c r="B414" s="2">
        <v>40562</v>
      </c>
      <c r="C414" s="1">
        <v>1</v>
      </c>
      <c r="D414" s="1">
        <v>0</v>
      </c>
      <c r="E414" s="1">
        <v>1</v>
      </c>
      <c r="F414" s="1">
        <v>5</v>
      </c>
      <c r="G414" s="1" t="b">
        <v>0</v>
      </c>
      <c r="H414" s="1">
        <v>3</v>
      </c>
      <c r="I414" s="1">
        <v>2</v>
      </c>
      <c r="J414" s="1">
        <v>0.22</v>
      </c>
      <c r="K414" s="19">
        <v>0.2576</v>
      </c>
      <c r="L414" s="21">
        <v>0.93</v>
      </c>
      <c r="M414" s="21">
        <v>8.9599999999999999E-2</v>
      </c>
      <c r="N414" s="21">
        <v>0</v>
      </c>
      <c r="O414" s="21">
        <v>7</v>
      </c>
      <c r="P414" s="22">
        <v>7</v>
      </c>
    </row>
    <row r="415" spans="1:16">
      <c r="A415" s="1">
        <v>414</v>
      </c>
      <c r="B415" s="2">
        <v>40562</v>
      </c>
      <c r="C415" s="1">
        <v>1</v>
      </c>
      <c r="D415" s="1">
        <v>0</v>
      </c>
      <c r="E415" s="1">
        <v>1</v>
      </c>
      <c r="F415" s="1">
        <v>6</v>
      </c>
      <c r="G415" s="1" t="b">
        <v>0</v>
      </c>
      <c r="H415" s="1">
        <v>3</v>
      </c>
      <c r="I415" s="1">
        <v>2</v>
      </c>
      <c r="J415" s="1">
        <v>0.22</v>
      </c>
      <c r="K415" s="20">
        <v>0.2576</v>
      </c>
      <c r="L415" s="23">
        <v>0.93</v>
      </c>
      <c r="M415" s="23">
        <v>8.9599999999999999E-2</v>
      </c>
      <c r="N415" s="23">
        <v>0</v>
      </c>
      <c r="O415" s="23">
        <v>32</v>
      </c>
      <c r="P415" s="24">
        <v>32</v>
      </c>
    </row>
    <row r="416" spans="1:16">
      <c r="A416" s="1">
        <v>415</v>
      </c>
      <c r="B416" s="2">
        <v>40562</v>
      </c>
      <c r="C416" s="1">
        <v>1</v>
      </c>
      <c r="D416" s="1">
        <v>0</v>
      </c>
      <c r="E416" s="1">
        <v>1</v>
      </c>
      <c r="F416" s="1">
        <v>7</v>
      </c>
      <c r="G416" s="1" t="b">
        <v>0</v>
      </c>
      <c r="H416" s="1">
        <v>3</v>
      </c>
      <c r="I416" s="1">
        <v>2</v>
      </c>
      <c r="J416" s="1">
        <v>0.24</v>
      </c>
      <c r="K416" s="19">
        <v>0.2576</v>
      </c>
      <c r="L416" s="21">
        <v>0.92</v>
      </c>
      <c r="M416" s="21">
        <v>0.1045</v>
      </c>
      <c r="N416" s="21">
        <v>1</v>
      </c>
      <c r="O416" s="21">
        <v>89</v>
      </c>
      <c r="P416" s="22">
        <v>90</v>
      </c>
    </row>
    <row r="417" spans="1:16">
      <c r="A417" s="1">
        <v>416</v>
      </c>
      <c r="B417" s="2">
        <v>40562</v>
      </c>
      <c r="C417" s="1">
        <v>1</v>
      </c>
      <c r="D417" s="1">
        <v>0</v>
      </c>
      <c r="E417" s="1">
        <v>1</v>
      </c>
      <c r="F417" s="1">
        <v>8</v>
      </c>
      <c r="G417" s="1" t="b">
        <v>0</v>
      </c>
      <c r="H417" s="1">
        <v>3</v>
      </c>
      <c r="I417" s="1">
        <v>2</v>
      </c>
      <c r="J417" s="1">
        <v>0.24</v>
      </c>
      <c r="K417" s="20">
        <v>0.2576</v>
      </c>
      <c r="L417" s="23">
        <v>0.93</v>
      </c>
      <c r="M417" s="23">
        <v>0.1045</v>
      </c>
      <c r="N417" s="23">
        <v>1</v>
      </c>
      <c r="O417" s="23">
        <v>196</v>
      </c>
      <c r="P417" s="24">
        <v>197</v>
      </c>
    </row>
    <row r="418" spans="1:16">
      <c r="A418" s="1">
        <v>417</v>
      </c>
      <c r="B418" s="2">
        <v>40562</v>
      </c>
      <c r="C418" s="1">
        <v>1</v>
      </c>
      <c r="D418" s="1">
        <v>0</v>
      </c>
      <c r="E418" s="1">
        <v>1</v>
      </c>
      <c r="F418" s="1">
        <v>9</v>
      </c>
      <c r="G418" s="1" t="b">
        <v>0</v>
      </c>
      <c r="H418" s="1">
        <v>3</v>
      </c>
      <c r="I418" s="1">
        <v>2</v>
      </c>
      <c r="J418" s="1">
        <v>0.24</v>
      </c>
      <c r="K418" s="19">
        <v>0.2576</v>
      </c>
      <c r="L418" s="21">
        <v>0.93</v>
      </c>
      <c r="M418" s="21">
        <v>0.1045</v>
      </c>
      <c r="N418" s="21">
        <v>2</v>
      </c>
      <c r="O418" s="21">
        <v>107</v>
      </c>
      <c r="P418" s="22">
        <v>109</v>
      </c>
    </row>
    <row r="419" spans="1:16">
      <c r="A419" s="1">
        <v>418</v>
      </c>
      <c r="B419" s="2">
        <v>40562</v>
      </c>
      <c r="C419" s="1">
        <v>1</v>
      </c>
      <c r="D419" s="1">
        <v>0</v>
      </c>
      <c r="E419" s="1">
        <v>1</v>
      </c>
      <c r="F419" s="1">
        <v>10</v>
      </c>
      <c r="G419" s="1" t="b">
        <v>0</v>
      </c>
      <c r="H419" s="1">
        <v>3</v>
      </c>
      <c r="I419" s="1">
        <v>2</v>
      </c>
      <c r="J419" s="1">
        <v>0.26</v>
      </c>
      <c r="K419" s="20">
        <v>0.2727</v>
      </c>
      <c r="L419" s="23">
        <v>0.93</v>
      </c>
      <c r="M419" s="23">
        <v>0.1343</v>
      </c>
      <c r="N419" s="23">
        <v>1</v>
      </c>
      <c r="O419" s="23">
        <v>46</v>
      </c>
      <c r="P419" s="24">
        <v>47</v>
      </c>
    </row>
    <row r="420" spans="1:16">
      <c r="A420" s="1">
        <v>419</v>
      </c>
      <c r="B420" s="2">
        <v>40562</v>
      </c>
      <c r="C420" s="1">
        <v>1</v>
      </c>
      <c r="D420" s="1">
        <v>0</v>
      </c>
      <c r="E420" s="1">
        <v>1</v>
      </c>
      <c r="F420" s="1">
        <v>11</v>
      </c>
      <c r="G420" s="1" t="b">
        <v>0</v>
      </c>
      <c r="H420" s="1">
        <v>3</v>
      </c>
      <c r="I420" s="1">
        <v>2</v>
      </c>
      <c r="J420" s="1">
        <v>0.28000000000000003</v>
      </c>
      <c r="K420" s="19">
        <v>0.30299999999999999</v>
      </c>
      <c r="L420" s="21">
        <v>0.87</v>
      </c>
      <c r="M420" s="21">
        <v>8.9599999999999999E-2</v>
      </c>
      <c r="N420" s="21">
        <v>5</v>
      </c>
      <c r="O420" s="21">
        <v>47</v>
      </c>
      <c r="P420" s="22">
        <v>52</v>
      </c>
    </row>
    <row r="421" spans="1:16">
      <c r="A421" s="1">
        <v>420</v>
      </c>
      <c r="B421" s="2">
        <v>40562</v>
      </c>
      <c r="C421" s="1">
        <v>1</v>
      </c>
      <c r="D421" s="1">
        <v>0</v>
      </c>
      <c r="E421" s="1">
        <v>1</v>
      </c>
      <c r="F421" s="1">
        <v>12</v>
      </c>
      <c r="G421" s="1" t="b">
        <v>0</v>
      </c>
      <c r="H421" s="1">
        <v>3</v>
      </c>
      <c r="I421" s="1">
        <v>2</v>
      </c>
      <c r="J421" s="1">
        <v>0.3</v>
      </c>
      <c r="K421" s="20">
        <v>0.31819999999999998</v>
      </c>
      <c r="L421" s="23">
        <v>0.81</v>
      </c>
      <c r="M421" s="23">
        <v>8.9599999999999999E-2</v>
      </c>
      <c r="N421" s="23">
        <v>5</v>
      </c>
      <c r="O421" s="23">
        <v>65</v>
      </c>
      <c r="P421" s="24">
        <v>70</v>
      </c>
    </row>
    <row r="422" spans="1:16">
      <c r="A422" s="1">
        <v>421</v>
      </c>
      <c r="B422" s="2">
        <v>40562</v>
      </c>
      <c r="C422" s="1">
        <v>1</v>
      </c>
      <c r="D422" s="1">
        <v>0</v>
      </c>
      <c r="E422" s="1">
        <v>1</v>
      </c>
      <c r="F422" s="1">
        <v>13</v>
      </c>
      <c r="G422" s="1" t="b">
        <v>0</v>
      </c>
      <c r="H422" s="1">
        <v>3</v>
      </c>
      <c r="I422" s="1">
        <v>1</v>
      </c>
      <c r="J422" s="1">
        <v>0.4</v>
      </c>
      <c r="K422" s="19">
        <v>0.40910000000000002</v>
      </c>
      <c r="L422" s="21">
        <v>0.62</v>
      </c>
      <c r="M422" s="21">
        <v>0.28360000000000002</v>
      </c>
      <c r="N422" s="21">
        <v>11</v>
      </c>
      <c r="O422" s="21">
        <v>67</v>
      </c>
      <c r="P422" s="22">
        <v>78</v>
      </c>
    </row>
    <row r="423" spans="1:16">
      <c r="A423" s="1">
        <v>422</v>
      </c>
      <c r="B423" s="2">
        <v>40562</v>
      </c>
      <c r="C423" s="1">
        <v>1</v>
      </c>
      <c r="D423" s="1">
        <v>0</v>
      </c>
      <c r="E423" s="1">
        <v>1</v>
      </c>
      <c r="F423" s="1">
        <v>14</v>
      </c>
      <c r="G423" s="1" t="b">
        <v>0</v>
      </c>
      <c r="H423" s="1">
        <v>3</v>
      </c>
      <c r="I423" s="1">
        <v>1</v>
      </c>
      <c r="J423" s="1">
        <v>0.4</v>
      </c>
      <c r="K423" s="20">
        <v>0.40910000000000002</v>
      </c>
      <c r="L423" s="23">
        <v>0.57999999999999996</v>
      </c>
      <c r="M423" s="23">
        <v>0.25369999999999998</v>
      </c>
      <c r="N423" s="23">
        <v>7</v>
      </c>
      <c r="O423" s="23">
        <v>68</v>
      </c>
      <c r="P423" s="24">
        <v>75</v>
      </c>
    </row>
    <row r="424" spans="1:16">
      <c r="A424" s="1">
        <v>423</v>
      </c>
      <c r="B424" s="2">
        <v>40562</v>
      </c>
      <c r="C424" s="1">
        <v>1</v>
      </c>
      <c r="D424" s="1">
        <v>0</v>
      </c>
      <c r="E424" s="1">
        <v>1</v>
      </c>
      <c r="F424" s="1">
        <v>15</v>
      </c>
      <c r="G424" s="1" t="b">
        <v>0</v>
      </c>
      <c r="H424" s="1">
        <v>3</v>
      </c>
      <c r="I424" s="1">
        <v>1</v>
      </c>
      <c r="J424" s="1">
        <v>0.4</v>
      </c>
      <c r="K424" s="19">
        <v>0.40910000000000002</v>
      </c>
      <c r="L424" s="21">
        <v>0.54</v>
      </c>
      <c r="M424" s="21">
        <v>0.28360000000000002</v>
      </c>
      <c r="N424" s="21">
        <v>4</v>
      </c>
      <c r="O424" s="21">
        <v>78</v>
      </c>
      <c r="P424" s="22">
        <v>82</v>
      </c>
    </row>
    <row r="425" spans="1:16">
      <c r="A425" s="1">
        <v>424</v>
      </c>
      <c r="B425" s="2">
        <v>40562</v>
      </c>
      <c r="C425" s="1">
        <v>1</v>
      </c>
      <c r="D425" s="1">
        <v>0</v>
      </c>
      <c r="E425" s="1">
        <v>1</v>
      </c>
      <c r="F425" s="1">
        <v>16</v>
      </c>
      <c r="G425" s="1" t="b">
        <v>0</v>
      </c>
      <c r="H425" s="1">
        <v>3</v>
      </c>
      <c r="I425" s="1">
        <v>1</v>
      </c>
      <c r="J425" s="1">
        <v>0.38</v>
      </c>
      <c r="K425" s="20">
        <v>0.39389999999999997</v>
      </c>
      <c r="L425" s="23">
        <v>0.57999999999999996</v>
      </c>
      <c r="M425" s="23">
        <v>0.3881</v>
      </c>
      <c r="N425" s="23">
        <v>10</v>
      </c>
      <c r="O425" s="23">
        <v>94</v>
      </c>
      <c r="P425" s="24">
        <v>104</v>
      </c>
    </row>
    <row r="426" spans="1:16">
      <c r="A426" s="1">
        <v>425</v>
      </c>
      <c r="B426" s="2">
        <v>40562</v>
      </c>
      <c r="C426" s="1">
        <v>1</v>
      </c>
      <c r="D426" s="1">
        <v>0</v>
      </c>
      <c r="E426" s="1">
        <v>1</v>
      </c>
      <c r="F426" s="1">
        <v>17</v>
      </c>
      <c r="G426" s="1" t="b">
        <v>0</v>
      </c>
      <c r="H426" s="1">
        <v>3</v>
      </c>
      <c r="I426" s="1">
        <v>1</v>
      </c>
      <c r="J426" s="1">
        <v>0.36</v>
      </c>
      <c r="K426" s="19">
        <v>0.33329999999999999</v>
      </c>
      <c r="L426" s="21">
        <v>0.56999999999999995</v>
      </c>
      <c r="M426" s="21">
        <v>0.32840000000000003</v>
      </c>
      <c r="N426" s="21">
        <v>7</v>
      </c>
      <c r="O426" s="21">
        <v>190</v>
      </c>
      <c r="P426" s="22">
        <v>197</v>
      </c>
    </row>
    <row r="427" spans="1:16">
      <c r="A427" s="1">
        <v>426</v>
      </c>
      <c r="B427" s="2">
        <v>40562</v>
      </c>
      <c r="C427" s="1">
        <v>1</v>
      </c>
      <c r="D427" s="1">
        <v>0</v>
      </c>
      <c r="E427" s="1">
        <v>1</v>
      </c>
      <c r="F427" s="1">
        <v>18</v>
      </c>
      <c r="G427" s="1" t="b">
        <v>0</v>
      </c>
      <c r="H427" s="1">
        <v>3</v>
      </c>
      <c r="I427" s="1">
        <v>1</v>
      </c>
      <c r="J427" s="1">
        <v>0.34</v>
      </c>
      <c r="K427" s="20">
        <v>0.31819999999999998</v>
      </c>
      <c r="L427" s="23">
        <v>0.61</v>
      </c>
      <c r="M427" s="23">
        <v>0.28360000000000002</v>
      </c>
      <c r="N427" s="23">
        <v>5</v>
      </c>
      <c r="O427" s="23">
        <v>156</v>
      </c>
      <c r="P427" s="24">
        <v>161</v>
      </c>
    </row>
    <row r="428" spans="1:16">
      <c r="A428" s="1">
        <v>427</v>
      </c>
      <c r="B428" s="2">
        <v>40562</v>
      </c>
      <c r="C428" s="1">
        <v>1</v>
      </c>
      <c r="D428" s="1">
        <v>0</v>
      </c>
      <c r="E428" s="1">
        <v>1</v>
      </c>
      <c r="F428" s="1">
        <v>19</v>
      </c>
      <c r="G428" s="1" t="b">
        <v>0</v>
      </c>
      <c r="H428" s="1">
        <v>3</v>
      </c>
      <c r="I428" s="1">
        <v>1</v>
      </c>
      <c r="J428" s="1">
        <v>0.32</v>
      </c>
      <c r="K428" s="19">
        <v>0.28789999999999999</v>
      </c>
      <c r="L428" s="21">
        <v>0.56999999999999995</v>
      </c>
      <c r="M428" s="21">
        <v>0.41789999999999999</v>
      </c>
      <c r="N428" s="21">
        <v>4</v>
      </c>
      <c r="O428" s="21">
        <v>108</v>
      </c>
      <c r="P428" s="22">
        <v>112</v>
      </c>
    </row>
    <row r="429" spans="1:16">
      <c r="A429" s="1">
        <v>428</v>
      </c>
      <c r="B429" s="2">
        <v>40562</v>
      </c>
      <c r="C429" s="1">
        <v>1</v>
      </c>
      <c r="D429" s="1">
        <v>0</v>
      </c>
      <c r="E429" s="1">
        <v>1</v>
      </c>
      <c r="F429" s="1">
        <v>20</v>
      </c>
      <c r="G429" s="1" t="b">
        <v>0</v>
      </c>
      <c r="H429" s="1">
        <v>3</v>
      </c>
      <c r="I429" s="1">
        <v>1</v>
      </c>
      <c r="J429" s="1">
        <v>0.32</v>
      </c>
      <c r="K429" s="20">
        <v>0.30299999999999999</v>
      </c>
      <c r="L429" s="23">
        <v>0.49</v>
      </c>
      <c r="M429" s="23">
        <v>0.29849999999999999</v>
      </c>
      <c r="N429" s="23">
        <v>2</v>
      </c>
      <c r="O429" s="23">
        <v>74</v>
      </c>
      <c r="P429" s="24">
        <v>76</v>
      </c>
    </row>
    <row r="430" spans="1:16">
      <c r="A430" s="1">
        <v>429</v>
      </c>
      <c r="B430" s="2">
        <v>40562</v>
      </c>
      <c r="C430" s="1">
        <v>1</v>
      </c>
      <c r="D430" s="1">
        <v>0</v>
      </c>
      <c r="E430" s="1">
        <v>1</v>
      </c>
      <c r="F430" s="1">
        <v>21</v>
      </c>
      <c r="G430" s="1" t="b">
        <v>0</v>
      </c>
      <c r="H430" s="1">
        <v>3</v>
      </c>
      <c r="I430" s="1">
        <v>1</v>
      </c>
      <c r="J430" s="1">
        <v>0.32</v>
      </c>
      <c r="K430" s="19">
        <v>0.28789999999999999</v>
      </c>
      <c r="L430" s="21">
        <v>0.49</v>
      </c>
      <c r="M430" s="21">
        <v>0.41789999999999999</v>
      </c>
      <c r="N430" s="21">
        <v>4</v>
      </c>
      <c r="O430" s="21">
        <v>55</v>
      </c>
      <c r="P430" s="22">
        <v>59</v>
      </c>
    </row>
    <row r="431" spans="1:16">
      <c r="A431" s="1">
        <v>430</v>
      </c>
      <c r="B431" s="2">
        <v>40562</v>
      </c>
      <c r="C431" s="1">
        <v>1</v>
      </c>
      <c r="D431" s="1">
        <v>0</v>
      </c>
      <c r="E431" s="1">
        <v>1</v>
      </c>
      <c r="F431" s="1">
        <v>22</v>
      </c>
      <c r="G431" s="1" t="b">
        <v>0</v>
      </c>
      <c r="H431" s="1">
        <v>3</v>
      </c>
      <c r="I431" s="1">
        <v>1</v>
      </c>
      <c r="J431" s="1">
        <v>0.3</v>
      </c>
      <c r="K431" s="20">
        <v>0.30299999999999999</v>
      </c>
      <c r="L431" s="23">
        <v>0.52</v>
      </c>
      <c r="M431" s="23">
        <v>0.16420000000000001</v>
      </c>
      <c r="N431" s="23">
        <v>6</v>
      </c>
      <c r="O431" s="23">
        <v>53</v>
      </c>
      <c r="P431" s="24">
        <v>59</v>
      </c>
    </row>
    <row r="432" spans="1:16">
      <c r="A432" s="1">
        <v>431</v>
      </c>
      <c r="B432" s="2">
        <v>40562</v>
      </c>
      <c r="C432" s="1">
        <v>1</v>
      </c>
      <c r="D432" s="1">
        <v>0</v>
      </c>
      <c r="E432" s="1">
        <v>1</v>
      </c>
      <c r="F432" s="1">
        <v>23</v>
      </c>
      <c r="G432" s="1" t="b">
        <v>0</v>
      </c>
      <c r="H432" s="1">
        <v>3</v>
      </c>
      <c r="I432" s="1">
        <v>1</v>
      </c>
      <c r="J432" s="1">
        <v>0.3</v>
      </c>
      <c r="K432" s="19">
        <v>0.2727</v>
      </c>
      <c r="L432" s="21">
        <v>0.52</v>
      </c>
      <c r="M432" s="21">
        <v>0.4627</v>
      </c>
      <c r="N432" s="21">
        <v>1</v>
      </c>
      <c r="O432" s="21">
        <v>27</v>
      </c>
      <c r="P432" s="22">
        <v>28</v>
      </c>
    </row>
    <row r="433" spans="1:16">
      <c r="A433" s="1">
        <v>432</v>
      </c>
      <c r="B433" s="2">
        <v>40563</v>
      </c>
      <c r="C433" s="1">
        <v>1</v>
      </c>
      <c r="D433" s="1">
        <v>0</v>
      </c>
      <c r="E433" s="1">
        <v>1</v>
      </c>
      <c r="F433" s="1">
        <v>0</v>
      </c>
      <c r="G433" s="1" t="b">
        <v>0</v>
      </c>
      <c r="H433" s="1">
        <v>4</v>
      </c>
      <c r="I433" s="1">
        <v>1</v>
      </c>
      <c r="J433" s="1">
        <v>0.26</v>
      </c>
      <c r="K433" s="20">
        <v>0.2273</v>
      </c>
      <c r="L433" s="23">
        <v>0.56000000000000005</v>
      </c>
      <c r="M433" s="23">
        <v>0.3881</v>
      </c>
      <c r="N433" s="23">
        <v>5</v>
      </c>
      <c r="O433" s="23">
        <v>8</v>
      </c>
      <c r="P433" s="24">
        <v>13</v>
      </c>
    </row>
    <row r="434" spans="1:16">
      <c r="A434" s="1">
        <v>433</v>
      </c>
      <c r="B434" s="2">
        <v>40563</v>
      </c>
      <c r="C434" s="1">
        <v>1</v>
      </c>
      <c r="D434" s="1">
        <v>0</v>
      </c>
      <c r="E434" s="1">
        <v>1</v>
      </c>
      <c r="F434" s="1">
        <v>1</v>
      </c>
      <c r="G434" s="1" t="b">
        <v>0</v>
      </c>
      <c r="H434" s="1">
        <v>4</v>
      </c>
      <c r="I434" s="1">
        <v>1</v>
      </c>
      <c r="J434" s="1">
        <v>0.26</v>
      </c>
      <c r="K434" s="19">
        <v>0.2727</v>
      </c>
      <c r="L434" s="21">
        <v>0.56000000000000005</v>
      </c>
      <c r="M434" s="21">
        <v>0</v>
      </c>
      <c r="N434" s="21">
        <v>2</v>
      </c>
      <c r="O434" s="21">
        <v>3</v>
      </c>
      <c r="P434" s="22">
        <v>5</v>
      </c>
    </row>
    <row r="435" spans="1:16">
      <c r="A435" s="1">
        <v>434</v>
      </c>
      <c r="B435" s="2">
        <v>40563</v>
      </c>
      <c r="C435" s="1">
        <v>1</v>
      </c>
      <c r="D435" s="1">
        <v>0</v>
      </c>
      <c r="E435" s="1">
        <v>1</v>
      </c>
      <c r="F435" s="1">
        <v>2</v>
      </c>
      <c r="G435" s="1" t="b">
        <v>0</v>
      </c>
      <c r="H435" s="1">
        <v>4</v>
      </c>
      <c r="I435" s="1">
        <v>1</v>
      </c>
      <c r="J435" s="1">
        <v>0.26</v>
      </c>
      <c r="K435" s="20">
        <v>0.2727</v>
      </c>
      <c r="L435" s="23">
        <v>0.56000000000000005</v>
      </c>
      <c r="M435" s="23">
        <v>0</v>
      </c>
      <c r="N435" s="23">
        <v>0</v>
      </c>
      <c r="O435" s="23">
        <v>2</v>
      </c>
      <c r="P435" s="24">
        <v>2</v>
      </c>
    </row>
    <row r="436" spans="1:16">
      <c r="A436" s="1">
        <v>435</v>
      </c>
      <c r="B436" s="2">
        <v>40563</v>
      </c>
      <c r="C436" s="1">
        <v>1</v>
      </c>
      <c r="D436" s="1">
        <v>0</v>
      </c>
      <c r="E436" s="1">
        <v>1</v>
      </c>
      <c r="F436" s="1">
        <v>3</v>
      </c>
      <c r="G436" s="1" t="b">
        <v>0</v>
      </c>
      <c r="H436" s="1">
        <v>4</v>
      </c>
      <c r="I436" s="1">
        <v>1</v>
      </c>
      <c r="J436" s="1">
        <v>0.26</v>
      </c>
      <c r="K436" s="19">
        <v>0.2576</v>
      </c>
      <c r="L436" s="21">
        <v>0.56000000000000005</v>
      </c>
      <c r="M436" s="21">
        <v>0.16420000000000001</v>
      </c>
      <c r="N436" s="21">
        <v>0</v>
      </c>
      <c r="O436" s="21">
        <v>1</v>
      </c>
      <c r="P436" s="22">
        <v>1</v>
      </c>
    </row>
    <row r="437" spans="1:16">
      <c r="A437" s="1">
        <v>436</v>
      </c>
      <c r="B437" s="2">
        <v>40563</v>
      </c>
      <c r="C437" s="1">
        <v>1</v>
      </c>
      <c r="D437" s="1">
        <v>0</v>
      </c>
      <c r="E437" s="1">
        <v>1</v>
      </c>
      <c r="F437" s="1">
        <v>4</v>
      </c>
      <c r="G437" s="1" t="b">
        <v>0</v>
      </c>
      <c r="H437" s="1">
        <v>4</v>
      </c>
      <c r="I437" s="1">
        <v>1</v>
      </c>
      <c r="J437" s="1">
        <v>0.26</v>
      </c>
      <c r="K437" s="20">
        <v>0.2576</v>
      </c>
      <c r="L437" s="23">
        <v>0.56000000000000005</v>
      </c>
      <c r="M437" s="23">
        <v>0.16420000000000001</v>
      </c>
      <c r="N437" s="23">
        <v>0</v>
      </c>
      <c r="O437" s="23">
        <v>1</v>
      </c>
      <c r="P437" s="24">
        <v>1</v>
      </c>
    </row>
    <row r="438" spans="1:16">
      <c r="A438" s="1">
        <v>437</v>
      </c>
      <c r="B438" s="2">
        <v>40563</v>
      </c>
      <c r="C438" s="1">
        <v>1</v>
      </c>
      <c r="D438" s="1">
        <v>0</v>
      </c>
      <c r="E438" s="1">
        <v>1</v>
      </c>
      <c r="F438" s="1">
        <v>5</v>
      </c>
      <c r="G438" s="1" t="b">
        <v>0</v>
      </c>
      <c r="H438" s="1">
        <v>4</v>
      </c>
      <c r="I438" s="1">
        <v>1</v>
      </c>
      <c r="J438" s="1">
        <v>0.24</v>
      </c>
      <c r="K438" s="19">
        <v>0.2273</v>
      </c>
      <c r="L438" s="21">
        <v>0.6</v>
      </c>
      <c r="M438" s="21">
        <v>0.22389999999999999</v>
      </c>
      <c r="N438" s="21">
        <v>0</v>
      </c>
      <c r="O438" s="21">
        <v>6</v>
      </c>
      <c r="P438" s="22">
        <v>6</v>
      </c>
    </row>
    <row r="439" spans="1:16">
      <c r="A439" s="1">
        <v>438</v>
      </c>
      <c r="B439" s="2">
        <v>40563</v>
      </c>
      <c r="C439" s="1">
        <v>1</v>
      </c>
      <c r="D439" s="1">
        <v>0</v>
      </c>
      <c r="E439" s="1">
        <v>1</v>
      </c>
      <c r="F439" s="1">
        <v>6</v>
      </c>
      <c r="G439" s="1" t="b">
        <v>0</v>
      </c>
      <c r="H439" s="1">
        <v>4</v>
      </c>
      <c r="I439" s="1">
        <v>1</v>
      </c>
      <c r="J439" s="1">
        <v>0.22</v>
      </c>
      <c r="K439" s="20">
        <v>0.21210000000000001</v>
      </c>
      <c r="L439" s="23">
        <v>0.6</v>
      </c>
      <c r="M439" s="23">
        <v>0.22389999999999999</v>
      </c>
      <c r="N439" s="23">
        <v>0</v>
      </c>
      <c r="O439" s="23">
        <v>35</v>
      </c>
      <c r="P439" s="24">
        <v>35</v>
      </c>
    </row>
    <row r="440" spans="1:16">
      <c r="A440" s="1">
        <v>439</v>
      </c>
      <c r="B440" s="2">
        <v>40563</v>
      </c>
      <c r="C440" s="1">
        <v>1</v>
      </c>
      <c r="D440" s="1">
        <v>0</v>
      </c>
      <c r="E440" s="1">
        <v>1</v>
      </c>
      <c r="F440" s="1">
        <v>7</v>
      </c>
      <c r="G440" s="1" t="b">
        <v>0</v>
      </c>
      <c r="H440" s="1">
        <v>4</v>
      </c>
      <c r="I440" s="1">
        <v>1</v>
      </c>
      <c r="J440" s="1">
        <v>0.22</v>
      </c>
      <c r="K440" s="19">
        <v>0.21210000000000001</v>
      </c>
      <c r="L440" s="21">
        <v>0.55000000000000004</v>
      </c>
      <c r="M440" s="21">
        <v>0.22389999999999999</v>
      </c>
      <c r="N440" s="21">
        <v>1</v>
      </c>
      <c r="O440" s="21">
        <v>100</v>
      </c>
      <c r="P440" s="22">
        <v>101</v>
      </c>
    </row>
    <row r="441" spans="1:16">
      <c r="A441" s="1">
        <v>440</v>
      </c>
      <c r="B441" s="2">
        <v>40563</v>
      </c>
      <c r="C441" s="1">
        <v>1</v>
      </c>
      <c r="D441" s="1">
        <v>0</v>
      </c>
      <c r="E441" s="1">
        <v>1</v>
      </c>
      <c r="F441" s="1">
        <v>8</v>
      </c>
      <c r="G441" s="1" t="b">
        <v>0</v>
      </c>
      <c r="H441" s="1">
        <v>4</v>
      </c>
      <c r="I441" s="1">
        <v>1</v>
      </c>
      <c r="J441" s="1">
        <v>0.22</v>
      </c>
      <c r="K441" s="20">
        <v>0.21210000000000001</v>
      </c>
      <c r="L441" s="23">
        <v>0.55000000000000004</v>
      </c>
      <c r="M441" s="23">
        <v>0.28360000000000002</v>
      </c>
      <c r="N441" s="23">
        <v>2</v>
      </c>
      <c r="O441" s="23">
        <v>247</v>
      </c>
      <c r="P441" s="24">
        <v>249</v>
      </c>
    </row>
    <row r="442" spans="1:16">
      <c r="A442" s="1">
        <v>441</v>
      </c>
      <c r="B442" s="2">
        <v>40563</v>
      </c>
      <c r="C442" s="1">
        <v>1</v>
      </c>
      <c r="D442" s="1">
        <v>0</v>
      </c>
      <c r="E442" s="1">
        <v>1</v>
      </c>
      <c r="F442" s="1">
        <v>9</v>
      </c>
      <c r="G442" s="1" t="b">
        <v>0</v>
      </c>
      <c r="H442" s="1">
        <v>4</v>
      </c>
      <c r="I442" s="1">
        <v>2</v>
      </c>
      <c r="J442" s="1">
        <v>0.24</v>
      </c>
      <c r="K442" s="19">
        <v>0.2273</v>
      </c>
      <c r="L442" s="21">
        <v>0.52</v>
      </c>
      <c r="M442" s="21">
        <v>0.22389999999999999</v>
      </c>
      <c r="N442" s="21">
        <v>3</v>
      </c>
      <c r="O442" s="21">
        <v>140</v>
      </c>
      <c r="P442" s="22">
        <v>143</v>
      </c>
    </row>
    <row r="443" spans="1:16">
      <c r="A443" s="1">
        <v>442</v>
      </c>
      <c r="B443" s="2">
        <v>40563</v>
      </c>
      <c r="C443" s="1">
        <v>1</v>
      </c>
      <c r="D443" s="1">
        <v>0</v>
      </c>
      <c r="E443" s="1">
        <v>1</v>
      </c>
      <c r="F443" s="1">
        <v>10</v>
      </c>
      <c r="G443" s="1" t="b">
        <v>0</v>
      </c>
      <c r="H443" s="1">
        <v>4</v>
      </c>
      <c r="I443" s="1">
        <v>1</v>
      </c>
      <c r="J443" s="1">
        <v>0.26</v>
      </c>
      <c r="K443" s="20">
        <v>0.2273</v>
      </c>
      <c r="L443" s="23">
        <v>0.48</v>
      </c>
      <c r="M443" s="23">
        <v>0.29849999999999999</v>
      </c>
      <c r="N443" s="23">
        <v>1</v>
      </c>
      <c r="O443" s="23">
        <v>56</v>
      </c>
      <c r="P443" s="24">
        <v>57</v>
      </c>
    </row>
    <row r="444" spans="1:16">
      <c r="A444" s="1">
        <v>443</v>
      </c>
      <c r="B444" s="2">
        <v>40563</v>
      </c>
      <c r="C444" s="1">
        <v>1</v>
      </c>
      <c r="D444" s="1">
        <v>0</v>
      </c>
      <c r="E444" s="1">
        <v>1</v>
      </c>
      <c r="F444" s="1">
        <v>11</v>
      </c>
      <c r="G444" s="1" t="b">
        <v>0</v>
      </c>
      <c r="H444" s="1">
        <v>4</v>
      </c>
      <c r="I444" s="1">
        <v>2</v>
      </c>
      <c r="J444" s="1">
        <v>0.28000000000000003</v>
      </c>
      <c r="K444" s="19">
        <v>0.2727</v>
      </c>
      <c r="L444" s="21">
        <v>0.45</v>
      </c>
      <c r="M444" s="21">
        <v>0.16420000000000001</v>
      </c>
      <c r="N444" s="21">
        <v>5</v>
      </c>
      <c r="O444" s="21">
        <v>63</v>
      </c>
      <c r="P444" s="22">
        <v>68</v>
      </c>
    </row>
    <row r="445" spans="1:16">
      <c r="A445" s="1">
        <v>444</v>
      </c>
      <c r="B445" s="2">
        <v>40563</v>
      </c>
      <c r="C445" s="1">
        <v>1</v>
      </c>
      <c r="D445" s="1">
        <v>0</v>
      </c>
      <c r="E445" s="1">
        <v>1</v>
      </c>
      <c r="F445" s="1">
        <v>12</v>
      </c>
      <c r="G445" s="1" t="b">
        <v>0</v>
      </c>
      <c r="H445" s="1">
        <v>4</v>
      </c>
      <c r="I445" s="1">
        <v>2</v>
      </c>
      <c r="J445" s="1">
        <v>0.3</v>
      </c>
      <c r="K445" s="20">
        <v>0.33329999999999999</v>
      </c>
      <c r="L445" s="23">
        <v>0.42</v>
      </c>
      <c r="M445" s="23">
        <v>0</v>
      </c>
      <c r="N445" s="23">
        <v>7</v>
      </c>
      <c r="O445" s="23">
        <v>77</v>
      </c>
      <c r="P445" s="24">
        <v>84</v>
      </c>
    </row>
    <row r="446" spans="1:16">
      <c r="A446" s="1">
        <v>445</v>
      </c>
      <c r="B446" s="2">
        <v>40563</v>
      </c>
      <c r="C446" s="1">
        <v>1</v>
      </c>
      <c r="D446" s="1">
        <v>0</v>
      </c>
      <c r="E446" s="1">
        <v>1</v>
      </c>
      <c r="F446" s="1">
        <v>13</v>
      </c>
      <c r="G446" s="1" t="b">
        <v>0</v>
      </c>
      <c r="H446" s="1">
        <v>4</v>
      </c>
      <c r="I446" s="1">
        <v>2</v>
      </c>
      <c r="J446" s="1">
        <v>0.28000000000000003</v>
      </c>
      <c r="K446" s="19">
        <v>0.28789999999999999</v>
      </c>
      <c r="L446" s="21">
        <v>0.45</v>
      </c>
      <c r="M446" s="21">
        <v>0.1045</v>
      </c>
      <c r="N446" s="21">
        <v>12</v>
      </c>
      <c r="O446" s="21">
        <v>86</v>
      </c>
      <c r="P446" s="22">
        <v>98</v>
      </c>
    </row>
    <row r="447" spans="1:16">
      <c r="A447" s="1">
        <v>446</v>
      </c>
      <c r="B447" s="2">
        <v>40563</v>
      </c>
      <c r="C447" s="1">
        <v>1</v>
      </c>
      <c r="D447" s="1">
        <v>0</v>
      </c>
      <c r="E447" s="1">
        <v>1</v>
      </c>
      <c r="F447" s="1">
        <v>14</v>
      </c>
      <c r="G447" s="1" t="b">
        <v>0</v>
      </c>
      <c r="H447" s="1">
        <v>4</v>
      </c>
      <c r="I447" s="1">
        <v>2</v>
      </c>
      <c r="J447" s="1">
        <v>0.3</v>
      </c>
      <c r="K447" s="20">
        <v>0.30299999999999999</v>
      </c>
      <c r="L447" s="23">
        <v>0.45</v>
      </c>
      <c r="M447" s="23">
        <v>0.1343</v>
      </c>
      <c r="N447" s="23">
        <v>6</v>
      </c>
      <c r="O447" s="23">
        <v>75</v>
      </c>
      <c r="P447" s="24">
        <v>81</v>
      </c>
    </row>
    <row r="448" spans="1:16">
      <c r="A448" s="1">
        <v>447</v>
      </c>
      <c r="B448" s="2">
        <v>40563</v>
      </c>
      <c r="C448" s="1">
        <v>1</v>
      </c>
      <c r="D448" s="1">
        <v>0</v>
      </c>
      <c r="E448" s="1">
        <v>1</v>
      </c>
      <c r="F448" s="1">
        <v>15</v>
      </c>
      <c r="G448" s="1" t="b">
        <v>0</v>
      </c>
      <c r="H448" s="1">
        <v>4</v>
      </c>
      <c r="I448" s="1">
        <v>2</v>
      </c>
      <c r="J448" s="1">
        <v>0.32</v>
      </c>
      <c r="K448" s="19">
        <v>0.31819999999999998</v>
      </c>
      <c r="L448" s="21">
        <v>0.45</v>
      </c>
      <c r="M448" s="21">
        <v>0.19400000000000001</v>
      </c>
      <c r="N448" s="21">
        <v>8</v>
      </c>
      <c r="O448" s="21">
        <v>62</v>
      </c>
      <c r="P448" s="22">
        <v>70</v>
      </c>
    </row>
    <row r="449" spans="1:16">
      <c r="A449" s="1">
        <v>448</v>
      </c>
      <c r="B449" s="2">
        <v>40563</v>
      </c>
      <c r="C449" s="1">
        <v>1</v>
      </c>
      <c r="D449" s="1">
        <v>0</v>
      </c>
      <c r="E449" s="1">
        <v>1</v>
      </c>
      <c r="F449" s="1">
        <v>16</v>
      </c>
      <c r="G449" s="1" t="b">
        <v>0</v>
      </c>
      <c r="H449" s="1">
        <v>4</v>
      </c>
      <c r="I449" s="1">
        <v>2</v>
      </c>
      <c r="J449" s="1">
        <v>0.3</v>
      </c>
      <c r="K449" s="20">
        <v>0.30299999999999999</v>
      </c>
      <c r="L449" s="23">
        <v>0.49</v>
      </c>
      <c r="M449" s="23">
        <v>0.1343</v>
      </c>
      <c r="N449" s="23">
        <v>8</v>
      </c>
      <c r="O449" s="23">
        <v>83</v>
      </c>
      <c r="P449" s="24">
        <v>91</v>
      </c>
    </row>
    <row r="450" spans="1:16">
      <c r="A450" s="1">
        <v>449</v>
      </c>
      <c r="B450" s="2">
        <v>40563</v>
      </c>
      <c r="C450" s="1">
        <v>1</v>
      </c>
      <c r="D450" s="1">
        <v>0</v>
      </c>
      <c r="E450" s="1">
        <v>1</v>
      </c>
      <c r="F450" s="1">
        <v>17</v>
      </c>
      <c r="G450" s="1" t="b">
        <v>0</v>
      </c>
      <c r="H450" s="1">
        <v>4</v>
      </c>
      <c r="I450" s="1">
        <v>2</v>
      </c>
      <c r="J450" s="1">
        <v>0.3</v>
      </c>
      <c r="K450" s="19">
        <v>0.31819999999999998</v>
      </c>
      <c r="L450" s="21">
        <v>0.49</v>
      </c>
      <c r="M450" s="21">
        <v>0.1045</v>
      </c>
      <c r="N450" s="21">
        <v>8</v>
      </c>
      <c r="O450" s="21">
        <v>207</v>
      </c>
      <c r="P450" s="22">
        <v>215</v>
      </c>
    </row>
    <row r="451" spans="1:16">
      <c r="A451" s="1">
        <v>450</v>
      </c>
      <c r="B451" s="2">
        <v>40563</v>
      </c>
      <c r="C451" s="1">
        <v>1</v>
      </c>
      <c r="D451" s="1">
        <v>0</v>
      </c>
      <c r="E451" s="1">
        <v>1</v>
      </c>
      <c r="F451" s="1">
        <v>18</v>
      </c>
      <c r="G451" s="1" t="b">
        <v>0</v>
      </c>
      <c r="H451" s="1">
        <v>4</v>
      </c>
      <c r="I451" s="1">
        <v>2</v>
      </c>
      <c r="J451" s="1">
        <v>0.26</v>
      </c>
      <c r="K451" s="20">
        <v>0.2576</v>
      </c>
      <c r="L451" s="23">
        <v>0.56000000000000005</v>
      </c>
      <c r="M451" s="23">
        <v>0.19400000000000001</v>
      </c>
      <c r="N451" s="23">
        <v>1</v>
      </c>
      <c r="O451" s="23">
        <v>184</v>
      </c>
      <c r="P451" s="24">
        <v>185</v>
      </c>
    </row>
    <row r="452" spans="1:16">
      <c r="A452" s="1">
        <v>451</v>
      </c>
      <c r="B452" s="2">
        <v>40563</v>
      </c>
      <c r="C452" s="1">
        <v>1</v>
      </c>
      <c r="D452" s="1">
        <v>0</v>
      </c>
      <c r="E452" s="1">
        <v>1</v>
      </c>
      <c r="F452" s="1">
        <v>19</v>
      </c>
      <c r="G452" s="1" t="b">
        <v>0</v>
      </c>
      <c r="H452" s="1">
        <v>4</v>
      </c>
      <c r="I452" s="1">
        <v>1</v>
      </c>
      <c r="J452" s="1">
        <v>0.26</v>
      </c>
      <c r="K452" s="19">
        <v>0.2273</v>
      </c>
      <c r="L452" s="21">
        <v>0.56000000000000005</v>
      </c>
      <c r="M452" s="21">
        <v>0.32840000000000003</v>
      </c>
      <c r="N452" s="21">
        <v>6</v>
      </c>
      <c r="O452" s="21">
        <v>146</v>
      </c>
      <c r="P452" s="22">
        <v>152</v>
      </c>
    </row>
    <row r="453" spans="1:16">
      <c r="A453" s="1">
        <v>452</v>
      </c>
      <c r="B453" s="2">
        <v>40563</v>
      </c>
      <c r="C453" s="1">
        <v>1</v>
      </c>
      <c r="D453" s="1">
        <v>0</v>
      </c>
      <c r="E453" s="1">
        <v>1</v>
      </c>
      <c r="F453" s="1">
        <v>20</v>
      </c>
      <c r="G453" s="1" t="b">
        <v>0</v>
      </c>
      <c r="H453" s="1">
        <v>4</v>
      </c>
      <c r="I453" s="1">
        <v>2</v>
      </c>
      <c r="J453" s="1">
        <v>0.26</v>
      </c>
      <c r="K453" s="20">
        <v>0.2424</v>
      </c>
      <c r="L453" s="23">
        <v>0.6</v>
      </c>
      <c r="M453" s="23">
        <v>0.28360000000000002</v>
      </c>
      <c r="N453" s="23">
        <v>2</v>
      </c>
      <c r="O453" s="23">
        <v>124</v>
      </c>
      <c r="P453" s="24">
        <v>126</v>
      </c>
    </row>
    <row r="454" spans="1:16">
      <c r="A454" s="1">
        <v>453</v>
      </c>
      <c r="B454" s="2">
        <v>40563</v>
      </c>
      <c r="C454" s="1">
        <v>1</v>
      </c>
      <c r="D454" s="1">
        <v>0</v>
      </c>
      <c r="E454" s="1">
        <v>1</v>
      </c>
      <c r="F454" s="1">
        <v>21</v>
      </c>
      <c r="G454" s="1" t="b">
        <v>0</v>
      </c>
      <c r="H454" s="1">
        <v>4</v>
      </c>
      <c r="I454" s="1">
        <v>2</v>
      </c>
      <c r="J454" s="1">
        <v>0.24</v>
      </c>
      <c r="K454" s="19">
        <v>0.2273</v>
      </c>
      <c r="L454" s="21">
        <v>0.6</v>
      </c>
      <c r="M454" s="21">
        <v>0.25369999999999998</v>
      </c>
      <c r="N454" s="21">
        <v>3</v>
      </c>
      <c r="O454" s="21">
        <v>54</v>
      </c>
      <c r="P454" s="22">
        <v>57</v>
      </c>
    </row>
    <row r="455" spans="1:16">
      <c r="A455" s="1">
        <v>454</v>
      </c>
      <c r="B455" s="2">
        <v>40563</v>
      </c>
      <c r="C455" s="1">
        <v>1</v>
      </c>
      <c r="D455" s="1">
        <v>0</v>
      </c>
      <c r="E455" s="1">
        <v>1</v>
      </c>
      <c r="F455" s="1">
        <v>22</v>
      </c>
      <c r="G455" s="1" t="b">
        <v>0</v>
      </c>
      <c r="H455" s="1">
        <v>4</v>
      </c>
      <c r="I455" s="1">
        <v>2</v>
      </c>
      <c r="J455" s="1">
        <v>0.24</v>
      </c>
      <c r="K455" s="20">
        <v>0.21210000000000001</v>
      </c>
      <c r="L455" s="23">
        <v>0.65</v>
      </c>
      <c r="M455" s="23">
        <v>0.28360000000000002</v>
      </c>
      <c r="N455" s="23">
        <v>0</v>
      </c>
      <c r="O455" s="23">
        <v>56</v>
      </c>
      <c r="P455" s="24">
        <v>56</v>
      </c>
    </row>
    <row r="456" spans="1:16">
      <c r="A456" s="1">
        <v>455</v>
      </c>
      <c r="B456" s="2">
        <v>40563</v>
      </c>
      <c r="C456" s="1">
        <v>1</v>
      </c>
      <c r="D456" s="1">
        <v>0</v>
      </c>
      <c r="E456" s="1">
        <v>1</v>
      </c>
      <c r="F456" s="1">
        <v>23</v>
      </c>
      <c r="G456" s="1" t="b">
        <v>0</v>
      </c>
      <c r="H456" s="1">
        <v>4</v>
      </c>
      <c r="I456" s="1">
        <v>2</v>
      </c>
      <c r="J456" s="1">
        <v>0.24</v>
      </c>
      <c r="K456" s="19">
        <v>0.21210000000000001</v>
      </c>
      <c r="L456" s="21">
        <v>0.65</v>
      </c>
      <c r="M456" s="21">
        <v>0.32840000000000003</v>
      </c>
      <c r="N456" s="21">
        <v>3</v>
      </c>
      <c r="O456" s="21">
        <v>28</v>
      </c>
      <c r="P456" s="22">
        <v>31</v>
      </c>
    </row>
    <row r="457" spans="1:16">
      <c r="A457" s="1">
        <v>456</v>
      </c>
      <c r="B457" s="2">
        <v>40564</v>
      </c>
      <c r="C457" s="1">
        <v>1</v>
      </c>
      <c r="D457" s="1">
        <v>0</v>
      </c>
      <c r="E457" s="1">
        <v>1</v>
      </c>
      <c r="F457" s="1">
        <v>0</v>
      </c>
      <c r="G457" s="1" t="b">
        <v>0</v>
      </c>
      <c r="H457" s="1">
        <v>5</v>
      </c>
      <c r="I457" s="1">
        <v>2</v>
      </c>
      <c r="J457" s="1">
        <v>0.24</v>
      </c>
      <c r="K457" s="20">
        <v>0.2273</v>
      </c>
      <c r="L457" s="23">
        <v>0.7</v>
      </c>
      <c r="M457" s="23">
        <v>0.25369999999999998</v>
      </c>
      <c r="N457" s="23">
        <v>1</v>
      </c>
      <c r="O457" s="23">
        <v>20</v>
      </c>
      <c r="P457" s="24">
        <v>21</v>
      </c>
    </row>
    <row r="458" spans="1:16">
      <c r="A458" s="1">
        <v>457</v>
      </c>
      <c r="B458" s="2">
        <v>40564</v>
      </c>
      <c r="C458" s="1">
        <v>1</v>
      </c>
      <c r="D458" s="1">
        <v>0</v>
      </c>
      <c r="E458" s="1">
        <v>1</v>
      </c>
      <c r="F458" s="1">
        <v>1</v>
      </c>
      <c r="G458" s="1" t="b">
        <v>0</v>
      </c>
      <c r="H458" s="1">
        <v>5</v>
      </c>
      <c r="I458" s="1">
        <v>2</v>
      </c>
      <c r="J458" s="1">
        <v>0.24</v>
      </c>
      <c r="K458" s="19">
        <v>0.2273</v>
      </c>
      <c r="L458" s="21">
        <v>0.7</v>
      </c>
      <c r="M458" s="21">
        <v>0.25369999999999998</v>
      </c>
      <c r="N458" s="21">
        <v>0</v>
      </c>
      <c r="O458" s="21">
        <v>6</v>
      </c>
      <c r="P458" s="22">
        <v>6</v>
      </c>
    </row>
    <row r="459" spans="1:16">
      <c r="A459" s="1">
        <v>458</v>
      </c>
      <c r="B459" s="2">
        <v>40564</v>
      </c>
      <c r="C459" s="1">
        <v>1</v>
      </c>
      <c r="D459" s="1">
        <v>0</v>
      </c>
      <c r="E459" s="1">
        <v>1</v>
      </c>
      <c r="F459" s="1">
        <v>2</v>
      </c>
      <c r="G459" s="1" t="b">
        <v>0</v>
      </c>
      <c r="H459" s="1">
        <v>5</v>
      </c>
      <c r="I459" s="1">
        <v>3</v>
      </c>
      <c r="J459" s="1">
        <v>0.24</v>
      </c>
      <c r="K459" s="20">
        <v>0.2424</v>
      </c>
      <c r="L459" s="23">
        <v>0.75</v>
      </c>
      <c r="M459" s="23">
        <v>0.16420000000000001</v>
      </c>
      <c r="N459" s="23">
        <v>0</v>
      </c>
      <c r="O459" s="23">
        <v>2</v>
      </c>
      <c r="P459" s="24">
        <v>2</v>
      </c>
    </row>
    <row r="460" spans="1:16">
      <c r="A460" s="1">
        <v>459</v>
      </c>
      <c r="B460" s="2">
        <v>40564</v>
      </c>
      <c r="C460" s="1">
        <v>1</v>
      </c>
      <c r="D460" s="1">
        <v>0</v>
      </c>
      <c r="E460" s="1">
        <v>1</v>
      </c>
      <c r="F460" s="1">
        <v>3</v>
      </c>
      <c r="G460" s="1" t="b">
        <v>0</v>
      </c>
      <c r="H460" s="1">
        <v>5</v>
      </c>
      <c r="I460" s="1">
        <v>3</v>
      </c>
      <c r="J460" s="1">
        <v>0.22</v>
      </c>
      <c r="K460" s="19">
        <v>0.21210000000000001</v>
      </c>
      <c r="L460" s="21">
        <v>0.8</v>
      </c>
      <c r="M460" s="21">
        <v>0.29849999999999999</v>
      </c>
      <c r="N460" s="21">
        <v>0</v>
      </c>
      <c r="O460" s="21">
        <v>1</v>
      </c>
      <c r="P460" s="22">
        <v>1</v>
      </c>
    </row>
    <row r="461" spans="1:16">
      <c r="A461" s="1">
        <v>460</v>
      </c>
      <c r="B461" s="2">
        <v>40564</v>
      </c>
      <c r="C461" s="1">
        <v>1</v>
      </c>
      <c r="D461" s="1">
        <v>0</v>
      </c>
      <c r="E461" s="1">
        <v>1</v>
      </c>
      <c r="F461" s="1">
        <v>4</v>
      </c>
      <c r="G461" s="1" t="b">
        <v>0</v>
      </c>
      <c r="H461" s="1">
        <v>5</v>
      </c>
      <c r="I461" s="1">
        <v>2</v>
      </c>
      <c r="J461" s="1">
        <v>0.22</v>
      </c>
      <c r="K461" s="20">
        <v>0.2576</v>
      </c>
      <c r="L461" s="23">
        <v>0.87</v>
      </c>
      <c r="M461" s="23">
        <v>8.9599999999999999E-2</v>
      </c>
      <c r="N461" s="23">
        <v>0</v>
      </c>
      <c r="O461" s="23">
        <v>1</v>
      </c>
      <c r="P461" s="24">
        <v>1</v>
      </c>
    </row>
    <row r="462" spans="1:16">
      <c r="A462" s="1">
        <v>461</v>
      </c>
      <c r="B462" s="2">
        <v>40564</v>
      </c>
      <c r="C462" s="1">
        <v>1</v>
      </c>
      <c r="D462" s="1">
        <v>0</v>
      </c>
      <c r="E462" s="1">
        <v>1</v>
      </c>
      <c r="F462" s="1">
        <v>5</v>
      </c>
      <c r="G462" s="1" t="b">
        <v>0</v>
      </c>
      <c r="H462" s="1">
        <v>5</v>
      </c>
      <c r="I462" s="1">
        <v>1</v>
      </c>
      <c r="J462" s="1">
        <v>0.24</v>
      </c>
      <c r="K462" s="19">
        <v>0.19700000000000001</v>
      </c>
      <c r="L462" s="21">
        <v>0.6</v>
      </c>
      <c r="M462" s="21">
        <v>0.41789999999999999</v>
      </c>
      <c r="N462" s="21">
        <v>1</v>
      </c>
      <c r="O462" s="21">
        <v>4</v>
      </c>
      <c r="P462" s="22">
        <v>5</v>
      </c>
    </row>
    <row r="463" spans="1:16">
      <c r="A463" s="1">
        <v>462</v>
      </c>
      <c r="B463" s="2">
        <v>40564</v>
      </c>
      <c r="C463" s="1">
        <v>1</v>
      </c>
      <c r="D463" s="1">
        <v>0</v>
      </c>
      <c r="E463" s="1">
        <v>1</v>
      </c>
      <c r="F463" s="1">
        <v>6</v>
      </c>
      <c r="G463" s="1" t="b">
        <v>0</v>
      </c>
      <c r="H463" s="1">
        <v>5</v>
      </c>
      <c r="I463" s="1">
        <v>1</v>
      </c>
      <c r="J463" s="1">
        <v>0.22</v>
      </c>
      <c r="K463" s="20">
        <v>0.21210000000000001</v>
      </c>
      <c r="L463" s="23">
        <v>0.55000000000000004</v>
      </c>
      <c r="M463" s="23">
        <v>0.25369999999999998</v>
      </c>
      <c r="N463" s="23">
        <v>0</v>
      </c>
      <c r="O463" s="23">
        <v>27</v>
      </c>
      <c r="P463" s="24">
        <v>27</v>
      </c>
    </row>
    <row r="464" spans="1:16">
      <c r="A464" s="1">
        <v>463</v>
      </c>
      <c r="B464" s="2">
        <v>40564</v>
      </c>
      <c r="C464" s="1">
        <v>1</v>
      </c>
      <c r="D464" s="1">
        <v>0</v>
      </c>
      <c r="E464" s="1">
        <v>1</v>
      </c>
      <c r="F464" s="1">
        <v>7</v>
      </c>
      <c r="G464" s="1" t="b">
        <v>0</v>
      </c>
      <c r="H464" s="1">
        <v>5</v>
      </c>
      <c r="I464" s="1">
        <v>1</v>
      </c>
      <c r="J464" s="1">
        <v>0.2</v>
      </c>
      <c r="K464" s="19">
        <v>0.18179999999999999</v>
      </c>
      <c r="L464" s="21">
        <v>0.51</v>
      </c>
      <c r="M464" s="21">
        <v>0.28360000000000002</v>
      </c>
      <c r="N464" s="21">
        <v>2</v>
      </c>
      <c r="O464" s="21">
        <v>66</v>
      </c>
      <c r="P464" s="22">
        <v>68</v>
      </c>
    </row>
    <row r="465" spans="1:16">
      <c r="A465" s="1">
        <v>464</v>
      </c>
      <c r="B465" s="2">
        <v>40564</v>
      </c>
      <c r="C465" s="1">
        <v>1</v>
      </c>
      <c r="D465" s="1">
        <v>0</v>
      </c>
      <c r="E465" s="1">
        <v>1</v>
      </c>
      <c r="F465" s="1">
        <v>8</v>
      </c>
      <c r="G465" s="1" t="b">
        <v>0</v>
      </c>
      <c r="H465" s="1">
        <v>5</v>
      </c>
      <c r="I465" s="1">
        <v>1</v>
      </c>
      <c r="J465" s="1">
        <v>0.2</v>
      </c>
      <c r="K465" s="20">
        <v>0.18179999999999999</v>
      </c>
      <c r="L465" s="23">
        <v>0.47</v>
      </c>
      <c r="M465" s="23">
        <v>0.32840000000000003</v>
      </c>
      <c r="N465" s="23">
        <v>7</v>
      </c>
      <c r="O465" s="23">
        <v>210</v>
      </c>
      <c r="P465" s="24">
        <v>217</v>
      </c>
    </row>
    <row r="466" spans="1:16">
      <c r="A466" s="1">
        <v>465</v>
      </c>
      <c r="B466" s="2">
        <v>40564</v>
      </c>
      <c r="C466" s="1">
        <v>1</v>
      </c>
      <c r="D466" s="1">
        <v>0</v>
      </c>
      <c r="E466" s="1">
        <v>1</v>
      </c>
      <c r="F466" s="1">
        <v>9</v>
      </c>
      <c r="G466" s="1" t="b">
        <v>0</v>
      </c>
      <c r="H466" s="1">
        <v>5</v>
      </c>
      <c r="I466" s="1">
        <v>1</v>
      </c>
      <c r="J466" s="1">
        <v>0.2</v>
      </c>
      <c r="K466" s="19">
        <v>0.18179999999999999</v>
      </c>
      <c r="L466" s="21">
        <v>0.51</v>
      </c>
      <c r="M466" s="21">
        <v>0.35820000000000002</v>
      </c>
      <c r="N466" s="21">
        <v>7</v>
      </c>
      <c r="O466" s="21">
        <v>159</v>
      </c>
      <c r="P466" s="22">
        <v>166</v>
      </c>
    </row>
    <row r="467" spans="1:16">
      <c r="A467" s="1">
        <v>466</v>
      </c>
      <c r="B467" s="2">
        <v>40564</v>
      </c>
      <c r="C467" s="1">
        <v>1</v>
      </c>
      <c r="D467" s="1">
        <v>0</v>
      </c>
      <c r="E467" s="1">
        <v>1</v>
      </c>
      <c r="F467" s="1">
        <v>10</v>
      </c>
      <c r="G467" s="1" t="b">
        <v>0</v>
      </c>
      <c r="H467" s="1">
        <v>5</v>
      </c>
      <c r="I467" s="1">
        <v>1</v>
      </c>
      <c r="J467" s="1">
        <v>0.2</v>
      </c>
      <c r="K467" s="20">
        <v>0.16669999999999999</v>
      </c>
      <c r="L467" s="23">
        <v>0.47</v>
      </c>
      <c r="M467" s="23">
        <v>0.4627</v>
      </c>
      <c r="N467" s="23">
        <v>6</v>
      </c>
      <c r="O467" s="23">
        <v>57</v>
      </c>
      <c r="P467" s="24">
        <v>63</v>
      </c>
    </row>
    <row r="468" spans="1:16">
      <c r="A468" s="1">
        <v>467</v>
      </c>
      <c r="B468" s="2">
        <v>40564</v>
      </c>
      <c r="C468" s="1">
        <v>1</v>
      </c>
      <c r="D468" s="1">
        <v>0</v>
      </c>
      <c r="E468" s="1">
        <v>1</v>
      </c>
      <c r="F468" s="1">
        <v>11</v>
      </c>
      <c r="G468" s="1" t="b">
        <v>0</v>
      </c>
      <c r="H468" s="1">
        <v>5</v>
      </c>
      <c r="I468" s="1">
        <v>1</v>
      </c>
      <c r="J468" s="1">
        <v>0.22</v>
      </c>
      <c r="K468" s="19">
        <v>0.18179999999999999</v>
      </c>
      <c r="L468" s="21">
        <v>0.41</v>
      </c>
      <c r="M468" s="21">
        <v>0.4627</v>
      </c>
      <c r="N468" s="21">
        <v>6</v>
      </c>
      <c r="O468" s="21">
        <v>53</v>
      </c>
      <c r="P468" s="22">
        <v>59</v>
      </c>
    </row>
    <row r="469" spans="1:16">
      <c r="A469" s="1">
        <v>468</v>
      </c>
      <c r="B469" s="2">
        <v>40564</v>
      </c>
      <c r="C469" s="1">
        <v>1</v>
      </c>
      <c r="D469" s="1">
        <v>0</v>
      </c>
      <c r="E469" s="1">
        <v>1</v>
      </c>
      <c r="F469" s="1">
        <v>12</v>
      </c>
      <c r="G469" s="1" t="b">
        <v>0</v>
      </c>
      <c r="H469" s="1">
        <v>5</v>
      </c>
      <c r="I469" s="1">
        <v>1</v>
      </c>
      <c r="J469" s="1">
        <v>0.22</v>
      </c>
      <c r="K469" s="20">
        <v>0.18179999999999999</v>
      </c>
      <c r="L469" s="23">
        <v>0.27</v>
      </c>
      <c r="M469" s="23">
        <v>0.58209999999999995</v>
      </c>
      <c r="N469" s="23">
        <v>11</v>
      </c>
      <c r="O469" s="23">
        <v>67</v>
      </c>
      <c r="P469" s="24">
        <v>78</v>
      </c>
    </row>
    <row r="470" spans="1:16">
      <c r="A470" s="1">
        <v>469</v>
      </c>
      <c r="B470" s="2">
        <v>40564</v>
      </c>
      <c r="C470" s="1">
        <v>1</v>
      </c>
      <c r="D470" s="1">
        <v>0</v>
      </c>
      <c r="E470" s="1">
        <v>1</v>
      </c>
      <c r="F470" s="1">
        <v>13</v>
      </c>
      <c r="G470" s="1" t="b">
        <v>0</v>
      </c>
      <c r="H470" s="1">
        <v>5</v>
      </c>
      <c r="I470" s="1">
        <v>1</v>
      </c>
      <c r="J470" s="1">
        <v>0.2</v>
      </c>
      <c r="K470" s="19">
        <v>0.1515</v>
      </c>
      <c r="L470" s="21">
        <v>0.21</v>
      </c>
      <c r="M470" s="21">
        <v>0.58209999999999995</v>
      </c>
      <c r="N470" s="21">
        <v>8</v>
      </c>
      <c r="O470" s="21">
        <v>65</v>
      </c>
      <c r="P470" s="22">
        <v>73</v>
      </c>
    </row>
    <row r="471" spans="1:16">
      <c r="A471" s="1">
        <v>470</v>
      </c>
      <c r="B471" s="2">
        <v>40564</v>
      </c>
      <c r="C471" s="1">
        <v>1</v>
      </c>
      <c r="D471" s="1">
        <v>0</v>
      </c>
      <c r="E471" s="1">
        <v>1</v>
      </c>
      <c r="F471" s="1">
        <v>14</v>
      </c>
      <c r="G471" s="1" t="b">
        <v>0</v>
      </c>
      <c r="H471" s="1">
        <v>5</v>
      </c>
      <c r="I471" s="1">
        <v>1</v>
      </c>
      <c r="J471" s="1">
        <v>0.2</v>
      </c>
      <c r="K471" s="20">
        <v>0.1515</v>
      </c>
      <c r="L471" s="23">
        <v>0.25</v>
      </c>
      <c r="M471" s="23">
        <v>0.52239999999999998</v>
      </c>
      <c r="N471" s="23">
        <v>6</v>
      </c>
      <c r="O471" s="23">
        <v>56</v>
      </c>
      <c r="P471" s="24">
        <v>62</v>
      </c>
    </row>
    <row r="472" spans="1:16">
      <c r="A472" s="1">
        <v>471</v>
      </c>
      <c r="B472" s="2">
        <v>40564</v>
      </c>
      <c r="C472" s="1">
        <v>1</v>
      </c>
      <c r="D472" s="1">
        <v>0</v>
      </c>
      <c r="E472" s="1">
        <v>1</v>
      </c>
      <c r="F472" s="1">
        <v>15</v>
      </c>
      <c r="G472" s="1" t="b">
        <v>0</v>
      </c>
      <c r="H472" s="1">
        <v>5</v>
      </c>
      <c r="I472" s="1">
        <v>1</v>
      </c>
      <c r="J472" s="1">
        <v>0.16</v>
      </c>
      <c r="K472" s="19">
        <v>0.1212</v>
      </c>
      <c r="L472" s="21">
        <v>0.26</v>
      </c>
      <c r="M472" s="21">
        <v>0.44779999999999998</v>
      </c>
      <c r="N472" s="21">
        <v>4</v>
      </c>
      <c r="O472" s="21">
        <v>61</v>
      </c>
      <c r="P472" s="22">
        <v>65</v>
      </c>
    </row>
    <row r="473" spans="1:16">
      <c r="A473" s="1">
        <v>472</v>
      </c>
      <c r="B473" s="2">
        <v>40564</v>
      </c>
      <c r="C473" s="1">
        <v>1</v>
      </c>
      <c r="D473" s="1">
        <v>0</v>
      </c>
      <c r="E473" s="1">
        <v>1</v>
      </c>
      <c r="F473" s="1">
        <v>16</v>
      </c>
      <c r="G473" s="1" t="b">
        <v>0</v>
      </c>
      <c r="H473" s="1">
        <v>5</v>
      </c>
      <c r="I473" s="1">
        <v>1</v>
      </c>
      <c r="J473" s="1">
        <v>0.16</v>
      </c>
      <c r="K473" s="20">
        <v>0.13639999999999999</v>
      </c>
      <c r="L473" s="23">
        <v>0.26</v>
      </c>
      <c r="M473" s="23">
        <v>0.35820000000000002</v>
      </c>
      <c r="N473" s="23">
        <v>0</v>
      </c>
      <c r="O473" s="23">
        <v>97</v>
      </c>
      <c r="P473" s="24">
        <v>97</v>
      </c>
    </row>
    <row r="474" spans="1:16">
      <c r="A474" s="1">
        <v>473</v>
      </c>
      <c r="B474" s="2">
        <v>40564</v>
      </c>
      <c r="C474" s="1">
        <v>1</v>
      </c>
      <c r="D474" s="1">
        <v>0</v>
      </c>
      <c r="E474" s="1">
        <v>1</v>
      </c>
      <c r="F474" s="1">
        <v>17</v>
      </c>
      <c r="G474" s="1" t="b">
        <v>0</v>
      </c>
      <c r="H474" s="1">
        <v>5</v>
      </c>
      <c r="I474" s="1">
        <v>1</v>
      </c>
      <c r="J474" s="1">
        <v>0.14000000000000001</v>
      </c>
      <c r="K474" s="19">
        <v>0.1212</v>
      </c>
      <c r="L474" s="21">
        <v>0.28000000000000003</v>
      </c>
      <c r="M474" s="21">
        <v>0.35820000000000002</v>
      </c>
      <c r="N474" s="21">
        <v>10</v>
      </c>
      <c r="O474" s="21">
        <v>151</v>
      </c>
      <c r="P474" s="22">
        <v>161</v>
      </c>
    </row>
    <row r="475" spans="1:16">
      <c r="A475" s="1">
        <v>474</v>
      </c>
      <c r="B475" s="2">
        <v>40564</v>
      </c>
      <c r="C475" s="1">
        <v>1</v>
      </c>
      <c r="D475" s="1">
        <v>0</v>
      </c>
      <c r="E475" s="1">
        <v>1</v>
      </c>
      <c r="F475" s="1">
        <v>18</v>
      </c>
      <c r="G475" s="1" t="b">
        <v>0</v>
      </c>
      <c r="H475" s="1">
        <v>5</v>
      </c>
      <c r="I475" s="1">
        <v>1</v>
      </c>
      <c r="J475" s="1">
        <v>0.12</v>
      </c>
      <c r="K475" s="20">
        <v>0.1212</v>
      </c>
      <c r="L475" s="23">
        <v>0.3</v>
      </c>
      <c r="M475" s="23">
        <v>0.25369999999999998</v>
      </c>
      <c r="N475" s="23">
        <v>1</v>
      </c>
      <c r="O475" s="23">
        <v>119</v>
      </c>
      <c r="P475" s="24">
        <v>120</v>
      </c>
    </row>
    <row r="476" spans="1:16">
      <c r="A476" s="1">
        <v>475</v>
      </c>
      <c r="B476" s="2">
        <v>40564</v>
      </c>
      <c r="C476" s="1">
        <v>1</v>
      </c>
      <c r="D476" s="1">
        <v>0</v>
      </c>
      <c r="E476" s="1">
        <v>1</v>
      </c>
      <c r="F476" s="1">
        <v>19</v>
      </c>
      <c r="G476" s="1" t="b">
        <v>0</v>
      </c>
      <c r="H476" s="1">
        <v>5</v>
      </c>
      <c r="I476" s="1">
        <v>1</v>
      </c>
      <c r="J476" s="1">
        <v>0.12</v>
      </c>
      <c r="K476" s="19">
        <v>0.1061</v>
      </c>
      <c r="L476" s="21">
        <v>0.3</v>
      </c>
      <c r="M476" s="21">
        <v>0.32840000000000003</v>
      </c>
      <c r="N476" s="21">
        <v>3</v>
      </c>
      <c r="O476" s="21">
        <v>93</v>
      </c>
      <c r="P476" s="22">
        <v>96</v>
      </c>
    </row>
    <row r="477" spans="1:16">
      <c r="A477" s="1">
        <v>476</v>
      </c>
      <c r="B477" s="2">
        <v>40564</v>
      </c>
      <c r="C477" s="1">
        <v>1</v>
      </c>
      <c r="D477" s="1">
        <v>0</v>
      </c>
      <c r="E477" s="1">
        <v>1</v>
      </c>
      <c r="F477" s="1">
        <v>20</v>
      </c>
      <c r="G477" s="1" t="b">
        <v>0</v>
      </c>
      <c r="H477" s="1">
        <v>5</v>
      </c>
      <c r="I477" s="1">
        <v>1</v>
      </c>
      <c r="J477" s="1">
        <v>0.1</v>
      </c>
      <c r="K477" s="20">
        <v>7.5800000000000006E-2</v>
      </c>
      <c r="L477" s="23">
        <v>0.33</v>
      </c>
      <c r="M477" s="23">
        <v>0.41789999999999999</v>
      </c>
      <c r="N477" s="23">
        <v>1</v>
      </c>
      <c r="O477" s="23">
        <v>52</v>
      </c>
      <c r="P477" s="24">
        <v>53</v>
      </c>
    </row>
    <row r="478" spans="1:16">
      <c r="A478" s="1">
        <v>477</v>
      </c>
      <c r="B478" s="2">
        <v>40564</v>
      </c>
      <c r="C478" s="1">
        <v>1</v>
      </c>
      <c r="D478" s="1">
        <v>0</v>
      </c>
      <c r="E478" s="1">
        <v>1</v>
      </c>
      <c r="F478" s="1">
        <v>21</v>
      </c>
      <c r="G478" s="1" t="b">
        <v>0</v>
      </c>
      <c r="H478" s="1">
        <v>5</v>
      </c>
      <c r="I478" s="1">
        <v>1</v>
      </c>
      <c r="J478" s="1">
        <v>0.08</v>
      </c>
      <c r="K478" s="19">
        <v>7.5800000000000006E-2</v>
      </c>
      <c r="L478" s="21">
        <v>0.38</v>
      </c>
      <c r="M478" s="21">
        <v>0.28360000000000002</v>
      </c>
      <c r="N478" s="21">
        <v>0</v>
      </c>
      <c r="O478" s="21">
        <v>41</v>
      </c>
      <c r="P478" s="22">
        <v>41</v>
      </c>
    </row>
    <row r="479" spans="1:16">
      <c r="A479" s="1">
        <v>478</v>
      </c>
      <c r="B479" s="2">
        <v>40564</v>
      </c>
      <c r="C479" s="1">
        <v>1</v>
      </c>
      <c r="D479" s="1">
        <v>0</v>
      </c>
      <c r="E479" s="1">
        <v>1</v>
      </c>
      <c r="F479" s="1">
        <v>22</v>
      </c>
      <c r="G479" s="1" t="b">
        <v>0</v>
      </c>
      <c r="H479" s="1">
        <v>5</v>
      </c>
      <c r="I479" s="1">
        <v>1</v>
      </c>
      <c r="J479" s="1">
        <v>0.06</v>
      </c>
      <c r="K479" s="20">
        <v>3.0300000000000001E-2</v>
      </c>
      <c r="L479" s="23">
        <v>0.41</v>
      </c>
      <c r="M479" s="23">
        <v>0.3881</v>
      </c>
      <c r="N479" s="23">
        <v>1</v>
      </c>
      <c r="O479" s="23">
        <v>33</v>
      </c>
      <c r="P479" s="24">
        <v>34</v>
      </c>
    </row>
    <row r="480" spans="1:16">
      <c r="A480" s="1">
        <v>479</v>
      </c>
      <c r="B480" s="2">
        <v>40564</v>
      </c>
      <c r="C480" s="1">
        <v>1</v>
      </c>
      <c r="D480" s="1">
        <v>0</v>
      </c>
      <c r="E480" s="1">
        <v>1</v>
      </c>
      <c r="F480" s="1">
        <v>23</v>
      </c>
      <c r="G480" s="1" t="b">
        <v>0</v>
      </c>
      <c r="H480" s="1">
        <v>5</v>
      </c>
      <c r="I480" s="1">
        <v>1</v>
      </c>
      <c r="J480" s="1">
        <v>0.06</v>
      </c>
      <c r="K480" s="19">
        <v>4.5499999999999999E-2</v>
      </c>
      <c r="L480" s="21">
        <v>0.38</v>
      </c>
      <c r="M480" s="21">
        <v>0.32840000000000003</v>
      </c>
      <c r="N480" s="21">
        <v>0</v>
      </c>
      <c r="O480" s="21">
        <v>27</v>
      </c>
      <c r="P480" s="22">
        <v>27</v>
      </c>
    </row>
    <row r="481" spans="1:16">
      <c r="A481" s="1">
        <v>480</v>
      </c>
      <c r="B481" s="2">
        <v>40565</v>
      </c>
      <c r="C481" s="1">
        <v>1</v>
      </c>
      <c r="D481" s="1">
        <v>0</v>
      </c>
      <c r="E481" s="1">
        <v>1</v>
      </c>
      <c r="F481" s="1">
        <v>0</v>
      </c>
      <c r="G481" s="1" t="b">
        <v>0</v>
      </c>
      <c r="H481" s="1">
        <v>6</v>
      </c>
      <c r="I481" s="1">
        <v>1</v>
      </c>
      <c r="J481" s="1">
        <v>0.04</v>
      </c>
      <c r="K481" s="20">
        <v>3.0300000000000001E-2</v>
      </c>
      <c r="L481" s="23">
        <v>0.45</v>
      </c>
      <c r="M481" s="23">
        <v>0.25369999999999998</v>
      </c>
      <c r="N481" s="23">
        <v>0</v>
      </c>
      <c r="O481" s="23">
        <v>13</v>
      </c>
      <c r="P481" s="24">
        <v>13</v>
      </c>
    </row>
    <row r="482" spans="1:16">
      <c r="A482" s="1">
        <v>481</v>
      </c>
      <c r="B482" s="2">
        <v>40565</v>
      </c>
      <c r="C482" s="1">
        <v>1</v>
      </c>
      <c r="D482" s="1">
        <v>0</v>
      </c>
      <c r="E482" s="1">
        <v>1</v>
      </c>
      <c r="F482" s="1">
        <v>1</v>
      </c>
      <c r="G482" s="1" t="b">
        <v>0</v>
      </c>
      <c r="H482" s="1">
        <v>6</v>
      </c>
      <c r="I482" s="1">
        <v>2</v>
      </c>
      <c r="J482" s="1">
        <v>0.04</v>
      </c>
      <c r="K482" s="19">
        <v>0</v>
      </c>
      <c r="L482" s="21">
        <v>0.41</v>
      </c>
      <c r="M482" s="21">
        <v>0.3881</v>
      </c>
      <c r="N482" s="21">
        <v>3</v>
      </c>
      <c r="O482" s="21">
        <v>9</v>
      </c>
      <c r="P482" s="22">
        <v>12</v>
      </c>
    </row>
    <row r="483" spans="1:16">
      <c r="A483" s="1">
        <v>482</v>
      </c>
      <c r="B483" s="2">
        <v>40565</v>
      </c>
      <c r="C483" s="1">
        <v>1</v>
      </c>
      <c r="D483" s="1">
        <v>0</v>
      </c>
      <c r="E483" s="1">
        <v>1</v>
      </c>
      <c r="F483" s="1">
        <v>2</v>
      </c>
      <c r="G483" s="1" t="b">
        <v>0</v>
      </c>
      <c r="H483" s="1">
        <v>6</v>
      </c>
      <c r="I483" s="1">
        <v>2</v>
      </c>
      <c r="J483" s="1">
        <v>0.04</v>
      </c>
      <c r="K483" s="20">
        <v>3.0300000000000001E-2</v>
      </c>
      <c r="L483" s="23">
        <v>0.41</v>
      </c>
      <c r="M483" s="23">
        <v>0.25369999999999998</v>
      </c>
      <c r="N483" s="23">
        <v>0</v>
      </c>
      <c r="O483" s="23">
        <v>11</v>
      </c>
      <c r="P483" s="24">
        <v>11</v>
      </c>
    </row>
    <row r="484" spans="1:16">
      <c r="A484" s="1">
        <v>483</v>
      </c>
      <c r="B484" s="2">
        <v>40565</v>
      </c>
      <c r="C484" s="1">
        <v>1</v>
      </c>
      <c r="D484" s="1">
        <v>0</v>
      </c>
      <c r="E484" s="1">
        <v>1</v>
      </c>
      <c r="F484" s="1">
        <v>3</v>
      </c>
      <c r="G484" s="1" t="b">
        <v>0</v>
      </c>
      <c r="H484" s="1">
        <v>6</v>
      </c>
      <c r="I484" s="1">
        <v>2</v>
      </c>
      <c r="J484" s="1">
        <v>0.04</v>
      </c>
      <c r="K484" s="19">
        <v>3.0300000000000001E-2</v>
      </c>
      <c r="L484" s="21">
        <v>0.41</v>
      </c>
      <c r="M484" s="21">
        <v>0.28360000000000002</v>
      </c>
      <c r="N484" s="21">
        <v>1</v>
      </c>
      <c r="O484" s="21">
        <v>6</v>
      </c>
      <c r="P484" s="22">
        <v>7</v>
      </c>
    </row>
    <row r="485" spans="1:16">
      <c r="A485" s="1">
        <v>484</v>
      </c>
      <c r="B485" s="2">
        <v>40565</v>
      </c>
      <c r="C485" s="1">
        <v>1</v>
      </c>
      <c r="D485" s="1">
        <v>0</v>
      </c>
      <c r="E485" s="1">
        <v>1</v>
      </c>
      <c r="F485" s="1">
        <v>4</v>
      </c>
      <c r="G485" s="1" t="b">
        <v>0</v>
      </c>
      <c r="H485" s="1">
        <v>6</v>
      </c>
      <c r="I485" s="1">
        <v>2</v>
      </c>
      <c r="J485" s="1">
        <v>0.02</v>
      </c>
      <c r="K485" s="20">
        <v>1.52E-2</v>
      </c>
      <c r="L485" s="23">
        <v>0.48</v>
      </c>
      <c r="M485" s="23">
        <v>0.29849999999999999</v>
      </c>
      <c r="N485" s="23">
        <v>0</v>
      </c>
      <c r="O485" s="23">
        <v>3</v>
      </c>
      <c r="P485" s="24">
        <v>3</v>
      </c>
    </row>
    <row r="486" spans="1:16">
      <c r="A486" s="1">
        <v>485</v>
      </c>
      <c r="B486" s="2">
        <v>40565</v>
      </c>
      <c r="C486" s="1">
        <v>1</v>
      </c>
      <c r="D486" s="1">
        <v>0</v>
      </c>
      <c r="E486" s="1">
        <v>1</v>
      </c>
      <c r="F486" s="1">
        <v>6</v>
      </c>
      <c r="G486" s="1" t="b">
        <v>0</v>
      </c>
      <c r="H486" s="1">
        <v>6</v>
      </c>
      <c r="I486" s="1">
        <v>2</v>
      </c>
      <c r="J486" s="1">
        <v>0.02</v>
      </c>
      <c r="K486" s="19">
        <v>3.0300000000000001E-2</v>
      </c>
      <c r="L486" s="21">
        <v>0.44</v>
      </c>
      <c r="M486" s="21">
        <v>0.22389999999999999</v>
      </c>
      <c r="N486" s="21">
        <v>0</v>
      </c>
      <c r="O486" s="21">
        <v>2</v>
      </c>
      <c r="P486" s="22">
        <v>2</v>
      </c>
    </row>
    <row r="487" spans="1:16">
      <c r="A487" s="1">
        <v>486</v>
      </c>
      <c r="B487" s="2">
        <v>40565</v>
      </c>
      <c r="C487" s="1">
        <v>1</v>
      </c>
      <c r="D487" s="1">
        <v>0</v>
      </c>
      <c r="E487" s="1">
        <v>1</v>
      </c>
      <c r="F487" s="1">
        <v>7</v>
      </c>
      <c r="G487" s="1" t="b">
        <v>0</v>
      </c>
      <c r="H487" s="1">
        <v>6</v>
      </c>
      <c r="I487" s="1">
        <v>1</v>
      </c>
      <c r="J487" s="1">
        <v>0.02</v>
      </c>
      <c r="K487" s="20">
        <v>1.52E-2</v>
      </c>
      <c r="L487" s="23">
        <v>0.44</v>
      </c>
      <c r="M487" s="23">
        <v>0.28360000000000002</v>
      </c>
      <c r="N487" s="23">
        <v>0</v>
      </c>
      <c r="O487" s="23">
        <v>8</v>
      </c>
      <c r="P487" s="24">
        <v>8</v>
      </c>
    </row>
    <row r="488" spans="1:16">
      <c r="A488" s="1">
        <v>487</v>
      </c>
      <c r="B488" s="2">
        <v>40565</v>
      </c>
      <c r="C488" s="1">
        <v>1</v>
      </c>
      <c r="D488" s="1">
        <v>0</v>
      </c>
      <c r="E488" s="1">
        <v>1</v>
      </c>
      <c r="F488" s="1">
        <v>8</v>
      </c>
      <c r="G488" s="1" t="b">
        <v>0</v>
      </c>
      <c r="H488" s="1">
        <v>6</v>
      </c>
      <c r="I488" s="1">
        <v>1</v>
      </c>
      <c r="J488" s="1">
        <v>0.02</v>
      </c>
      <c r="K488" s="19">
        <v>0</v>
      </c>
      <c r="L488" s="21">
        <v>0.44</v>
      </c>
      <c r="M488" s="21">
        <v>0.32840000000000003</v>
      </c>
      <c r="N488" s="21">
        <v>1</v>
      </c>
      <c r="O488" s="21">
        <v>26</v>
      </c>
      <c r="P488" s="22">
        <v>27</v>
      </c>
    </row>
    <row r="489" spans="1:16">
      <c r="A489" s="1">
        <v>488</v>
      </c>
      <c r="B489" s="2">
        <v>40565</v>
      </c>
      <c r="C489" s="1">
        <v>1</v>
      </c>
      <c r="D489" s="1">
        <v>0</v>
      </c>
      <c r="E489" s="1">
        <v>1</v>
      </c>
      <c r="F489" s="1">
        <v>9</v>
      </c>
      <c r="G489" s="1" t="b">
        <v>0</v>
      </c>
      <c r="H489" s="1">
        <v>6</v>
      </c>
      <c r="I489" s="1">
        <v>1</v>
      </c>
      <c r="J489" s="1">
        <v>0.04</v>
      </c>
      <c r="K489" s="20">
        <v>3.0300000000000001E-2</v>
      </c>
      <c r="L489" s="23">
        <v>0.41</v>
      </c>
      <c r="M489" s="23">
        <v>0.25369999999999998</v>
      </c>
      <c r="N489" s="23">
        <v>3</v>
      </c>
      <c r="O489" s="23">
        <v>37</v>
      </c>
      <c r="P489" s="24">
        <v>40</v>
      </c>
    </row>
    <row r="490" spans="1:16">
      <c r="A490" s="1">
        <v>489</v>
      </c>
      <c r="B490" s="2">
        <v>40565</v>
      </c>
      <c r="C490" s="1">
        <v>1</v>
      </c>
      <c r="D490" s="1">
        <v>0</v>
      </c>
      <c r="E490" s="1">
        <v>1</v>
      </c>
      <c r="F490" s="1">
        <v>10</v>
      </c>
      <c r="G490" s="1" t="b">
        <v>0</v>
      </c>
      <c r="H490" s="1">
        <v>6</v>
      </c>
      <c r="I490" s="1">
        <v>2</v>
      </c>
      <c r="J490" s="1">
        <v>0.04</v>
      </c>
      <c r="K490" s="19">
        <v>6.0600000000000001E-2</v>
      </c>
      <c r="L490" s="21">
        <v>0.41</v>
      </c>
      <c r="M490" s="21">
        <v>0.16420000000000001</v>
      </c>
      <c r="N490" s="21">
        <v>3</v>
      </c>
      <c r="O490" s="21">
        <v>50</v>
      </c>
      <c r="P490" s="22">
        <v>53</v>
      </c>
    </row>
    <row r="491" spans="1:16">
      <c r="A491" s="1">
        <v>490</v>
      </c>
      <c r="B491" s="2">
        <v>40565</v>
      </c>
      <c r="C491" s="1">
        <v>1</v>
      </c>
      <c r="D491" s="1">
        <v>0</v>
      </c>
      <c r="E491" s="1">
        <v>1</v>
      </c>
      <c r="F491" s="1">
        <v>11</v>
      </c>
      <c r="G491" s="1" t="b">
        <v>0</v>
      </c>
      <c r="H491" s="1">
        <v>6</v>
      </c>
      <c r="I491" s="1">
        <v>2</v>
      </c>
      <c r="J491" s="1">
        <v>0.06</v>
      </c>
      <c r="K491" s="20">
        <v>7.5800000000000006E-2</v>
      </c>
      <c r="L491" s="23">
        <v>0.38</v>
      </c>
      <c r="M491" s="23">
        <v>0.1343</v>
      </c>
      <c r="N491" s="23">
        <v>4</v>
      </c>
      <c r="O491" s="23">
        <v>59</v>
      </c>
      <c r="P491" s="24">
        <v>63</v>
      </c>
    </row>
    <row r="492" spans="1:16">
      <c r="A492" s="1">
        <v>491</v>
      </c>
      <c r="B492" s="2">
        <v>40565</v>
      </c>
      <c r="C492" s="1">
        <v>1</v>
      </c>
      <c r="D492" s="1">
        <v>0</v>
      </c>
      <c r="E492" s="1">
        <v>1</v>
      </c>
      <c r="F492" s="1">
        <v>12</v>
      </c>
      <c r="G492" s="1" t="b">
        <v>0</v>
      </c>
      <c r="H492" s="1">
        <v>6</v>
      </c>
      <c r="I492" s="1">
        <v>2</v>
      </c>
      <c r="J492" s="1">
        <v>0.06</v>
      </c>
      <c r="K492" s="19">
        <v>0.1061</v>
      </c>
      <c r="L492" s="21">
        <v>0.38</v>
      </c>
      <c r="M492" s="21">
        <v>0.1045</v>
      </c>
      <c r="N492" s="21">
        <v>10</v>
      </c>
      <c r="O492" s="21">
        <v>60</v>
      </c>
      <c r="P492" s="22">
        <v>70</v>
      </c>
    </row>
    <row r="493" spans="1:16">
      <c r="A493" s="1">
        <v>492</v>
      </c>
      <c r="B493" s="2">
        <v>40565</v>
      </c>
      <c r="C493" s="1">
        <v>1</v>
      </c>
      <c r="D493" s="1">
        <v>0</v>
      </c>
      <c r="E493" s="1">
        <v>1</v>
      </c>
      <c r="F493" s="1">
        <v>13</v>
      </c>
      <c r="G493" s="1" t="b">
        <v>0</v>
      </c>
      <c r="H493" s="1">
        <v>6</v>
      </c>
      <c r="I493" s="1">
        <v>1</v>
      </c>
      <c r="J493" s="1">
        <v>0.08</v>
      </c>
      <c r="K493" s="20">
        <v>0.16669999999999999</v>
      </c>
      <c r="L493" s="23">
        <v>0.35</v>
      </c>
      <c r="M493" s="23">
        <v>0</v>
      </c>
      <c r="N493" s="23">
        <v>12</v>
      </c>
      <c r="O493" s="23">
        <v>72</v>
      </c>
      <c r="P493" s="24">
        <v>84</v>
      </c>
    </row>
    <row r="494" spans="1:16">
      <c r="A494" s="1">
        <v>493</v>
      </c>
      <c r="B494" s="2">
        <v>40565</v>
      </c>
      <c r="C494" s="1">
        <v>1</v>
      </c>
      <c r="D494" s="1">
        <v>0</v>
      </c>
      <c r="E494" s="1">
        <v>1</v>
      </c>
      <c r="F494" s="1">
        <v>14</v>
      </c>
      <c r="G494" s="1" t="b">
        <v>0</v>
      </c>
      <c r="H494" s="1">
        <v>6</v>
      </c>
      <c r="I494" s="1">
        <v>1</v>
      </c>
      <c r="J494" s="1">
        <v>0.1</v>
      </c>
      <c r="K494" s="19">
        <v>0.13639999999999999</v>
      </c>
      <c r="L494" s="21">
        <v>0.33</v>
      </c>
      <c r="M494" s="21">
        <v>0.1045</v>
      </c>
      <c r="N494" s="21">
        <v>11</v>
      </c>
      <c r="O494" s="21">
        <v>64</v>
      </c>
      <c r="P494" s="22">
        <v>75</v>
      </c>
    </row>
    <row r="495" spans="1:16">
      <c r="A495" s="1">
        <v>494</v>
      </c>
      <c r="B495" s="2">
        <v>40565</v>
      </c>
      <c r="C495" s="1">
        <v>1</v>
      </c>
      <c r="D495" s="1">
        <v>0</v>
      </c>
      <c r="E495" s="1">
        <v>1</v>
      </c>
      <c r="F495" s="1">
        <v>15</v>
      </c>
      <c r="G495" s="1" t="b">
        <v>0</v>
      </c>
      <c r="H495" s="1">
        <v>6</v>
      </c>
      <c r="I495" s="1">
        <v>1</v>
      </c>
      <c r="J495" s="1">
        <v>0.12</v>
      </c>
      <c r="K495" s="20">
        <v>0.1515</v>
      </c>
      <c r="L495" s="23">
        <v>0.28000000000000003</v>
      </c>
      <c r="M495" s="23">
        <v>0</v>
      </c>
      <c r="N495" s="23">
        <v>10</v>
      </c>
      <c r="O495" s="23">
        <v>93</v>
      </c>
      <c r="P495" s="24">
        <v>103</v>
      </c>
    </row>
    <row r="496" spans="1:16">
      <c r="A496" s="1">
        <v>495</v>
      </c>
      <c r="B496" s="2">
        <v>40565</v>
      </c>
      <c r="C496" s="1">
        <v>1</v>
      </c>
      <c r="D496" s="1">
        <v>0</v>
      </c>
      <c r="E496" s="1">
        <v>1</v>
      </c>
      <c r="F496" s="1">
        <v>16</v>
      </c>
      <c r="G496" s="1" t="b">
        <v>0</v>
      </c>
      <c r="H496" s="1">
        <v>6</v>
      </c>
      <c r="I496" s="1">
        <v>1</v>
      </c>
      <c r="J496" s="1">
        <v>0.12</v>
      </c>
      <c r="K496" s="19">
        <v>0.13639999999999999</v>
      </c>
      <c r="L496" s="21">
        <v>0.28000000000000003</v>
      </c>
      <c r="M496" s="21">
        <v>0.19400000000000001</v>
      </c>
      <c r="N496" s="21">
        <v>11</v>
      </c>
      <c r="O496" s="21">
        <v>72</v>
      </c>
      <c r="P496" s="22">
        <v>83</v>
      </c>
    </row>
    <row r="497" spans="1:16">
      <c r="A497" s="1">
        <v>496</v>
      </c>
      <c r="B497" s="2">
        <v>40565</v>
      </c>
      <c r="C497" s="1">
        <v>1</v>
      </c>
      <c r="D497" s="1">
        <v>0</v>
      </c>
      <c r="E497" s="1">
        <v>1</v>
      </c>
      <c r="F497" s="1">
        <v>17</v>
      </c>
      <c r="G497" s="1" t="b">
        <v>0</v>
      </c>
      <c r="H497" s="1">
        <v>6</v>
      </c>
      <c r="I497" s="1">
        <v>1</v>
      </c>
      <c r="J497" s="1">
        <v>0.12</v>
      </c>
      <c r="K497" s="20">
        <v>0.19700000000000001</v>
      </c>
      <c r="L497" s="23">
        <v>0.28000000000000003</v>
      </c>
      <c r="M497" s="23">
        <v>0</v>
      </c>
      <c r="N497" s="23">
        <v>8</v>
      </c>
      <c r="O497" s="23">
        <v>59</v>
      </c>
      <c r="P497" s="24">
        <v>67</v>
      </c>
    </row>
    <row r="498" spans="1:16">
      <c r="A498" s="1">
        <v>497</v>
      </c>
      <c r="B498" s="2">
        <v>40565</v>
      </c>
      <c r="C498" s="1">
        <v>1</v>
      </c>
      <c r="D498" s="1">
        <v>0</v>
      </c>
      <c r="E498" s="1">
        <v>1</v>
      </c>
      <c r="F498" s="1">
        <v>18</v>
      </c>
      <c r="G498" s="1" t="b">
        <v>0</v>
      </c>
      <c r="H498" s="1">
        <v>6</v>
      </c>
      <c r="I498" s="1">
        <v>1</v>
      </c>
      <c r="J498" s="1">
        <v>0.08</v>
      </c>
      <c r="K498" s="19">
        <v>9.0899999999999995E-2</v>
      </c>
      <c r="L498" s="21">
        <v>0.35</v>
      </c>
      <c r="M498" s="21">
        <v>0.19400000000000001</v>
      </c>
      <c r="N498" s="21">
        <v>0</v>
      </c>
      <c r="O498" s="21">
        <v>54</v>
      </c>
      <c r="P498" s="22">
        <v>54</v>
      </c>
    </row>
    <row r="499" spans="1:16">
      <c r="A499" s="1">
        <v>498</v>
      </c>
      <c r="B499" s="2">
        <v>40565</v>
      </c>
      <c r="C499" s="1">
        <v>1</v>
      </c>
      <c r="D499" s="1">
        <v>0</v>
      </c>
      <c r="E499" s="1">
        <v>1</v>
      </c>
      <c r="F499" s="1">
        <v>19</v>
      </c>
      <c r="G499" s="1" t="b">
        <v>0</v>
      </c>
      <c r="H499" s="1">
        <v>6</v>
      </c>
      <c r="I499" s="1">
        <v>1</v>
      </c>
      <c r="J499" s="1">
        <v>0.08</v>
      </c>
      <c r="K499" s="20">
        <v>0.1061</v>
      </c>
      <c r="L499" s="23">
        <v>0.35</v>
      </c>
      <c r="M499" s="23">
        <v>0.1343</v>
      </c>
      <c r="N499" s="23">
        <v>6</v>
      </c>
      <c r="O499" s="23">
        <v>53</v>
      </c>
      <c r="P499" s="24">
        <v>59</v>
      </c>
    </row>
    <row r="500" spans="1:16">
      <c r="A500" s="1">
        <v>499</v>
      </c>
      <c r="B500" s="2">
        <v>40565</v>
      </c>
      <c r="C500" s="1">
        <v>1</v>
      </c>
      <c r="D500" s="1">
        <v>0</v>
      </c>
      <c r="E500" s="1">
        <v>1</v>
      </c>
      <c r="F500" s="1">
        <v>20</v>
      </c>
      <c r="G500" s="1" t="b">
        <v>0</v>
      </c>
      <c r="H500" s="1">
        <v>6</v>
      </c>
      <c r="I500" s="1">
        <v>1</v>
      </c>
      <c r="J500" s="1">
        <v>0.06</v>
      </c>
      <c r="K500" s="19">
        <v>7.5800000000000006E-2</v>
      </c>
      <c r="L500" s="21">
        <v>0.45</v>
      </c>
      <c r="M500" s="21">
        <v>0.16420000000000001</v>
      </c>
      <c r="N500" s="21">
        <v>1</v>
      </c>
      <c r="O500" s="21">
        <v>44</v>
      </c>
      <c r="P500" s="22">
        <v>45</v>
      </c>
    </row>
    <row r="501" spans="1:16">
      <c r="A501" s="1">
        <v>500</v>
      </c>
      <c r="B501" s="2">
        <v>40565</v>
      </c>
      <c r="C501" s="1">
        <v>1</v>
      </c>
      <c r="D501" s="1">
        <v>0</v>
      </c>
      <c r="E501" s="1">
        <v>1</v>
      </c>
      <c r="F501" s="1">
        <v>21</v>
      </c>
      <c r="G501" s="1" t="b">
        <v>0</v>
      </c>
      <c r="H501" s="1">
        <v>6</v>
      </c>
      <c r="I501" s="1">
        <v>1</v>
      </c>
      <c r="J501" s="1">
        <v>0.06</v>
      </c>
      <c r="K501" s="20">
        <v>0.1061</v>
      </c>
      <c r="L501" s="23">
        <v>0.41</v>
      </c>
      <c r="M501" s="23">
        <v>8.9599999999999999E-2</v>
      </c>
      <c r="N501" s="23">
        <v>0</v>
      </c>
      <c r="O501" s="23">
        <v>39</v>
      </c>
      <c r="P501" s="24">
        <v>39</v>
      </c>
    </row>
    <row r="502" spans="1:16">
      <c r="A502" s="1">
        <v>501</v>
      </c>
      <c r="B502" s="2">
        <v>40565</v>
      </c>
      <c r="C502" s="1">
        <v>1</v>
      </c>
      <c r="D502" s="1">
        <v>0</v>
      </c>
      <c r="E502" s="1">
        <v>1</v>
      </c>
      <c r="F502" s="1">
        <v>22</v>
      </c>
      <c r="G502" s="1" t="b">
        <v>0</v>
      </c>
      <c r="H502" s="1">
        <v>6</v>
      </c>
      <c r="I502" s="1">
        <v>1</v>
      </c>
      <c r="J502" s="1">
        <v>0.06</v>
      </c>
      <c r="K502" s="19">
        <v>0.1515</v>
      </c>
      <c r="L502" s="21">
        <v>0.49</v>
      </c>
      <c r="M502" s="21">
        <v>0</v>
      </c>
      <c r="N502" s="21">
        <v>7</v>
      </c>
      <c r="O502" s="21">
        <v>23</v>
      </c>
      <c r="P502" s="22">
        <v>30</v>
      </c>
    </row>
    <row r="503" spans="1:16">
      <c r="A503" s="1">
        <v>502</v>
      </c>
      <c r="B503" s="2">
        <v>40565</v>
      </c>
      <c r="C503" s="1">
        <v>1</v>
      </c>
      <c r="D503" s="1">
        <v>0</v>
      </c>
      <c r="E503" s="1">
        <v>1</v>
      </c>
      <c r="F503" s="1">
        <v>23</v>
      </c>
      <c r="G503" s="1" t="b">
        <v>0</v>
      </c>
      <c r="H503" s="1">
        <v>6</v>
      </c>
      <c r="I503" s="1">
        <v>1</v>
      </c>
      <c r="J503" s="1">
        <v>0.04</v>
      </c>
      <c r="K503" s="20">
        <v>7.5800000000000006E-2</v>
      </c>
      <c r="L503" s="23">
        <v>0.56999999999999995</v>
      </c>
      <c r="M503" s="23">
        <v>0.1045</v>
      </c>
      <c r="N503" s="23">
        <v>2</v>
      </c>
      <c r="O503" s="23">
        <v>31</v>
      </c>
      <c r="P503" s="24">
        <v>33</v>
      </c>
    </row>
    <row r="504" spans="1:16">
      <c r="A504" s="1">
        <v>503</v>
      </c>
      <c r="B504" s="2">
        <v>40566</v>
      </c>
      <c r="C504" s="1">
        <v>1</v>
      </c>
      <c r="D504" s="1">
        <v>0</v>
      </c>
      <c r="E504" s="1">
        <v>1</v>
      </c>
      <c r="F504" s="1">
        <v>0</v>
      </c>
      <c r="G504" s="1" t="b">
        <v>0</v>
      </c>
      <c r="H504" s="1">
        <v>0</v>
      </c>
      <c r="I504" s="1">
        <v>1</v>
      </c>
      <c r="J504" s="1">
        <v>0.04</v>
      </c>
      <c r="K504" s="19">
        <v>7.5800000000000006E-2</v>
      </c>
      <c r="L504" s="21">
        <v>0.56999999999999995</v>
      </c>
      <c r="M504" s="21">
        <v>0.1045</v>
      </c>
      <c r="N504" s="21">
        <v>2</v>
      </c>
      <c r="O504" s="21">
        <v>20</v>
      </c>
      <c r="P504" s="22">
        <v>22</v>
      </c>
    </row>
    <row r="505" spans="1:16">
      <c r="A505" s="1">
        <v>504</v>
      </c>
      <c r="B505" s="2">
        <v>40566</v>
      </c>
      <c r="C505" s="1">
        <v>1</v>
      </c>
      <c r="D505" s="1">
        <v>0</v>
      </c>
      <c r="E505" s="1">
        <v>1</v>
      </c>
      <c r="F505" s="1">
        <v>1</v>
      </c>
      <c r="G505" s="1" t="b">
        <v>0</v>
      </c>
      <c r="H505" s="1">
        <v>0</v>
      </c>
      <c r="I505" s="1">
        <v>1</v>
      </c>
      <c r="J505" s="1">
        <v>0.04</v>
      </c>
      <c r="K505" s="20">
        <v>7.5800000000000006E-2</v>
      </c>
      <c r="L505" s="23">
        <v>0.56999999999999995</v>
      </c>
      <c r="M505" s="23">
        <v>0.1045</v>
      </c>
      <c r="N505" s="23">
        <v>1</v>
      </c>
      <c r="O505" s="23">
        <v>12</v>
      </c>
      <c r="P505" s="24">
        <v>13</v>
      </c>
    </row>
    <row r="506" spans="1:16">
      <c r="A506" s="1">
        <v>505</v>
      </c>
      <c r="B506" s="2">
        <v>40566</v>
      </c>
      <c r="C506" s="1">
        <v>1</v>
      </c>
      <c r="D506" s="1">
        <v>0</v>
      </c>
      <c r="E506" s="1">
        <v>1</v>
      </c>
      <c r="F506" s="1">
        <v>2</v>
      </c>
      <c r="G506" s="1" t="b">
        <v>0</v>
      </c>
      <c r="H506" s="1">
        <v>0</v>
      </c>
      <c r="I506" s="1">
        <v>1</v>
      </c>
      <c r="J506" s="1">
        <v>0.02</v>
      </c>
      <c r="K506" s="19">
        <v>6.0600000000000001E-2</v>
      </c>
      <c r="L506" s="21">
        <v>0.62</v>
      </c>
      <c r="M506" s="21">
        <v>0.1343</v>
      </c>
      <c r="N506" s="21">
        <v>3</v>
      </c>
      <c r="O506" s="21">
        <v>15</v>
      </c>
      <c r="P506" s="22">
        <v>18</v>
      </c>
    </row>
    <row r="507" spans="1:16">
      <c r="A507" s="1">
        <v>506</v>
      </c>
      <c r="B507" s="2">
        <v>40566</v>
      </c>
      <c r="C507" s="1">
        <v>1</v>
      </c>
      <c r="D507" s="1">
        <v>0</v>
      </c>
      <c r="E507" s="1">
        <v>1</v>
      </c>
      <c r="F507" s="1">
        <v>3</v>
      </c>
      <c r="G507" s="1" t="b">
        <v>0</v>
      </c>
      <c r="H507" s="1">
        <v>0</v>
      </c>
      <c r="I507" s="1">
        <v>1</v>
      </c>
      <c r="J507" s="1">
        <v>0.02</v>
      </c>
      <c r="K507" s="20">
        <v>6.0600000000000001E-2</v>
      </c>
      <c r="L507" s="23">
        <v>0.62</v>
      </c>
      <c r="M507" s="23">
        <v>0.1343</v>
      </c>
      <c r="N507" s="23">
        <v>1</v>
      </c>
      <c r="O507" s="23">
        <v>4</v>
      </c>
      <c r="P507" s="24">
        <v>5</v>
      </c>
    </row>
    <row r="508" spans="1:16">
      <c r="A508" s="1">
        <v>507</v>
      </c>
      <c r="B508" s="2">
        <v>40566</v>
      </c>
      <c r="C508" s="1">
        <v>1</v>
      </c>
      <c r="D508" s="1">
        <v>0</v>
      </c>
      <c r="E508" s="1">
        <v>1</v>
      </c>
      <c r="F508" s="1">
        <v>5</v>
      </c>
      <c r="G508" s="1" t="b">
        <v>0</v>
      </c>
      <c r="H508" s="1">
        <v>0</v>
      </c>
      <c r="I508" s="1">
        <v>2</v>
      </c>
      <c r="J508" s="1">
        <v>0.04</v>
      </c>
      <c r="K508" s="19">
        <v>7.5800000000000006E-2</v>
      </c>
      <c r="L508" s="21">
        <v>0.56999999999999995</v>
      </c>
      <c r="M508" s="21">
        <v>0.1045</v>
      </c>
      <c r="N508" s="21">
        <v>0</v>
      </c>
      <c r="O508" s="21">
        <v>3</v>
      </c>
      <c r="P508" s="22">
        <v>3</v>
      </c>
    </row>
    <row r="509" spans="1:16">
      <c r="A509" s="1">
        <v>508</v>
      </c>
      <c r="B509" s="2">
        <v>40566</v>
      </c>
      <c r="C509" s="1">
        <v>1</v>
      </c>
      <c r="D509" s="1">
        <v>0</v>
      </c>
      <c r="E509" s="1">
        <v>1</v>
      </c>
      <c r="F509" s="1">
        <v>6</v>
      </c>
      <c r="G509" s="1" t="b">
        <v>0</v>
      </c>
      <c r="H509" s="1">
        <v>0</v>
      </c>
      <c r="I509" s="1">
        <v>2</v>
      </c>
      <c r="J509" s="1">
        <v>0.04</v>
      </c>
      <c r="K509" s="20">
        <v>7.5800000000000006E-2</v>
      </c>
      <c r="L509" s="23">
        <v>0.56999999999999995</v>
      </c>
      <c r="M509" s="23">
        <v>0.1045</v>
      </c>
      <c r="N509" s="23">
        <v>0</v>
      </c>
      <c r="O509" s="23">
        <v>1</v>
      </c>
      <c r="P509" s="24">
        <v>1</v>
      </c>
    </row>
    <row r="510" spans="1:16">
      <c r="A510" s="1">
        <v>509</v>
      </c>
      <c r="B510" s="2">
        <v>40566</v>
      </c>
      <c r="C510" s="1">
        <v>1</v>
      </c>
      <c r="D510" s="1">
        <v>0</v>
      </c>
      <c r="E510" s="1">
        <v>1</v>
      </c>
      <c r="F510" s="1">
        <v>7</v>
      </c>
      <c r="G510" s="1" t="b">
        <v>0</v>
      </c>
      <c r="H510" s="1">
        <v>0</v>
      </c>
      <c r="I510" s="1">
        <v>1</v>
      </c>
      <c r="J510" s="1">
        <v>0.08</v>
      </c>
      <c r="K510" s="19">
        <v>0.1061</v>
      </c>
      <c r="L510" s="21">
        <v>0.57999999999999996</v>
      </c>
      <c r="M510" s="21">
        <v>0.16420000000000001</v>
      </c>
      <c r="N510" s="21">
        <v>1</v>
      </c>
      <c r="O510" s="21">
        <v>1</v>
      </c>
      <c r="P510" s="22">
        <v>2</v>
      </c>
    </row>
    <row r="511" spans="1:16">
      <c r="A511" s="1">
        <v>510</v>
      </c>
      <c r="B511" s="2">
        <v>40566</v>
      </c>
      <c r="C511" s="1">
        <v>1</v>
      </c>
      <c r="D511" s="1">
        <v>0</v>
      </c>
      <c r="E511" s="1">
        <v>1</v>
      </c>
      <c r="F511" s="1">
        <v>8</v>
      </c>
      <c r="G511" s="1" t="b">
        <v>0</v>
      </c>
      <c r="H511" s="1">
        <v>0</v>
      </c>
      <c r="I511" s="1">
        <v>1</v>
      </c>
      <c r="J511" s="1">
        <v>0.06</v>
      </c>
      <c r="K511" s="20">
        <v>7.5800000000000006E-2</v>
      </c>
      <c r="L511" s="23">
        <v>0.62</v>
      </c>
      <c r="M511" s="23">
        <v>0.16420000000000001</v>
      </c>
      <c r="N511" s="23">
        <v>2</v>
      </c>
      <c r="O511" s="23">
        <v>17</v>
      </c>
      <c r="P511" s="24">
        <v>19</v>
      </c>
    </row>
    <row r="512" spans="1:16">
      <c r="A512" s="1">
        <v>511</v>
      </c>
      <c r="B512" s="2">
        <v>40566</v>
      </c>
      <c r="C512" s="1">
        <v>1</v>
      </c>
      <c r="D512" s="1">
        <v>0</v>
      </c>
      <c r="E512" s="1">
        <v>1</v>
      </c>
      <c r="F512" s="1">
        <v>9</v>
      </c>
      <c r="G512" s="1" t="b">
        <v>0</v>
      </c>
      <c r="H512" s="1">
        <v>0</v>
      </c>
      <c r="I512" s="1">
        <v>1</v>
      </c>
      <c r="J512" s="1">
        <v>0.1</v>
      </c>
      <c r="K512" s="19">
        <v>7.5800000000000006E-2</v>
      </c>
      <c r="L512" s="21">
        <v>0.54</v>
      </c>
      <c r="M512" s="21">
        <v>0.35820000000000002</v>
      </c>
      <c r="N512" s="21">
        <v>3</v>
      </c>
      <c r="O512" s="21">
        <v>25</v>
      </c>
      <c r="P512" s="22">
        <v>28</v>
      </c>
    </row>
    <row r="513" spans="1:16">
      <c r="A513" s="1">
        <v>512</v>
      </c>
      <c r="B513" s="2">
        <v>40566</v>
      </c>
      <c r="C513" s="1">
        <v>1</v>
      </c>
      <c r="D513" s="1">
        <v>0</v>
      </c>
      <c r="E513" s="1">
        <v>1</v>
      </c>
      <c r="F513" s="1">
        <v>10</v>
      </c>
      <c r="G513" s="1" t="b">
        <v>0</v>
      </c>
      <c r="H513" s="1">
        <v>0</v>
      </c>
      <c r="I513" s="1">
        <v>1</v>
      </c>
      <c r="J513" s="1">
        <v>0.14000000000000001</v>
      </c>
      <c r="K513" s="20">
        <v>0.1061</v>
      </c>
      <c r="L513" s="23">
        <v>0.46</v>
      </c>
      <c r="M513" s="23">
        <v>0.3881</v>
      </c>
      <c r="N513" s="23">
        <v>7</v>
      </c>
      <c r="O513" s="23">
        <v>51</v>
      </c>
      <c r="P513" s="24">
        <v>58</v>
      </c>
    </row>
    <row r="514" spans="1:16">
      <c r="A514" s="1">
        <v>513</v>
      </c>
      <c r="B514" s="2">
        <v>40566</v>
      </c>
      <c r="C514" s="1">
        <v>1</v>
      </c>
      <c r="D514" s="1">
        <v>0</v>
      </c>
      <c r="E514" s="1">
        <v>1</v>
      </c>
      <c r="F514" s="1">
        <v>11</v>
      </c>
      <c r="G514" s="1" t="b">
        <v>0</v>
      </c>
      <c r="H514" s="1">
        <v>0</v>
      </c>
      <c r="I514" s="1">
        <v>1</v>
      </c>
      <c r="J514" s="1">
        <v>0.14000000000000001</v>
      </c>
      <c r="K514" s="19">
        <v>0.13639999999999999</v>
      </c>
      <c r="L514" s="21">
        <v>0.43</v>
      </c>
      <c r="M514" s="21">
        <v>0.22389999999999999</v>
      </c>
      <c r="N514" s="21">
        <v>22</v>
      </c>
      <c r="O514" s="21">
        <v>77</v>
      </c>
      <c r="P514" s="22">
        <v>99</v>
      </c>
    </row>
    <row r="515" spans="1:16">
      <c r="A515" s="1">
        <v>514</v>
      </c>
      <c r="B515" s="2">
        <v>40566</v>
      </c>
      <c r="C515" s="1">
        <v>1</v>
      </c>
      <c r="D515" s="1">
        <v>0</v>
      </c>
      <c r="E515" s="1">
        <v>1</v>
      </c>
      <c r="F515" s="1">
        <v>12</v>
      </c>
      <c r="G515" s="1" t="b">
        <v>0</v>
      </c>
      <c r="H515" s="1">
        <v>0</v>
      </c>
      <c r="I515" s="1">
        <v>1</v>
      </c>
      <c r="J515" s="1">
        <v>0.16</v>
      </c>
      <c r="K515" s="20">
        <v>0.1212</v>
      </c>
      <c r="L515" s="23">
        <v>0.37</v>
      </c>
      <c r="M515" s="23">
        <v>0.4627</v>
      </c>
      <c r="N515" s="23">
        <v>24</v>
      </c>
      <c r="O515" s="23">
        <v>92</v>
      </c>
      <c r="P515" s="24">
        <v>116</v>
      </c>
    </row>
    <row r="516" spans="1:16">
      <c r="A516" s="1">
        <v>515</v>
      </c>
      <c r="B516" s="2">
        <v>40566</v>
      </c>
      <c r="C516" s="1">
        <v>1</v>
      </c>
      <c r="D516" s="1">
        <v>0</v>
      </c>
      <c r="E516" s="1">
        <v>1</v>
      </c>
      <c r="F516" s="1">
        <v>13</v>
      </c>
      <c r="G516" s="1" t="b">
        <v>0</v>
      </c>
      <c r="H516" s="1">
        <v>0</v>
      </c>
      <c r="I516" s="1">
        <v>1</v>
      </c>
      <c r="J516" s="1">
        <v>0.14000000000000001</v>
      </c>
      <c r="K516" s="19">
        <v>0.1061</v>
      </c>
      <c r="L516" s="21">
        <v>0.33</v>
      </c>
      <c r="M516" s="21">
        <v>0.3881</v>
      </c>
      <c r="N516" s="21">
        <v>12</v>
      </c>
      <c r="O516" s="21">
        <v>75</v>
      </c>
      <c r="P516" s="22">
        <v>87</v>
      </c>
    </row>
    <row r="517" spans="1:16">
      <c r="A517" s="1">
        <v>516</v>
      </c>
      <c r="B517" s="2">
        <v>40566</v>
      </c>
      <c r="C517" s="1">
        <v>1</v>
      </c>
      <c r="D517" s="1">
        <v>0</v>
      </c>
      <c r="E517" s="1">
        <v>1</v>
      </c>
      <c r="F517" s="1">
        <v>14</v>
      </c>
      <c r="G517" s="1" t="b">
        <v>0</v>
      </c>
      <c r="H517" s="1">
        <v>0</v>
      </c>
      <c r="I517" s="1">
        <v>1</v>
      </c>
      <c r="J517" s="1">
        <v>0.16</v>
      </c>
      <c r="K517" s="20">
        <v>0.13639999999999999</v>
      </c>
      <c r="L517" s="23">
        <v>0.28000000000000003</v>
      </c>
      <c r="M517" s="23">
        <v>0.35820000000000002</v>
      </c>
      <c r="N517" s="23">
        <v>17</v>
      </c>
      <c r="O517" s="23">
        <v>93</v>
      </c>
      <c r="P517" s="24">
        <v>110</v>
      </c>
    </row>
    <row r="518" spans="1:16">
      <c r="A518" s="1">
        <v>517</v>
      </c>
      <c r="B518" s="2">
        <v>40566</v>
      </c>
      <c r="C518" s="1">
        <v>1</v>
      </c>
      <c r="D518" s="1">
        <v>0</v>
      </c>
      <c r="E518" s="1">
        <v>1</v>
      </c>
      <c r="F518" s="1">
        <v>15</v>
      </c>
      <c r="G518" s="1" t="b">
        <v>0</v>
      </c>
      <c r="H518" s="1">
        <v>0</v>
      </c>
      <c r="I518" s="1">
        <v>1</v>
      </c>
      <c r="J518" s="1">
        <v>0.16</v>
      </c>
      <c r="K518" s="19">
        <v>0.13639999999999999</v>
      </c>
      <c r="L518" s="21">
        <v>0.28000000000000003</v>
      </c>
      <c r="M518" s="21">
        <v>0.35820000000000002</v>
      </c>
      <c r="N518" s="21">
        <v>13</v>
      </c>
      <c r="O518" s="21">
        <v>64</v>
      </c>
      <c r="P518" s="22">
        <v>77</v>
      </c>
    </row>
    <row r="519" spans="1:16">
      <c r="A519" s="1">
        <v>518</v>
      </c>
      <c r="B519" s="2">
        <v>40566</v>
      </c>
      <c r="C519" s="1">
        <v>1</v>
      </c>
      <c r="D519" s="1">
        <v>0</v>
      </c>
      <c r="E519" s="1">
        <v>1</v>
      </c>
      <c r="F519" s="1">
        <v>16</v>
      </c>
      <c r="G519" s="1" t="b">
        <v>0</v>
      </c>
      <c r="H519" s="1">
        <v>0</v>
      </c>
      <c r="I519" s="1">
        <v>1</v>
      </c>
      <c r="J519" s="1">
        <v>0.16</v>
      </c>
      <c r="K519" s="20">
        <v>0.13639999999999999</v>
      </c>
      <c r="L519" s="23">
        <v>0.26</v>
      </c>
      <c r="M519" s="23">
        <v>0.32840000000000003</v>
      </c>
      <c r="N519" s="23">
        <v>9</v>
      </c>
      <c r="O519" s="23">
        <v>56</v>
      </c>
      <c r="P519" s="24">
        <v>65</v>
      </c>
    </row>
    <row r="520" spans="1:16">
      <c r="A520" s="1">
        <v>519</v>
      </c>
      <c r="B520" s="2">
        <v>40566</v>
      </c>
      <c r="C520" s="1">
        <v>1</v>
      </c>
      <c r="D520" s="1">
        <v>0</v>
      </c>
      <c r="E520" s="1">
        <v>1</v>
      </c>
      <c r="F520" s="1">
        <v>17</v>
      </c>
      <c r="G520" s="1" t="b">
        <v>0</v>
      </c>
      <c r="H520" s="1">
        <v>0</v>
      </c>
      <c r="I520" s="1">
        <v>1</v>
      </c>
      <c r="J520" s="1">
        <v>0.14000000000000001</v>
      </c>
      <c r="K520" s="19">
        <v>0.1061</v>
      </c>
      <c r="L520" s="21">
        <v>0.26</v>
      </c>
      <c r="M520" s="21">
        <v>0.3881</v>
      </c>
      <c r="N520" s="21">
        <v>5</v>
      </c>
      <c r="O520" s="21">
        <v>50</v>
      </c>
      <c r="P520" s="22">
        <v>55</v>
      </c>
    </row>
    <row r="521" spans="1:16">
      <c r="A521" s="1">
        <v>520</v>
      </c>
      <c r="B521" s="2">
        <v>40566</v>
      </c>
      <c r="C521" s="1">
        <v>1</v>
      </c>
      <c r="D521" s="1">
        <v>0</v>
      </c>
      <c r="E521" s="1">
        <v>1</v>
      </c>
      <c r="F521" s="1">
        <v>18</v>
      </c>
      <c r="G521" s="1" t="b">
        <v>0</v>
      </c>
      <c r="H521" s="1">
        <v>0</v>
      </c>
      <c r="I521" s="1">
        <v>1</v>
      </c>
      <c r="J521" s="1">
        <v>0.12</v>
      </c>
      <c r="K521" s="20">
        <v>0.1212</v>
      </c>
      <c r="L521" s="23">
        <v>0.3</v>
      </c>
      <c r="M521" s="23">
        <v>0.25369999999999998</v>
      </c>
      <c r="N521" s="23">
        <v>5</v>
      </c>
      <c r="O521" s="23">
        <v>44</v>
      </c>
      <c r="P521" s="24">
        <v>49</v>
      </c>
    </row>
    <row r="522" spans="1:16">
      <c r="A522" s="1">
        <v>521</v>
      </c>
      <c r="B522" s="2">
        <v>40566</v>
      </c>
      <c r="C522" s="1">
        <v>1</v>
      </c>
      <c r="D522" s="1">
        <v>0</v>
      </c>
      <c r="E522" s="1">
        <v>1</v>
      </c>
      <c r="F522" s="1">
        <v>19</v>
      </c>
      <c r="G522" s="1" t="b">
        <v>0</v>
      </c>
      <c r="H522" s="1">
        <v>0</v>
      </c>
      <c r="I522" s="1">
        <v>1</v>
      </c>
      <c r="J522" s="1">
        <v>0.12</v>
      </c>
      <c r="K522" s="19">
        <v>0.1212</v>
      </c>
      <c r="L522" s="21">
        <v>0.3</v>
      </c>
      <c r="M522" s="21">
        <v>0.28360000000000002</v>
      </c>
      <c r="N522" s="21">
        <v>5</v>
      </c>
      <c r="O522" s="21">
        <v>45</v>
      </c>
      <c r="P522" s="22">
        <v>50</v>
      </c>
    </row>
    <row r="523" spans="1:16">
      <c r="A523" s="1">
        <v>522</v>
      </c>
      <c r="B523" s="2">
        <v>40566</v>
      </c>
      <c r="C523" s="1">
        <v>1</v>
      </c>
      <c r="D523" s="1">
        <v>0</v>
      </c>
      <c r="E523" s="1">
        <v>1</v>
      </c>
      <c r="F523" s="1">
        <v>20</v>
      </c>
      <c r="G523" s="1" t="b">
        <v>0</v>
      </c>
      <c r="H523" s="1">
        <v>0</v>
      </c>
      <c r="I523" s="1">
        <v>1</v>
      </c>
      <c r="J523" s="1">
        <v>0.1</v>
      </c>
      <c r="K523" s="20">
        <v>0.1061</v>
      </c>
      <c r="L523" s="23">
        <v>0.36</v>
      </c>
      <c r="M523" s="23">
        <v>0.25369999999999998</v>
      </c>
      <c r="N523" s="23">
        <v>4</v>
      </c>
      <c r="O523" s="23">
        <v>31</v>
      </c>
      <c r="P523" s="24">
        <v>35</v>
      </c>
    </row>
    <row r="524" spans="1:16">
      <c r="A524" s="1">
        <v>523</v>
      </c>
      <c r="B524" s="2">
        <v>40566</v>
      </c>
      <c r="C524" s="1">
        <v>1</v>
      </c>
      <c r="D524" s="1">
        <v>0</v>
      </c>
      <c r="E524" s="1">
        <v>1</v>
      </c>
      <c r="F524" s="1">
        <v>21</v>
      </c>
      <c r="G524" s="1" t="b">
        <v>0</v>
      </c>
      <c r="H524" s="1">
        <v>0</v>
      </c>
      <c r="I524" s="1">
        <v>1</v>
      </c>
      <c r="J524" s="1">
        <v>0.1</v>
      </c>
      <c r="K524" s="19">
        <v>0.1061</v>
      </c>
      <c r="L524" s="21">
        <v>0.36</v>
      </c>
      <c r="M524" s="21">
        <v>0.19400000000000001</v>
      </c>
      <c r="N524" s="21">
        <v>5</v>
      </c>
      <c r="O524" s="21">
        <v>20</v>
      </c>
      <c r="P524" s="22">
        <v>25</v>
      </c>
    </row>
    <row r="525" spans="1:16">
      <c r="A525" s="1">
        <v>524</v>
      </c>
      <c r="B525" s="2">
        <v>40566</v>
      </c>
      <c r="C525" s="1">
        <v>1</v>
      </c>
      <c r="D525" s="1">
        <v>0</v>
      </c>
      <c r="E525" s="1">
        <v>1</v>
      </c>
      <c r="F525" s="1">
        <v>22</v>
      </c>
      <c r="G525" s="1" t="b">
        <v>0</v>
      </c>
      <c r="H525" s="1">
        <v>0</v>
      </c>
      <c r="I525" s="1">
        <v>1</v>
      </c>
      <c r="J525" s="1">
        <v>0.08</v>
      </c>
      <c r="K525" s="20">
        <v>9.0899999999999995E-2</v>
      </c>
      <c r="L525" s="23">
        <v>0.38</v>
      </c>
      <c r="M525" s="23">
        <v>0.19400000000000001</v>
      </c>
      <c r="N525" s="23">
        <v>5</v>
      </c>
      <c r="O525" s="23">
        <v>23</v>
      </c>
      <c r="P525" s="24">
        <v>28</v>
      </c>
    </row>
    <row r="526" spans="1:16">
      <c r="A526" s="1">
        <v>525</v>
      </c>
      <c r="B526" s="2">
        <v>40566</v>
      </c>
      <c r="C526" s="1">
        <v>1</v>
      </c>
      <c r="D526" s="1">
        <v>0</v>
      </c>
      <c r="E526" s="1">
        <v>1</v>
      </c>
      <c r="F526" s="1">
        <v>23</v>
      </c>
      <c r="G526" s="1" t="b">
        <v>0</v>
      </c>
      <c r="H526" s="1">
        <v>0</v>
      </c>
      <c r="I526" s="1">
        <v>1</v>
      </c>
      <c r="J526" s="1">
        <v>0.06</v>
      </c>
      <c r="K526" s="19">
        <v>6.0600000000000001E-2</v>
      </c>
      <c r="L526" s="21">
        <v>0.41</v>
      </c>
      <c r="M526" s="21">
        <v>0.22389999999999999</v>
      </c>
      <c r="N526" s="21">
        <v>4</v>
      </c>
      <c r="O526" s="21">
        <v>17</v>
      </c>
      <c r="P526" s="22">
        <v>21</v>
      </c>
    </row>
    <row r="527" spans="1:16">
      <c r="A527" s="1">
        <v>526</v>
      </c>
      <c r="B527" s="2">
        <v>40567</v>
      </c>
      <c r="C527" s="1">
        <v>1</v>
      </c>
      <c r="D527" s="1">
        <v>0</v>
      </c>
      <c r="E527" s="1">
        <v>1</v>
      </c>
      <c r="F527" s="1">
        <v>0</v>
      </c>
      <c r="G527" s="1" t="b">
        <v>0</v>
      </c>
      <c r="H527" s="1">
        <v>1</v>
      </c>
      <c r="I527" s="1">
        <v>1</v>
      </c>
      <c r="J527" s="1">
        <v>0.06</v>
      </c>
      <c r="K527" s="20">
        <v>6.0600000000000001E-2</v>
      </c>
      <c r="L527" s="23">
        <v>0.41</v>
      </c>
      <c r="M527" s="23">
        <v>0.19400000000000001</v>
      </c>
      <c r="N527" s="23">
        <v>0</v>
      </c>
      <c r="O527" s="23">
        <v>7</v>
      </c>
      <c r="P527" s="24">
        <v>7</v>
      </c>
    </row>
    <row r="528" spans="1:16">
      <c r="A528" s="1">
        <v>527</v>
      </c>
      <c r="B528" s="2">
        <v>40567</v>
      </c>
      <c r="C528" s="1">
        <v>1</v>
      </c>
      <c r="D528" s="1">
        <v>0</v>
      </c>
      <c r="E528" s="1">
        <v>1</v>
      </c>
      <c r="F528" s="1">
        <v>1</v>
      </c>
      <c r="G528" s="1" t="b">
        <v>0</v>
      </c>
      <c r="H528" s="1">
        <v>1</v>
      </c>
      <c r="I528" s="1">
        <v>1</v>
      </c>
      <c r="J528" s="1">
        <v>0.04</v>
      </c>
      <c r="K528" s="19">
        <v>4.5499999999999999E-2</v>
      </c>
      <c r="L528" s="21">
        <v>0.45</v>
      </c>
      <c r="M528" s="21">
        <v>0.19400000000000001</v>
      </c>
      <c r="N528" s="21">
        <v>0</v>
      </c>
      <c r="O528" s="21">
        <v>1</v>
      </c>
      <c r="P528" s="22">
        <v>1</v>
      </c>
    </row>
    <row r="529" spans="1:16">
      <c r="A529" s="1">
        <v>528</v>
      </c>
      <c r="B529" s="2">
        <v>40567</v>
      </c>
      <c r="C529" s="1">
        <v>1</v>
      </c>
      <c r="D529" s="1">
        <v>0</v>
      </c>
      <c r="E529" s="1">
        <v>1</v>
      </c>
      <c r="F529" s="1">
        <v>3</v>
      </c>
      <c r="G529" s="1" t="b">
        <v>0</v>
      </c>
      <c r="H529" s="1">
        <v>1</v>
      </c>
      <c r="I529" s="1">
        <v>1</v>
      </c>
      <c r="J529" s="1">
        <v>0.04</v>
      </c>
      <c r="K529" s="20">
        <v>3.0300000000000001E-2</v>
      </c>
      <c r="L529" s="23">
        <v>0.45</v>
      </c>
      <c r="M529" s="23">
        <v>0.25369999999999998</v>
      </c>
      <c r="N529" s="23">
        <v>0</v>
      </c>
      <c r="O529" s="23">
        <v>1</v>
      </c>
      <c r="P529" s="24">
        <v>1</v>
      </c>
    </row>
    <row r="530" spans="1:16">
      <c r="A530" s="1">
        <v>529</v>
      </c>
      <c r="B530" s="2">
        <v>40567</v>
      </c>
      <c r="C530" s="1">
        <v>1</v>
      </c>
      <c r="D530" s="1">
        <v>0</v>
      </c>
      <c r="E530" s="1">
        <v>1</v>
      </c>
      <c r="F530" s="1">
        <v>4</v>
      </c>
      <c r="G530" s="1" t="b">
        <v>0</v>
      </c>
      <c r="H530" s="1">
        <v>1</v>
      </c>
      <c r="I530" s="1">
        <v>1</v>
      </c>
      <c r="J530" s="1">
        <v>0.02</v>
      </c>
      <c r="K530" s="19">
        <v>6.0600000000000001E-2</v>
      </c>
      <c r="L530" s="21">
        <v>0.48</v>
      </c>
      <c r="M530" s="21">
        <v>0.1343</v>
      </c>
      <c r="N530" s="21">
        <v>0</v>
      </c>
      <c r="O530" s="21">
        <v>1</v>
      </c>
      <c r="P530" s="22">
        <v>1</v>
      </c>
    </row>
    <row r="531" spans="1:16">
      <c r="A531" s="1">
        <v>530</v>
      </c>
      <c r="B531" s="2">
        <v>40567</v>
      </c>
      <c r="C531" s="1">
        <v>1</v>
      </c>
      <c r="D531" s="1">
        <v>0</v>
      </c>
      <c r="E531" s="1">
        <v>1</v>
      </c>
      <c r="F531" s="1">
        <v>5</v>
      </c>
      <c r="G531" s="1" t="b">
        <v>0</v>
      </c>
      <c r="H531" s="1">
        <v>1</v>
      </c>
      <c r="I531" s="1">
        <v>1</v>
      </c>
      <c r="J531" s="1">
        <v>0.02</v>
      </c>
      <c r="K531" s="20">
        <v>6.0600000000000001E-2</v>
      </c>
      <c r="L531" s="23">
        <v>0.48</v>
      </c>
      <c r="M531" s="23">
        <v>0.1343</v>
      </c>
      <c r="N531" s="23">
        <v>0</v>
      </c>
      <c r="O531" s="23">
        <v>5</v>
      </c>
      <c r="P531" s="24">
        <v>5</v>
      </c>
    </row>
    <row r="532" spans="1:16">
      <c r="A532" s="1">
        <v>531</v>
      </c>
      <c r="B532" s="2">
        <v>40567</v>
      </c>
      <c r="C532" s="1">
        <v>1</v>
      </c>
      <c r="D532" s="1">
        <v>0</v>
      </c>
      <c r="E532" s="1">
        <v>1</v>
      </c>
      <c r="F532" s="1">
        <v>6</v>
      </c>
      <c r="G532" s="1" t="b">
        <v>0</v>
      </c>
      <c r="H532" s="1">
        <v>1</v>
      </c>
      <c r="I532" s="1">
        <v>1</v>
      </c>
      <c r="J532" s="1">
        <v>0.02</v>
      </c>
      <c r="K532" s="19">
        <v>7.5800000000000006E-2</v>
      </c>
      <c r="L532" s="21">
        <v>0.48</v>
      </c>
      <c r="M532" s="21">
        <v>8.9599999999999999E-2</v>
      </c>
      <c r="N532" s="21">
        <v>0</v>
      </c>
      <c r="O532" s="21">
        <v>15</v>
      </c>
      <c r="P532" s="22">
        <v>15</v>
      </c>
    </row>
    <row r="533" spans="1:16">
      <c r="A533" s="1">
        <v>532</v>
      </c>
      <c r="B533" s="2">
        <v>40567</v>
      </c>
      <c r="C533" s="1">
        <v>1</v>
      </c>
      <c r="D533" s="1">
        <v>0</v>
      </c>
      <c r="E533" s="1">
        <v>1</v>
      </c>
      <c r="F533" s="1">
        <v>7</v>
      </c>
      <c r="G533" s="1" t="b">
        <v>0</v>
      </c>
      <c r="H533" s="1">
        <v>1</v>
      </c>
      <c r="I533" s="1">
        <v>1</v>
      </c>
      <c r="J533" s="1">
        <v>0.02</v>
      </c>
      <c r="K533" s="20">
        <v>0.1212</v>
      </c>
      <c r="L533" s="23">
        <v>0.48</v>
      </c>
      <c r="M533" s="23">
        <v>0</v>
      </c>
      <c r="N533" s="23">
        <v>5</v>
      </c>
      <c r="O533" s="23">
        <v>79</v>
      </c>
      <c r="P533" s="24">
        <v>84</v>
      </c>
    </row>
    <row r="534" spans="1:16">
      <c r="A534" s="1">
        <v>533</v>
      </c>
      <c r="B534" s="2">
        <v>40567</v>
      </c>
      <c r="C534" s="1">
        <v>1</v>
      </c>
      <c r="D534" s="1">
        <v>0</v>
      </c>
      <c r="E534" s="1">
        <v>1</v>
      </c>
      <c r="F534" s="1">
        <v>8</v>
      </c>
      <c r="G534" s="1" t="b">
        <v>0</v>
      </c>
      <c r="H534" s="1">
        <v>1</v>
      </c>
      <c r="I534" s="1">
        <v>1</v>
      </c>
      <c r="J534" s="1">
        <v>0.04</v>
      </c>
      <c r="K534" s="19">
        <v>0.13639999999999999</v>
      </c>
      <c r="L534" s="21">
        <v>0.49</v>
      </c>
      <c r="M534" s="21">
        <v>0</v>
      </c>
      <c r="N534" s="21">
        <v>6</v>
      </c>
      <c r="O534" s="21">
        <v>171</v>
      </c>
      <c r="P534" s="22">
        <v>177</v>
      </c>
    </row>
    <row r="535" spans="1:16">
      <c r="A535" s="1">
        <v>534</v>
      </c>
      <c r="B535" s="2">
        <v>40567</v>
      </c>
      <c r="C535" s="1">
        <v>1</v>
      </c>
      <c r="D535" s="1">
        <v>0</v>
      </c>
      <c r="E535" s="1">
        <v>1</v>
      </c>
      <c r="F535" s="1">
        <v>9</v>
      </c>
      <c r="G535" s="1" t="b">
        <v>0</v>
      </c>
      <c r="H535" s="1">
        <v>1</v>
      </c>
      <c r="I535" s="1">
        <v>1</v>
      </c>
      <c r="J535" s="1">
        <v>0.06</v>
      </c>
      <c r="K535" s="20">
        <v>0.1515</v>
      </c>
      <c r="L535" s="23">
        <v>0.41</v>
      </c>
      <c r="M535" s="23">
        <v>0</v>
      </c>
      <c r="N535" s="23">
        <v>4</v>
      </c>
      <c r="O535" s="23">
        <v>98</v>
      </c>
      <c r="P535" s="24">
        <v>102</v>
      </c>
    </row>
    <row r="536" spans="1:16">
      <c r="A536" s="1">
        <v>535</v>
      </c>
      <c r="B536" s="2">
        <v>40567</v>
      </c>
      <c r="C536" s="1">
        <v>1</v>
      </c>
      <c r="D536" s="1">
        <v>0</v>
      </c>
      <c r="E536" s="1">
        <v>1</v>
      </c>
      <c r="F536" s="1">
        <v>10</v>
      </c>
      <c r="G536" s="1" t="b">
        <v>0</v>
      </c>
      <c r="H536" s="1">
        <v>1</v>
      </c>
      <c r="I536" s="1">
        <v>1</v>
      </c>
      <c r="J536" s="1">
        <v>0.1</v>
      </c>
      <c r="K536" s="19">
        <v>0.13639999999999999</v>
      </c>
      <c r="L536" s="21">
        <v>0.42</v>
      </c>
      <c r="M536" s="21">
        <v>0</v>
      </c>
      <c r="N536" s="21">
        <v>6</v>
      </c>
      <c r="O536" s="21">
        <v>34</v>
      </c>
      <c r="P536" s="22">
        <v>40</v>
      </c>
    </row>
    <row r="537" spans="1:16">
      <c r="A537" s="1">
        <v>536</v>
      </c>
      <c r="B537" s="2">
        <v>40567</v>
      </c>
      <c r="C537" s="1">
        <v>1</v>
      </c>
      <c r="D537" s="1">
        <v>0</v>
      </c>
      <c r="E537" s="1">
        <v>1</v>
      </c>
      <c r="F537" s="1">
        <v>11</v>
      </c>
      <c r="G537" s="1" t="b">
        <v>0</v>
      </c>
      <c r="H537" s="1">
        <v>1</v>
      </c>
      <c r="I537" s="1">
        <v>1</v>
      </c>
      <c r="J537" s="1">
        <v>0.1</v>
      </c>
      <c r="K537" s="20">
        <v>0.1212</v>
      </c>
      <c r="L537" s="23">
        <v>0.46</v>
      </c>
      <c r="M537" s="23">
        <v>0.1343</v>
      </c>
      <c r="N537" s="23">
        <v>3</v>
      </c>
      <c r="O537" s="23">
        <v>43</v>
      </c>
      <c r="P537" s="24">
        <v>46</v>
      </c>
    </row>
    <row r="538" spans="1:16">
      <c r="A538" s="1">
        <v>537</v>
      </c>
      <c r="B538" s="2">
        <v>40567</v>
      </c>
      <c r="C538" s="1">
        <v>1</v>
      </c>
      <c r="D538" s="1">
        <v>0</v>
      </c>
      <c r="E538" s="1">
        <v>1</v>
      </c>
      <c r="F538" s="1">
        <v>12</v>
      </c>
      <c r="G538" s="1" t="b">
        <v>0</v>
      </c>
      <c r="H538" s="1">
        <v>1</v>
      </c>
      <c r="I538" s="1">
        <v>2</v>
      </c>
      <c r="J538" s="1">
        <v>0.12</v>
      </c>
      <c r="K538" s="19">
        <v>0.13639999999999999</v>
      </c>
      <c r="L538" s="21">
        <v>0.42</v>
      </c>
      <c r="M538" s="21">
        <v>0.19400000000000001</v>
      </c>
      <c r="N538" s="21">
        <v>11</v>
      </c>
      <c r="O538" s="21">
        <v>52</v>
      </c>
      <c r="P538" s="22">
        <v>63</v>
      </c>
    </row>
    <row r="539" spans="1:16">
      <c r="A539" s="1">
        <v>538</v>
      </c>
      <c r="B539" s="2">
        <v>40567</v>
      </c>
      <c r="C539" s="1">
        <v>1</v>
      </c>
      <c r="D539" s="1">
        <v>0</v>
      </c>
      <c r="E539" s="1">
        <v>1</v>
      </c>
      <c r="F539" s="1">
        <v>13</v>
      </c>
      <c r="G539" s="1" t="b">
        <v>0</v>
      </c>
      <c r="H539" s="1">
        <v>1</v>
      </c>
      <c r="I539" s="1">
        <v>2</v>
      </c>
      <c r="J539" s="1">
        <v>0.14000000000000001</v>
      </c>
      <c r="K539" s="20">
        <v>0.13639999999999999</v>
      </c>
      <c r="L539" s="23">
        <v>0.43</v>
      </c>
      <c r="M539" s="23">
        <v>0.22389999999999999</v>
      </c>
      <c r="N539" s="23">
        <v>6</v>
      </c>
      <c r="O539" s="23">
        <v>54</v>
      </c>
      <c r="P539" s="24">
        <v>60</v>
      </c>
    </row>
    <row r="540" spans="1:16">
      <c r="A540" s="1">
        <v>539</v>
      </c>
      <c r="B540" s="2">
        <v>40567</v>
      </c>
      <c r="C540" s="1">
        <v>1</v>
      </c>
      <c r="D540" s="1">
        <v>0</v>
      </c>
      <c r="E540" s="1">
        <v>1</v>
      </c>
      <c r="F540" s="1">
        <v>14</v>
      </c>
      <c r="G540" s="1" t="b">
        <v>0</v>
      </c>
      <c r="H540" s="1">
        <v>1</v>
      </c>
      <c r="I540" s="1">
        <v>2</v>
      </c>
      <c r="J540" s="1">
        <v>0.14000000000000001</v>
      </c>
      <c r="K540" s="19">
        <v>0.13639999999999999</v>
      </c>
      <c r="L540" s="21">
        <v>0.46</v>
      </c>
      <c r="M540" s="21">
        <v>0.22389999999999999</v>
      </c>
      <c r="N540" s="21">
        <v>2</v>
      </c>
      <c r="O540" s="21">
        <v>43</v>
      </c>
      <c r="P540" s="22">
        <v>45</v>
      </c>
    </row>
    <row r="541" spans="1:16">
      <c r="A541" s="1">
        <v>540</v>
      </c>
      <c r="B541" s="2">
        <v>40567</v>
      </c>
      <c r="C541" s="1">
        <v>1</v>
      </c>
      <c r="D541" s="1">
        <v>0</v>
      </c>
      <c r="E541" s="1">
        <v>1</v>
      </c>
      <c r="F541" s="1">
        <v>15</v>
      </c>
      <c r="G541" s="1" t="b">
        <v>0</v>
      </c>
      <c r="H541" s="1">
        <v>1</v>
      </c>
      <c r="I541" s="1">
        <v>1</v>
      </c>
      <c r="J541" s="1">
        <v>0.16</v>
      </c>
      <c r="K541" s="20">
        <v>0.16669999999999999</v>
      </c>
      <c r="L541" s="23">
        <v>0.4</v>
      </c>
      <c r="M541" s="23">
        <v>0.16420000000000001</v>
      </c>
      <c r="N541" s="23">
        <v>7</v>
      </c>
      <c r="O541" s="23">
        <v>50</v>
      </c>
      <c r="P541" s="24">
        <v>57</v>
      </c>
    </row>
    <row r="542" spans="1:16">
      <c r="A542" s="1">
        <v>541</v>
      </c>
      <c r="B542" s="2">
        <v>40567</v>
      </c>
      <c r="C542" s="1">
        <v>1</v>
      </c>
      <c r="D542" s="1">
        <v>0</v>
      </c>
      <c r="E542" s="1">
        <v>1</v>
      </c>
      <c r="F542" s="1">
        <v>16</v>
      </c>
      <c r="G542" s="1" t="b">
        <v>0</v>
      </c>
      <c r="H542" s="1">
        <v>1</v>
      </c>
      <c r="I542" s="1">
        <v>1</v>
      </c>
      <c r="J542" s="1">
        <v>0.16</v>
      </c>
      <c r="K542" s="19">
        <v>0.1515</v>
      </c>
      <c r="L542" s="21">
        <v>0.47</v>
      </c>
      <c r="M542" s="21">
        <v>0.25369999999999998</v>
      </c>
      <c r="N542" s="21">
        <v>4</v>
      </c>
      <c r="O542" s="21">
        <v>66</v>
      </c>
      <c r="P542" s="22">
        <v>70</v>
      </c>
    </row>
    <row r="543" spans="1:16">
      <c r="A543" s="1">
        <v>542</v>
      </c>
      <c r="B543" s="2">
        <v>40567</v>
      </c>
      <c r="C543" s="1">
        <v>1</v>
      </c>
      <c r="D543" s="1">
        <v>0</v>
      </c>
      <c r="E543" s="1">
        <v>1</v>
      </c>
      <c r="F543" s="1">
        <v>17</v>
      </c>
      <c r="G543" s="1" t="b">
        <v>0</v>
      </c>
      <c r="H543" s="1">
        <v>1</v>
      </c>
      <c r="I543" s="1">
        <v>1</v>
      </c>
      <c r="J543" s="1">
        <v>0.14000000000000001</v>
      </c>
      <c r="K543" s="20">
        <v>0.1212</v>
      </c>
      <c r="L543" s="23">
        <v>0.5</v>
      </c>
      <c r="M543" s="23">
        <v>0.25369999999999998</v>
      </c>
      <c r="N543" s="23">
        <v>6</v>
      </c>
      <c r="O543" s="23">
        <v>178</v>
      </c>
      <c r="P543" s="24">
        <v>184</v>
      </c>
    </row>
    <row r="544" spans="1:16">
      <c r="A544" s="1">
        <v>543</v>
      </c>
      <c r="B544" s="2">
        <v>40567</v>
      </c>
      <c r="C544" s="1">
        <v>1</v>
      </c>
      <c r="D544" s="1">
        <v>0</v>
      </c>
      <c r="E544" s="1">
        <v>1</v>
      </c>
      <c r="F544" s="1">
        <v>18</v>
      </c>
      <c r="G544" s="1" t="b">
        <v>0</v>
      </c>
      <c r="H544" s="1">
        <v>1</v>
      </c>
      <c r="I544" s="1">
        <v>1</v>
      </c>
      <c r="J544" s="1">
        <v>0.14000000000000001</v>
      </c>
      <c r="K544" s="19">
        <v>0.13639999999999999</v>
      </c>
      <c r="L544" s="21">
        <v>0.59</v>
      </c>
      <c r="M544" s="21">
        <v>0.19400000000000001</v>
      </c>
      <c r="N544" s="21">
        <v>8</v>
      </c>
      <c r="O544" s="21">
        <v>145</v>
      </c>
      <c r="P544" s="22">
        <v>153</v>
      </c>
    </row>
    <row r="545" spans="1:16">
      <c r="A545" s="1">
        <v>544</v>
      </c>
      <c r="B545" s="2">
        <v>40567</v>
      </c>
      <c r="C545" s="1">
        <v>1</v>
      </c>
      <c r="D545" s="1">
        <v>0</v>
      </c>
      <c r="E545" s="1">
        <v>1</v>
      </c>
      <c r="F545" s="1">
        <v>19</v>
      </c>
      <c r="G545" s="1" t="b">
        <v>0</v>
      </c>
      <c r="H545" s="1">
        <v>1</v>
      </c>
      <c r="I545" s="1">
        <v>1</v>
      </c>
      <c r="J545" s="1">
        <v>0.14000000000000001</v>
      </c>
      <c r="K545" s="20">
        <v>0.1515</v>
      </c>
      <c r="L545" s="23">
        <v>0.54</v>
      </c>
      <c r="M545" s="23">
        <v>0.16420000000000001</v>
      </c>
      <c r="N545" s="23">
        <v>5</v>
      </c>
      <c r="O545" s="23">
        <v>101</v>
      </c>
      <c r="P545" s="24">
        <v>106</v>
      </c>
    </row>
    <row r="546" spans="1:16">
      <c r="A546" s="1">
        <v>545</v>
      </c>
      <c r="B546" s="2">
        <v>40567</v>
      </c>
      <c r="C546" s="1">
        <v>1</v>
      </c>
      <c r="D546" s="1">
        <v>0</v>
      </c>
      <c r="E546" s="1">
        <v>1</v>
      </c>
      <c r="F546" s="1">
        <v>20</v>
      </c>
      <c r="G546" s="1" t="b">
        <v>0</v>
      </c>
      <c r="H546" s="1">
        <v>1</v>
      </c>
      <c r="I546" s="1">
        <v>1</v>
      </c>
      <c r="J546" s="1">
        <v>0.14000000000000001</v>
      </c>
      <c r="K546" s="19">
        <v>0.13639999999999999</v>
      </c>
      <c r="L546" s="21">
        <v>0.59</v>
      </c>
      <c r="M546" s="21">
        <v>0.19400000000000001</v>
      </c>
      <c r="N546" s="21">
        <v>1</v>
      </c>
      <c r="O546" s="21">
        <v>80</v>
      </c>
      <c r="P546" s="22">
        <v>81</v>
      </c>
    </row>
    <row r="547" spans="1:16">
      <c r="A547" s="1">
        <v>546</v>
      </c>
      <c r="B547" s="2">
        <v>40567</v>
      </c>
      <c r="C547" s="1">
        <v>1</v>
      </c>
      <c r="D547" s="1">
        <v>0</v>
      </c>
      <c r="E547" s="1">
        <v>1</v>
      </c>
      <c r="F547" s="1">
        <v>21</v>
      </c>
      <c r="G547" s="1" t="b">
        <v>0</v>
      </c>
      <c r="H547" s="1">
        <v>1</v>
      </c>
      <c r="I547" s="1">
        <v>1</v>
      </c>
      <c r="J547" s="1">
        <v>0.14000000000000001</v>
      </c>
      <c r="K547" s="20">
        <v>0.1515</v>
      </c>
      <c r="L547" s="23">
        <v>0.63</v>
      </c>
      <c r="M547" s="23">
        <v>0.16420000000000001</v>
      </c>
      <c r="N547" s="23">
        <v>6</v>
      </c>
      <c r="O547" s="23">
        <v>53</v>
      </c>
      <c r="P547" s="24">
        <v>59</v>
      </c>
    </row>
    <row r="548" spans="1:16">
      <c r="A548" s="1">
        <v>547</v>
      </c>
      <c r="B548" s="2">
        <v>40567</v>
      </c>
      <c r="C548" s="1">
        <v>1</v>
      </c>
      <c r="D548" s="1">
        <v>0</v>
      </c>
      <c r="E548" s="1">
        <v>1</v>
      </c>
      <c r="F548" s="1">
        <v>22</v>
      </c>
      <c r="G548" s="1" t="b">
        <v>0</v>
      </c>
      <c r="H548" s="1">
        <v>1</v>
      </c>
      <c r="I548" s="1">
        <v>2</v>
      </c>
      <c r="J548" s="1">
        <v>0.14000000000000001</v>
      </c>
      <c r="K548" s="19">
        <v>0.13639999999999999</v>
      </c>
      <c r="L548" s="21">
        <v>0.63</v>
      </c>
      <c r="M548" s="21">
        <v>0.22389999999999999</v>
      </c>
      <c r="N548" s="21">
        <v>3</v>
      </c>
      <c r="O548" s="21">
        <v>32</v>
      </c>
      <c r="P548" s="22">
        <v>35</v>
      </c>
    </row>
    <row r="549" spans="1:16">
      <c r="A549" s="1">
        <v>548</v>
      </c>
      <c r="B549" s="2">
        <v>40567</v>
      </c>
      <c r="C549" s="1">
        <v>1</v>
      </c>
      <c r="D549" s="1">
        <v>0</v>
      </c>
      <c r="E549" s="1">
        <v>1</v>
      </c>
      <c r="F549" s="1">
        <v>23</v>
      </c>
      <c r="G549" s="1" t="b">
        <v>0</v>
      </c>
      <c r="H549" s="1">
        <v>1</v>
      </c>
      <c r="I549" s="1">
        <v>2</v>
      </c>
      <c r="J549" s="1">
        <v>0.16</v>
      </c>
      <c r="K549" s="20">
        <v>0.1515</v>
      </c>
      <c r="L549" s="23">
        <v>0.64</v>
      </c>
      <c r="M549" s="23">
        <v>0.25369999999999998</v>
      </c>
      <c r="N549" s="23">
        <v>3</v>
      </c>
      <c r="O549" s="23">
        <v>21</v>
      </c>
      <c r="P549" s="24">
        <v>24</v>
      </c>
    </row>
    <row r="550" spans="1:16">
      <c r="A550" s="1">
        <v>549</v>
      </c>
      <c r="B550" s="2">
        <v>40568</v>
      </c>
      <c r="C550" s="1">
        <v>1</v>
      </c>
      <c r="D550" s="1">
        <v>0</v>
      </c>
      <c r="E550" s="1">
        <v>1</v>
      </c>
      <c r="F550" s="1">
        <v>0</v>
      </c>
      <c r="G550" s="1" t="b">
        <v>0</v>
      </c>
      <c r="H550" s="1">
        <v>2</v>
      </c>
      <c r="I550" s="1">
        <v>2</v>
      </c>
      <c r="J550" s="1">
        <v>0.16</v>
      </c>
      <c r="K550" s="19">
        <v>0.13639999999999999</v>
      </c>
      <c r="L550" s="21">
        <v>0.69</v>
      </c>
      <c r="M550" s="21">
        <v>0.28360000000000002</v>
      </c>
      <c r="N550" s="21">
        <v>3</v>
      </c>
      <c r="O550" s="21">
        <v>6</v>
      </c>
      <c r="P550" s="22">
        <v>9</v>
      </c>
    </row>
    <row r="551" spans="1:16">
      <c r="A551" s="1">
        <v>550</v>
      </c>
      <c r="B551" s="2">
        <v>40568</v>
      </c>
      <c r="C551" s="1">
        <v>1</v>
      </c>
      <c r="D551" s="1">
        <v>0</v>
      </c>
      <c r="E551" s="1">
        <v>1</v>
      </c>
      <c r="F551" s="1">
        <v>1</v>
      </c>
      <c r="G551" s="1" t="b">
        <v>0</v>
      </c>
      <c r="H551" s="1">
        <v>2</v>
      </c>
      <c r="I551" s="1">
        <v>2</v>
      </c>
      <c r="J551" s="1">
        <v>0.16</v>
      </c>
      <c r="K551" s="20">
        <v>0.16669999999999999</v>
      </c>
      <c r="L551" s="23">
        <v>0.69</v>
      </c>
      <c r="M551" s="23">
        <v>0.16420000000000001</v>
      </c>
      <c r="N551" s="23">
        <v>0</v>
      </c>
      <c r="O551" s="23">
        <v>5</v>
      </c>
      <c r="P551" s="24">
        <v>5</v>
      </c>
    </row>
    <row r="552" spans="1:16">
      <c r="A552" s="1">
        <v>551</v>
      </c>
      <c r="B552" s="2">
        <v>40568</v>
      </c>
      <c r="C552" s="1">
        <v>1</v>
      </c>
      <c r="D552" s="1">
        <v>0</v>
      </c>
      <c r="E552" s="1">
        <v>1</v>
      </c>
      <c r="F552" s="1">
        <v>2</v>
      </c>
      <c r="G552" s="1" t="b">
        <v>0</v>
      </c>
      <c r="H552" s="1">
        <v>2</v>
      </c>
      <c r="I552" s="1">
        <v>1</v>
      </c>
      <c r="J552" s="1">
        <v>0.16</v>
      </c>
      <c r="K552" s="19">
        <v>0.1515</v>
      </c>
      <c r="L552" s="21">
        <v>0.69</v>
      </c>
      <c r="M552" s="21">
        <v>0.22389999999999999</v>
      </c>
      <c r="N552" s="21">
        <v>0</v>
      </c>
      <c r="O552" s="21">
        <v>2</v>
      </c>
      <c r="P552" s="22">
        <v>2</v>
      </c>
    </row>
    <row r="553" spans="1:16">
      <c r="A553" s="1">
        <v>552</v>
      </c>
      <c r="B553" s="2">
        <v>40568</v>
      </c>
      <c r="C553" s="1">
        <v>1</v>
      </c>
      <c r="D553" s="1">
        <v>0</v>
      </c>
      <c r="E553" s="1">
        <v>1</v>
      </c>
      <c r="F553" s="1">
        <v>4</v>
      </c>
      <c r="G553" s="1" t="b">
        <v>0</v>
      </c>
      <c r="H553" s="1">
        <v>2</v>
      </c>
      <c r="I553" s="1">
        <v>1</v>
      </c>
      <c r="J553" s="1">
        <v>0.14000000000000001</v>
      </c>
      <c r="K553" s="20">
        <v>0.16669999999999999</v>
      </c>
      <c r="L553" s="23">
        <v>0.74</v>
      </c>
      <c r="M553" s="23">
        <v>0.1045</v>
      </c>
      <c r="N553" s="23">
        <v>0</v>
      </c>
      <c r="O553" s="23">
        <v>1</v>
      </c>
      <c r="P553" s="24">
        <v>1</v>
      </c>
    </row>
    <row r="554" spans="1:16">
      <c r="A554" s="1">
        <v>553</v>
      </c>
      <c r="B554" s="2">
        <v>40568</v>
      </c>
      <c r="C554" s="1">
        <v>1</v>
      </c>
      <c r="D554" s="1">
        <v>0</v>
      </c>
      <c r="E554" s="1">
        <v>1</v>
      </c>
      <c r="F554" s="1">
        <v>5</v>
      </c>
      <c r="G554" s="1" t="b">
        <v>0</v>
      </c>
      <c r="H554" s="1">
        <v>2</v>
      </c>
      <c r="I554" s="1">
        <v>1</v>
      </c>
      <c r="J554" s="1">
        <v>0.14000000000000001</v>
      </c>
      <c r="K554" s="19">
        <v>0.13639999999999999</v>
      </c>
      <c r="L554" s="21">
        <v>0.74</v>
      </c>
      <c r="M554" s="21">
        <v>0.22389999999999999</v>
      </c>
      <c r="N554" s="21">
        <v>0</v>
      </c>
      <c r="O554" s="21">
        <v>9</v>
      </c>
      <c r="P554" s="22">
        <v>9</v>
      </c>
    </row>
    <row r="555" spans="1:16">
      <c r="A555" s="1">
        <v>554</v>
      </c>
      <c r="B555" s="2">
        <v>40568</v>
      </c>
      <c r="C555" s="1">
        <v>1</v>
      </c>
      <c r="D555" s="1">
        <v>0</v>
      </c>
      <c r="E555" s="1">
        <v>1</v>
      </c>
      <c r="F555" s="1">
        <v>6</v>
      </c>
      <c r="G555" s="1" t="b">
        <v>0</v>
      </c>
      <c r="H555" s="1">
        <v>2</v>
      </c>
      <c r="I555" s="1">
        <v>1</v>
      </c>
      <c r="J555" s="1">
        <v>0.16</v>
      </c>
      <c r="K555" s="20">
        <v>0.18179999999999999</v>
      </c>
      <c r="L555" s="23">
        <v>0.74</v>
      </c>
      <c r="M555" s="23">
        <v>0.1045</v>
      </c>
      <c r="N555" s="23">
        <v>1</v>
      </c>
      <c r="O555" s="23">
        <v>35</v>
      </c>
      <c r="P555" s="24">
        <v>36</v>
      </c>
    </row>
    <row r="556" spans="1:16">
      <c r="A556" s="1">
        <v>555</v>
      </c>
      <c r="B556" s="2">
        <v>40568</v>
      </c>
      <c r="C556" s="1">
        <v>1</v>
      </c>
      <c r="D556" s="1">
        <v>0</v>
      </c>
      <c r="E556" s="1">
        <v>1</v>
      </c>
      <c r="F556" s="1">
        <v>7</v>
      </c>
      <c r="G556" s="1" t="b">
        <v>0</v>
      </c>
      <c r="H556" s="1">
        <v>2</v>
      </c>
      <c r="I556" s="1">
        <v>1</v>
      </c>
      <c r="J556" s="1">
        <v>0.16</v>
      </c>
      <c r="K556" s="19">
        <v>0.1515</v>
      </c>
      <c r="L556" s="21">
        <v>0.74</v>
      </c>
      <c r="M556" s="21">
        <v>0.22389999999999999</v>
      </c>
      <c r="N556" s="21">
        <v>5</v>
      </c>
      <c r="O556" s="21">
        <v>103</v>
      </c>
      <c r="P556" s="22">
        <v>108</v>
      </c>
    </row>
    <row r="557" spans="1:16">
      <c r="A557" s="1">
        <v>556</v>
      </c>
      <c r="B557" s="2">
        <v>40568</v>
      </c>
      <c r="C557" s="1">
        <v>1</v>
      </c>
      <c r="D557" s="1">
        <v>0</v>
      </c>
      <c r="E557" s="1">
        <v>1</v>
      </c>
      <c r="F557" s="1">
        <v>8</v>
      </c>
      <c r="G557" s="1" t="b">
        <v>0</v>
      </c>
      <c r="H557" s="1">
        <v>2</v>
      </c>
      <c r="I557" s="1">
        <v>2</v>
      </c>
      <c r="J557" s="1">
        <v>0.16</v>
      </c>
      <c r="K557" s="20">
        <v>0.18179999999999999</v>
      </c>
      <c r="L557" s="23">
        <v>0.74</v>
      </c>
      <c r="M557" s="23">
        <v>0.1343</v>
      </c>
      <c r="N557" s="23">
        <v>5</v>
      </c>
      <c r="O557" s="23">
        <v>233</v>
      </c>
      <c r="P557" s="24">
        <v>238</v>
      </c>
    </row>
    <row r="558" spans="1:16">
      <c r="A558" s="1">
        <v>557</v>
      </c>
      <c r="B558" s="2">
        <v>40568</v>
      </c>
      <c r="C558" s="1">
        <v>1</v>
      </c>
      <c r="D558" s="1">
        <v>0</v>
      </c>
      <c r="E558" s="1">
        <v>1</v>
      </c>
      <c r="F558" s="1">
        <v>9</v>
      </c>
      <c r="G558" s="1" t="b">
        <v>0</v>
      </c>
      <c r="H558" s="1">
        <v>2</v>
      </c>
      <c r="I558" s="1">
        <v>2</v>
      </c>
      <c r="J558" s="1">
        <v>0.2</v>
      </c>
      <c r="K558" s="19">
        <v>0.2273</v>
      </c>
      <c r="L558" s="21">
        <v>0.64</v>
      </c>
      <c r="M558" s="21">
        <v>8.9599999999999999E-2</v>
      </c>
      <c r="N558" s="21">
        <v>10</v>
      </c>
      <c r="O558" s="21">
        <v>134</v>
      </c>
      <c r="P558" s="22">
        <v>144</v>
      </c>
    </row>
    <row r="559" spans="1:16">
      <c r="A559" s="1">
        <v>558</v>
      </c>
      <c r="B559" s="2">
        <v>40568</v>
      </c>
      <c r="C559" s="1">
        <v>1</v>
      </c>
      <c r="D559" s="1">
        <v>0</v>
      </c>
      <c r="E559" s="1">
        <v>1</v>
      </c>
      <c r="F559" s="1">
        <v>10</v>
      </c>
      <c r="G559" s="1" t="b">
        <v>0</v>
      </c>
      <c r="H559" s="1">
        <v>2</v>
      </c>
      <c r="I559" s="1">
        <v>2</v>
      </c>
      <c r="J559" s="1">
        <v>0.22</v>
      </c>
      <c r="K559" s="20">
        <v>0.2424</v>
      </c>
      <c r="L559" s="23">
        <v>0.6</v>
      </c>
      <c r="M559" s="23">
        <v>0.1045</v>
      </c>
      <c r="N559" s="23">
        <v>6</v>
      </c>
      <c r="O559" s="23">
        <v>49</v>
      </c>
      <c r="P559" s="24">
        <v>55</v>
      </c>
    </row>
    <row r="560" spans="1:16">
      <c r="A560" s="1">
        <v>559</v>
      </c>
      <c r="B560" s="2">
        <v>40568</v>
      </c>
      <c r="C560" s="1">
        <v>1</v>
      </c>
      <c r="D560" s="1">
        <v>0</v>
      </c>
      <c r="E560" s="1">
        <v>1</v>
      </c>
      <c r="F560" s="1">
        <v>11</v>
      </c>
      <c r="G560" s="1" t="b">
        <v>0</v>
      </c>
      <c r="H560" s="1">
        <v>2</v>
      </c>
      <c r="I560" s="1">
        <v>2</v>
      </c>
      <c r="J560" s="1">
        <v>0.24</v>
      </c>
      <c r="K560" s="19">
        <v>0.2424</v>
      </c>
      <c r="L560" s="21">
        <v>0.6</v>
      </c>
      <c r="M560" s="21">
        <v>0.1343</v>
      </c>
      <c r="N560" s="21">
        <v>6</v>
      </c>
      <c r="O560" s="21">
        <v>55</v>
      </c>
      <c r="P560" s="22">
        <v>61</v>
      </c>
    </row>
    <row r="561" spans="1:16">
      <c r="A561" s="1">
        <v>560</v>
      </c>
      <c r="B561" s="2">
        <v>40568</v>
      </c>
      <c r="C561" s="1">
        <v>1</v>
      </c>
      <c r="D561" s="1">
        <v>0</v>
      </c>
      <c r="E561" s="1">
        <v>1</v>
      </c>
      <c r="F561" s="1">
        <v>12</v>
      </c>
      <c r="G561" s="1" t="b">
        <v>0</v>
      </c>
      <c r="H561" s="1">
        <v>2</v>
      </c>
      <c r="I561" s="1">
        <v>2</v>
      </c>
      <c r="J561" s="1">
        <v>0.26</v>
      </c>
      <c r="K561" s="20">
        <v>0.28789999999999999</v>
      </c>
      <c r="L561" s="23">
        <v>0.56000000000000005</v>
      </c>
      <c r="M561" s="23">
        <v>8.9599999999999999E-2</v>
      </c>
      <c r="N561" s="23">
        <v>21</v>
      </c>
      <c r="O561" s="23">
        <v>85</v>
      </c>
      <c r="P561" s="24">
        <v>106</v>
      </c>
    </row>
    <row r="562" spans="1:16">
      <c r="A562" s="1">
        <v>561</v>
      </c>
      <c r="B562" s="2">
        <v>40568</v>
      </c>
      <c r="C562" s="1">
        <v>1</v>
      </c>
      <c r="D562" s="1">
        <v>0</v>
      </c>
      <c r="E562" s="1">
        <v>1</v>
      </c>
      <c r="F562" s="1">
        <v>13</v>
      </c>
      <c r="G562" s="1" t="b">
        <v>0</v>
      </c>
      <c r="H562" s="1">
        <v>2</v>
      </c>
      <c r="I562" s="1">
        <v>2</v>
      </c>
      <c r="J562" s="1">
        <v>0.26</v>
      </c>
      <c r="K562" s="19">
        <v>0.2727</v>
      </c>
      <c r="L562" s="21">
        <v>0.56000000000000005</v>
      </c>
      <c r="M562" s="21">
        <v>0.1343</v>
      </c>
      <c r="N562" s="21">
        <v>21</v>
      </c>
      <c r="O562" s="21">
        <v>72</v>
      </c>
      <c r="P562" s="22">
        <v>93</v>
      </c>
    </row>
    <row r="563" spans="1:16">
      <c r="A563" s="1">
        <v>562</v>
      </c>
      <c r="B563" s="2">
        <v>40568</v>
      </c>
      <c r="C563" s="1">
        <v>1</v>
      </c>
      <c r="D563" s="1">
        <v>0</v>
      </c>
      <c r="E563" s="1">
        <v>1</v>
      </c>
      <c r="F563" s="1">
        <v>14</v>
      </c>
      <c r="G563" s="1" t="b">
        <v>0</v>
      </c>
      <c r="H563" s="1">
        <v>2</v>
      </c>
      <c r="I563" s="1">
        <v>2</v>
      </c>
      <c r="J563" s="1">
        <v>0.3</v>
      </c>
      <c r="K563" s="20">
        <v>0.33329999999999999</v>
      </c>
      <c r="L563" s="23">
        <v>0.45</v>
      </c>
      <c r="M563" s="23">
        <v>0</v>
      </c>
      <c r="N563" s="23">
        <v>11</v>
      </c>
      <c r="O563" s="23">
        <v>57</v>
      </c>
      <c r="P563" s="24">
        <v>68</v>
      </c>
    </row>
    <row r="564" spans="1:16">
      <c r="A564" s="1">
        <v>563</v>
      </c>
      <c r="B564" s="2">
        <v>40568</v>
      </c>
      <c r="C564" s="1">
        <v>1</v>
      </c>
      <c r="D564" s="1">
        <v>0</v>
      </c>
      <c r="E564" s="1">
        <v>1</v>
      </c>
      <c r="F564" s="1">
        <v>15</v>
      </c>
      <c r="G564" s="1" t="b">
        <v>0</v>
      </c>
      <c r="H564" s="1">
        <v>2</v>
      </c>
      <c r="I564" s="1">
        <v>2</v>
      </c>
      <c r="J564" s="1">
        <v>0.32</v>
      </c>
      <c r="K564" s="19">
        <v>0.34849999999999998</v>
      </c>
      <c r="L564" s="21">
        <v>0.42</v>
      </c>
      <c r="M564" s="21">
        <v>0</v>
      </c>
      <c r="N564" s="21">
        <v>21</v>
      </c>
      <c r="O564" s="21">
        <v>63</v>
      </c>
      <c r="P564" s="22">
        <v>84</v>
      </c>
    </row>
    <row r="565" spans="1:16">
      <c r="A565" s="1">
        <v>564</v>
      </c>
      <c r="B565" s="2">
        <v>40568</v>
      </c>
      <c r="C565" s="1">
        <v>1</v>
      </c>
      <c r="D565" s="1">
        <v>0</v>
      </c>
      <c r="E565" s="1">
        <v>1</v>
      </c>
      <c r="F565" s="1">
        <v>16</v>
      </c>
      <c r="G565" s="1" t="b">
        <v>0</v>
      </c>
      <c r="H565" s="1">
        <v>2</v>
      </c>
      <c r="I565" s="1">
        <v>2</v>
      </c>
      <c r="J565" s="1">
        <v>0.32</v>
      </c>
      <c r="K565" s="20">
        <v>0.34849999999999998</v>
      </c>
      <c r="L565" s="23">
        <v>0.42</v>
      </c>
      <c r="M565" s="23">
        <v>0</v>
      </c>
      <c r="N565" s="23">
        <v>14</v>
      </c>
      <c r="O565" s="23">
        <v>102</v>
      </c>
      <c r="P565" s="24">
        <v>116</v>
      </c>
    </row>
    <row r="566" spans="1:16">
      <c r="A566" s="1">
        <v>565</v>
      </c>
      <c r="B566" s="2">
        <v>40568</v>
      </c>
      <c r="C566" s="1">
        <v>1</v>
      </c>
      <c r="D566" s="1">
        <v>0</v>
      </c>
      <c r="E566" s="1">
        <v>1</v>
      </c>
      <c r="F566" s="1">
        <v>17</v>
      </c>
      <c r="G566" s="1" t="b">
        <v>0</v>
      </c>
      <c r="H566" s="1">
        <v>2</v>
      </c>
      <c r="I566" s="1">
        <v>1</v>
      </c>
      <c r="J566" s="1">
        <v>0.3</v>
      </c>
      <c r="K566" s="19">
        <v>0.33329999999999999</v>
      </c>
      <c r="L566" s="21">
        <v>0.45</v>
      </c>
      <c r="M566" s="21">
        <v>0</v>
      </c>
      <c r="N566" s="21">
        <v>14</v>
      </c>
      <c r="O566" s="21">
        <v>208</v>
      </c>
      <c r="P566" s="22">
        <v>222</v>
      </c>
    </row>
    <row r="567" spans="1:16">
      <c r="A567" s="1">
        <v>566</v>
      </c>
      <c r="B567" s="2">
        <v>40568</v>
      </c>
      <c r="C567" s="1">
        <v>1</v>
      </c>
      <c r="D567" s="1">
        <v>0</v>
      </c>
      <c r="E567" s="1">
        <v>1</v>
      </c>
      <c r="F567" s="1">
        <v>18</v>
      </c>
      <c r="G567" s="1" t="b">
        <v>0</v>
      </c>
      <c r="H567" s="1">
        <v>2</v>
      </c>
      <c r="I567" s="1">
        <v>2</v>
      </c>
      <c r="J567" s="1">
        <v>0.3</v>
      </c>
      <c r="K567" s="20">
        <v>0.31819999999999998</v>
      </c>
      <c r="L567" s="23">
        <v>0.49</v>
      </c>
      <c r="M567" s="23">
        <v>8.9599999999999999E-2</v>
      </c>
      <c r="N567" s="23">
        <v>7</v>
      </c>
      <c r="O567" s="23">
        <v>218</v>
      </c>
      <c r="P567" s="24">
        <v>225</v>
      </c>
    </row>
    <row r="568" spans="1:16">
      <c r="A568" s="1">
        <v>567</v>
      </c>
      <c r="B568" s="2">
        <v>40568</v>
      </c>
      <c r="C568" s="1">
        <v>1</v>
      </c>
      <c r="D568" s="1">
        <v>0</v>
      </c>
      <c r="E568" s="1">
        <v>1</v>
      </c>
      <c r="F568" s="1">
        <v>19</v>
      </c>
      <c r="G568" s="1" t="b">
        <v>0</v>
      </c>
      <c r="H568" s="1">
        <v>2</v>
      </c>
      <c r="I568" s="1">
        <v>2</v>
      </c>
      <c r="J568" s="1">
        <v>0.26</v>
      </c>
      <c r="K568" s="19">
        <v>0.2576</v>
      </c>
      <c r="L568" s="21">
        <v>0.65</v>
      </c>
      <c r="M568" s="21">
        <v>0.16420000000000001</v>
      </c>
      <c r="N568" s="21">
        <v>13</v>
      </c>
      <c r="O568" s="21">
        <v>133</v>
      </c>
      <c r="P568" s="22">
        <v>146</v>
      </c>
    </row>
    <row r="569" spans="1:16">
      <c r="A569" s="1">
        <v>568</v>
      </c>
      <c r="B569" s="2">
        <v>40568</v>
      </c>
      <c r="C569" s="1">
        <v>1</v>
      </c>
      <c r="D569" s="1">
        <v>0</v>
      </c>
      <c r="E569" s="1">
        <v>1</v>
      </c>
      <c r="F569" s="1">
        <v>20</v>
      </c>
      <c r="G569" s="1" t="b">
        <v>0</v>
      </c>
      <c r="H569" s="1">
        <v>2</v>
      </c>
      <c r="I569" s="1">
        <v>1</v>
      </c>
      <c r="J569" s="1">
        <v>0.24</v>
      </c>
      <c r="K569" s="20">
        <v>0.2273</v>
      </c>
      <c r="L569" s="23">
        <v>0.65</v>
      </c>
      <c r="M569" s="23">
        <v>0.19400000000000001</v>
      </c>
      <c r="N569" s="23">
        <v>16</v>
      </c>
      <c r="O569" s="23">
        <v>103</v>
      </c>
      <c r="P569" s="24">
        <v>119</v>
      </c>
    </row>
    <row r="570" spans="1:16">
      <c r="A570" s="1">
        <v>569</v>
      </c>
      <c r="B570" s="2">
        <v>40568</v>
      </c>
      <c r="C570" s="1">
        <v>1</v>
      </c>
      <c r="D570" s="1">
        <v>0</v>
      </c>
      <c r="E570" s="1">
        <v>1</v>
      </c>
      <c r="F570" s="1">
        <v>21</v>
      </c>
      <c r="G570" s="1" t="b">
        <v>0</v>
      </c>
      <c r="H570" s="1">
        <v>2</v>
      </c>
      <c r="I570" s="1">
        <v>1</v>
      </c>
      <c r="J570" s="1">
        <v>0.24</v>
      </c>
      <c r="K570" s="19">
        <v>0.2273</v>
      </c>
      <c r="L570" s="21">
        <v>0.65</v>
      </c>
      <c r="M570" s="21">
        <v>0.19400000000000001</v>
      </c>
      <c r="N570" s="21">
        <v>5</v>
      </c>
      <c r="O570" s="21">
        <v>40</v>
      </c>
      <c r="P570" s="22">
        <v>45</v>
      </c>
    </row>
    <row r="571" spans="1:16">
      <c r="A571" s="1">
        <v>570</v>
      </c>
      <c r="B571" s="2">
        <v>40568</v>
      </c>
      <c r="C571" s="1">
        <v>1</v>
      </c>
      <c r="D571" s="1">
        <v>0</v>
      </c>
      <c r="E571" s="1">
        <v>1</v>
      </c>
      <c r="F571" s="1">
        <v>22</v>
      </c>
      <c r="G571" s="1" t="b">
        <v>0</v>
      </c>
      <c r="H571" s="1">
        <v>2</v>
      </c>
      <c r="I571" s="1">
        <v>1</v>
      </c>
      <c r="J571" s="1">
        <v>0.22</v>
      </c>
      <c r="K571" s="20">
        <v>0.2273</v>
      </c>
      <c r="L571" s="23">
        <v>0.64</v>
      </c>
      <c r="M571" s="23">
        <v>0.16420000000000001</v>
      </c>
      <c r="N571" s="23">
        <v>4</v>
      </c>
      <c r="O571" s="23">
        <v>49</v>
      </c>
      <c r="P571" s="24">
        <v>53</v>
      </c>
    </row>
    <row r="572" spans="1:16">
      <c r="A572" s="1">
        <v>571</v>
      </c>
      <c r="B572" s="2">
        <v>40568</v>
      </c>
      <c r="C572" s="1">
        <v>1</v>
      </c>
      <c r="D572" s="1">
        <v>0</v>
      </c>
      <c r="E572" s="1">
        <v>1</v>
      </c>
      <c r="F572" s="1">
        <v>23</v>
      </c>
      <c r="G572" s="1" t="b">
        <v>0</v>
      </c>
      <c r="H572" s="1">
        <v>2</v>
      </c>
      <c r="I572" s="1">
        <v>2</v>
      </c>
      <c r="J572" s="1">
        <v>0.22</v>
      </c>
      <c r="K572" s="19">
        <v>0.2273</v>
      </c>
      <c r="L572" s="21">
        <v>0.64</v>
      </c>
      <c r="M572" s="21">
        <v>0.16420000000000001</v>
      </c>
      <c r="N572" s="21">
        <v>3</v>
      </c>
      <c r="O572" s="21">
        <v>37</v>
      </c>
      <c r="P572" s="22">
        <v>40</v>
      </c>
    </row>
    <row r="573" spans="1:16">
      <c r="A573" s="1">
        <v>572</v>
      </c>
      <c r="B573" s="2">
        <v>40569</v>
      </c>
      <c r="C573" s="1">
        <v>1</v>
      </c>
      <c r="D573" s="1">
        <v>0</v>
      </c>
      <c r="E573" s="1">
        <v>1</v>
      </c>
      <c r="F573" s="1">
        <v>0</v>
      </c>
      <c r="G573" s="1" t="b">
        <v>0</v>
      </c>
      <c r="H573" s="1">
        <v>3</v>
      </c>
      <c r="I573" s="1">
        <v>2</v>
      </c>
      <c r="J573" s="1">
        <v>0.22</v>
      </c>
      <c r="K573" s="20">
        <v>0.2273</v>
      </c>
      <c r="L573" s="23">
        <v>0.69</v>
      </c>
      <c r="M573" s="23">
        <v>0.1343</v>
      </c>
      <c r="N573" s="23">
        <v>3</v>
      </c>
      <c r="O573" s="23">
        <v>14</v>
      </c>
      <c r="P573" s="24">
        <v>17</v>
      </c>
    </row>
    <row r="574" spans="1:16">
      <c r="A574" s="1">
        <v>573</v>
      </c>
      <c r="B574" s="2">
        <v>40569</v>
      </c>
      <c r="C574" s="1">
        <v>1</v>
      </c>
      <c r="D574" s="1">
        <v>0</v>
      </c>
      <c r="E574" s="1">
        <v>1</v>
      </c>
      <c r="F574" s="1">
        <v>1</v>
      </c>
      <c r="G574" s="1" t="b">
        <v>0</v>
      </c>
      <c r="H574" s="1">
        <v>3</v>
      </c>
      <c r="I574" s="1">
        <v>2</v>
      </c>
      <c r="J574" s="1">
        <v>0.24</v>
      </c>
      <c r="K574" s="19">
        <v>0.2424</v>
      </c>
      <c r="L574" s="21">
        <v>0.65</v>
      </c>
      <c r="M574" s="21">
        <v>0.1343</v>
      </c>
      <c r="N574" s="21">
        <v>0</v>
      </c>
      <c r="O574" s="21">
        <v>5</v>
      </c>
      <c r="P574" s="22">
        <v>5</v>
      </c>
    </row>
    <row r="575" spans="1:16">
      <c r="A575" s="1">
        <v>574</v>
      </c>
      <c r="B575" s="2">
        <v>40569</v>
      </c>
      <c r="C575" s="1">
        <v>1</v>
      </c>
      <c r="D575" s="1">
        <v>0</v>
      </c>
      <c r="E575" s="1">
        <v>1</v>
      </c>
      <c r="F575" s="1">
        <v>2</v>
      </c>
      <c r="G575" s="1" t="b">
        <v>0</v>
      </c>
      <c r="H575" s="1">
        <v>3</v>
      </c>
      <c r="I575" s="1">
        <v>3</v>
      </c>
      <c r="J575" s="1">
        <v>0.22</v>
      </c>
      <c r="K575" s="20">
        <v>0.2273</v>
      </c>
      <c r="L575" s="23">
        <v>0.69</v>
      </c>
      <c r="M575" s="23">
        <v>0.19400000000000001</v>
      </c>
      <c r="N575" s="23">
        <v>3</v>
      </c>
      <c r="O575" s="23">
        <v>7</v>
      </c>
      <c r="P575" s="24">
        <v>10</v>
      </c>
    </row>
    <row r="576" spans="1:16">
      <c r="A576" s="1">
        <v>575</v>
      </c>
      <c r="B576" s="2">
        <v>40569</v>
      </c>
      <c r="C576" s="1">
        <v>1</v>
      </c>
      <c r="D576" s="1">
        <v>0</v>
      </c>
      <c r="E576" s="1">
        <v>1</v>
      </c>
      <c r="F576" s="1">
        <v>5</v>
      </c>
      <c r="G576" s="1" t="b">
        <v>0</v>
      </c>
      <c r="H576" s="1">
        <v>3</v>
      </c>
      <c r="I576" s="1">
        <v>3</v>
      </c>
      <c r="J576" s="1">
        <v>0.2</v>
      </c>
      <c r="K576" s="19">
        <v>0.18179999999999999</v>
      </c>
      <c r="L576" s="21">
        <v>0.86</v>
      </c>
      <c r="M576" s="21">
        <v>0.28360000000000002</v>
      </c>
      <c r="N576" s="21">
        <v>0</v>
      </c>
      <c r="O576" s="21">
        <v>1</v>
      </c>
      <c r="P576" s="22">
        <v>1</v>
      </c>
    </row>
    <row r="577" spans="1:16">
      <c r="A577" s="1">
        <v>576</v>
      </c>
      <c r="B577" s="2">
        <v>40569</v>
      </c>
      <c r="C577" s="1">
        <v>1</v>
      </c>
      <c r="D577" s="1">
        <v>0</v>
      </c>
      <c r="E577" s="1">
        <v>1</v>
      </c>
      <c r="F577" s="1">
        <v>6</v>
      </c>
      <c r="G577" s="1" t="b">
        <v>0</v>
      </c>
      <c r="H577" s="1">
        <v>3</v>
      </c>
      <c r="I577" s="1">
        <v>3</v>
      </c>
      <c r="J577" s="1">
        <v>0.2</v>
      </c>
      <c r="K577" s="20">
        <v>0.18179999999999999</v>
      </c>
      <c r="L577" s="23">
        <v>0.86</v>
      </c>
      <c r="M577" s="23">
        <v>0.28360000000000002</v>
      </c>
      <c r="N577" s="23">
        <v>0</v>
      </c>
      <c r="O577" s="23">
        <v>8</v>
      </c>
      <c r="P577" s="24">
        <v>8</v>
      </c>
    </row>
    <row r="578" spans="1:16">
      <c r="A578" s="1">
        <v>577</v>
      </c>
      <c r="B578" s="2">
        <v>40569</v>
      </c>
      <c r="C578" s="1">
        <v>1</v>
      </c>
      <c r="D578" s="1">
        <v>0</v>
      </c>
      <c r="E578" s="1">
        <v>1</v>
      </c>
      <c r="F578" s="1">
        <v>7</v>
      </c>
      <c r="G578" s="1" t="b">
        <v>0</v>
      </c>
      <c r="H578" s="1">
        <v>3</v>
      </c>
      <c r="I578" s="1">
        <v>3</v>
      </c>
      <c r="J578" s="1">
        <v>0.22</v>
      </c>
      <c r="K578" s="19">
        <v>0.21210000000000001</v>
      </c>
      <c r="L578" s="21">
        <v>0.87</v>
      </c>
      <c r="M578" s="21">
        <v>0.29849999999999999</v>
      </c>
      <c r="N578" s="21">
        <v>1</v>
      </c>
      <c r="O578" s="21">
        <v>29</v>
      </c>
      <c r="P578" s="22">
        <v>30</v>
      </c>
    </row>
    <row r="579" spans="1:16">
      <c r="A579" s="1">
        <v>578</v>
      </c>
      <c r="B579" s="2">
        <v>40569</v>
      </c>
      <c r="C579" s="1">
        <v>1</v>
      </c>
      <c r="D579" s="1">
        <v>0</v>
      </c>
      <c r="E579" s="1">
        <v>1</v>
      </c>
      <c r="F579" s="1">
        <v>8</v>
      </c>
      <c r="G579" s="1" t="b">
        <v>0</v>
      </c>
      <c r="H579" s="1">
        <v>3</v>
      </c>
      <c r="I579" s="1">
        <v>3</v>
      </c>
      <c r="J579" s="1">
        <v>0.22</v>
      </c>
      <c r="K579" s="20">
        <v>0.21210000000000001</v>
      </c>
      <c r="L579" s="23">
        <v>0.87</v>
      </c>
      <c r="M579" s="23">
        <v>0.29849999999999999</v>
      </c>
      <c r="N579" s="23">
        <v>3</v>
      </c>
      <c r="O579" s="23">
        <v>69</v>
      </c>
      <c r="P579" s="24">
        <v>72</v>
      </c>
    </row>
    <row r="580" spans="1:16">
      <c r="A580" s="1">
        <v>579</v>
      </c>
      <c r="B580" s="2">
        <v>40569</v>
      </c>
      <c r="C580" s="1">
        <v>1</v>
      </c>
      <c r="D580" s="1">
        <v>0</v>
      </c>
      <c r="E580" s="1">
        <v>1</v>
      </c>
      <c r="F580" s="1">
        <v>9</v>
      </c>
      <c r="G580" s="1" t="b">
        <v>0</v>
      </c>
      <c r="H580" s="1">
        <v>3</v>
      </c>
      <c r="I580" s="1">
        <v>3</v>
      </c>
      <c r="J580" s="1">
        <v>0.22</v>
      </c>
      <c r="K580" s="19">
        <v>0.21210000000000001</v>
      </c>
      <c r="L580" s="21">
        <v>0.87</v>
      </c>
      <c r="M580" s="21">
        <v>0.29849999999999999</v>
      </c>
      <c r="N580" s="21">
        <v>3</v>
      </c>
      <c r="O580" s="21">
        <v>55</v>
      </c>
      <c r="P580" s="22">
        <v>58</v>
      </c>
    </row>
    <row r="581" spans="1:16">
      <c r="A581" s="1">
        <v>580</v>
      </c>
      <c r="B581" s="2">
        <v>40569</v>
      </c>
      <c r="C581" s="1">
        <v>1</v>
      </c>
      <c r="D581" s="1">
        <v>0</v>
      </c>
      <c r="E581" s="1">
        <v>1</v>
      </c>
      <c r="F581" s="1">
        <v>10</v>
      </c>
      <c r="G581" s="1" t="b">
        <v>0</v>
      </c>
      <c r="H581" s="1">
        <v>3</v>
      </c>
      <c r="I581" s="1">
        <v>3</v>
      </c>
      <c r="J581" s="1">
        <v>0.22</v>
      </c>
      <c r="K581" s="20">
        <v>0.21210000000000001</v>
      </c>
      <c r="L581" s="23">
        <v>0.93</v>
      </c>
      <c r="M581" s="23">
        <v>0.28360000000000002</v>
      </c>
      <c r="N581" s="23">
        <v>2</v>
      </c>
      <c r="O581" s="23">
        <v>26</v>
      </c>
      <c r="P581" s="24">
        <v>28</v>
      </c>
    </row>
    <row r="582" spans="1:16">
      <c r="A582" s="1">
        <v>581</v>
      </c>
      <c r="B582" s="2">
        <v>40569</v>
      </c>
      <c r="C582" s="1">
        <v>1</v>
      </c>
      <c r="D582" s="1">
        <v>0</v>
      </c>
      <c r="E582" s="1">
        <v>1</v>
      </c>
      <c r="F582" s="1">
        <v>11</v>
      </c>
      <c r="G582" s="1" t="b">
        <v>0</v>
      </c>
      <c r="H582" s="1">
        <v>3</v>
      </c>
      <c r="I582" s="1">
        <v>3</v>
      </c>
      <c r="J582" s="1">
        <v>0.22</v>
      </c>
      <c r="K582" s="19">
        <v>0.19700000000000001</v>
      </c>
      <c r="L582" s="21">
        <v>0.93</v>
      </c>
      <c r="M582" s="21">
        <v>0.32840000000000003</v>
      </c>
      <c r="N582" s="21">
        <v>6</v>
      </c>
      <c r="O582" s="21">
        <v>35</v>
      </c>
      <c r="P582" s="22">
        <v>41</v>
      </c>
    </row>
    <row r="583" spans="1:16">
      <c r="A583" s="1">
        <v>582</v>
      </c>
      <c r="B583" s="2">
        <v>40569</v>
      </c>
      <c r="C583" s="1">
        <v>1</v>
      </c>
      <c r="D583" s="1">
        <v>0</v>
      </c>
      <c r="E583" s="1">
        <v>1</v>
      </c>
      <c r="F583" s="1">
        <v>12</v>
      </c>
      <c r="G583" s="1" t="b">
        <v>0</v>
      </c>
      <c r="H583" s="1">
        <v>3</v>
      </c>
      <c r="I583" s="1">
        <v>3</v>
      </c>
      <c r="J583" s="1">
        <v>0.22</v>
      </c>
      <c r="K583" s="20">
        <v>0.19700000000000001</v>
      </c>
      <c r="L583" s="23">
        <v>0.93</v>
      </c>
      <c r="M583" s="23">
        <v>0.32840000000000003</v>
      </c>
      <c r="N583" s="23">
        <v>7</v>
      </c>
      <c r="O583" s="23">
        <v>41</v>
      </c>
      <c r="P583" s="24">
        <v>48</v>
      </c>
    </row>
    <row r="584" spans="1:16">
      <c r="A584" s="1">
        <v>583</v>
      </c>
      <c r="B584" s="2">
        <v>40569</v>
      </c>
      <c r="C584" s="1">
        <v>1</v>
      </c>
      <c r="D584" s="1">
        <v>0</v>
      </c>
      <c r="E584" s="1">
        <v>1</v>
      </c>
      <c r="F584" s="1">
        <v>13</v>
      </c>
      <c r="G584" s="1" t="b">
        <v>0</v>
      </c>
      <c r="H584" s="1">
        <v>3</v>
      </c>
      <c r="I584" s="1">
        <v>3</v>
      </c>
      <c r="J584" s="1">
        <v>0.22</v>
      </c>
      <c r="K584" s="19">
        <v>0.19700000000000001</v>
      </c>
      <c r="L584" s="21">
        <v>0.93</v>
      </c>
      <c r="M584" s="21">
        <v>0.32840000000000003</v>
      </c>
      <c r="N584" s="21">
        <v>4</v>
      </c>
      <c r="O584" s="21">
        <v>43</v>
      </c>
      <c r="P584" s="22">
        <v>47</v>
      </c>
    </row>
    <row r="585" spans="1:16">
      <c r="A585" s="1">
        <v>584</v>
      </c>
      <c r="B585" s="2">
        <v>40569</v>
      </c>
      <c r="C585" s="1">
        <v>1</v>
      </c>
      <c r="D585" s="1">
        <v>0</v>
      </c>
      <c r="E585" s="1">
        <v>1</v>
      </c>
      <c r="F585" s="1">
        <v>14</v>
      </c>
      <c r="G585" s="1" t="b">
        <v>0</v>
      </c>
      <c r="H585" s="1">
        <v>3</v>
      </c>
      <c r="I585" s="1">
        <v>3</v>
      </c>
      <c r="J585" s="1">
        <v>0.22</v>
      </c>
      <c r="K585" s="20">
        <v>0.19700000000000001</v>
      </c>
      <c r="L585" s="23">
        <v>0.93</v>
      </c>
      <c r="M585" s="23">
        <v>0.35820000000000002</v>
      </c>
      <c r="N585" s="23">
        <v>0</v>
      </c>
      <c r="O585" s="23">
        <v>36</v>
      </c>
      <c r="P585" s="24">
        <v>36</v>
      </c>
    </row>
    <row r="586" spans="1:16">
      <c r="A586" s="1">
        <v>585</v>
      </c>
      <c r="B586" s="2">
        <v>40569</v>
      </c>
      <c r="C586" s="1">
        <v>1</v>
      </c>
      <c r="D586" s="1">
        <v>0</v>
      </c>
      <c r="E586" s="1">
        <v>1</v>
      </c>
      <c r="F586" s="1">
        <v>15</v>
      </c>
      <c r="G586" s="1" t="b">
        <v>0</v>
      </c>
      <c r="H586" s="1">
        <v>3</v>
      </c>
      <c r="I586" s="1">
        <v>3</v>
      </c>
      <c r="J586" s="1">
        <v>0.22</v>
      </c>
      <c r="K586" s="19">
        <v>0.18179999999999999</v>
      </c>
      <c r="L586" s="21">
        <v>0.93</v>
      </c>
      <c r="M586" s="21">
        <v>0.4627</v>
      </c>
      <c r="N586" s="21">
        <v>1</v>
      </c>
      <c r="O586" s="21">
        <v>42</v>
      </c>
      <c r="P586" s="22">
        <v>43</v>
      </c>
    </row>
    <row r="587" spans="1:16">
      <c r="A587" s="1">
        <v>586</v>
      </c>
      <c r="B587" s="2">
        <v>40569</v>
      </c>
      <c r="C587" s="1">
        <v>1</v>
      </c>
      <c r="D587" s="1">
        <v>0</v>
      </c>
      <c r="E587" s="1">
        <v>1</v>
      </c>
      <c r="F587" s="1">
        <v>16</v>
      </c>
      <c r="G587" s="1" t="b">
        <v>0</v>
      </c>
      <c r="H587" s="1">
        <v>3</v>
      </c>
      <c r="I587" s="1">
        <v>4</v>
      </c>
      <c r="J587" s="1">
        <v>0.22</v>
      </c>
      <c r="K587" s="20">
        <v>0.19700000000000001</v>
      </c>
      <c r="L587" s="23">
        <v>0.93</v>
      </c>
      <c r="M587" s="23">
        <v>0.32840000000000003</v>
      </c>
      <c r="N587" s="23">
        <v>1</v>
      </c>
      <c r="O587" s="23">
        <v>35</v>
      </c>
      <c r="P587" s="24">
        <v>36</v>
      </c>
    </row>
    <row r="588" spans="1:16">
      <c r="A588" s="1">
        <v>587</v>
      </c>
      <c r="B588" s="2">
        <v>40569</v>
      </c>
      <c r="C588" s="1">
        <v>1</v>
      </c>
      <c r="D588" s="1">
        <v>0</v>
      </c>
      <c r="E588" s="1">
        <v>1</v>
      </c>
      <c r="F588" s="1">
        <v>17</v>
      </c>
      <c r="G588" s="1" t="b">
        <v>0</v>
      </c>
      <c r="H588" s="1">
        <v>3</v>
      </c>
      <c r="I588" s="1">
        <v>3</v>
      </c>
      <c r="J588" s="1">
        <v>0.2</v>
      </c>
      <c r="K588" s="19">
        <v>0.18179999999999999</v>
      </c>
      <c r="L588" s="21">
        <v>0.93</v>
      </c>
      <c r="M588" s="21">
        <v>0.35820000000000002</v>
      </c>
      <c r="N588" s="21">
        <v>0</v>
      </c>
      <c r="O588" s="21">
        <v>26</v>
      </c>
      <c r="P588" s="22">
        <v>26</v>
      </c>
    </row>
    <row r="589" spans="1:16">
      <c r="A589" s="1">
        <v>588</v>
      </c>
      <c r="B589" s="2">
        <v>40570</v>
      </c>
      <c r="C589" s="1">
        <v>1</v>
      </c>
      <c r="D589" s="1">
        <v>0</v>
      </c>
      <c r="E589" s="1">
        <v>1</v>
      </c>
      <c r="F589" s="1">
        <v>16</v>
      </c>
      <c r="G589" s="1" t="b">
        <v>0</v>
      </c>
      <c r="H589" s="1">
        <v>4</v>
      </c>
      <c r="I589" s="1">
        <v>1</v>
      </c>
      <c r="J589" s="1">
        <v>0.22</v>
      </c>
      <c r="K589" s="20">
        <v>0.2273</v>
      </c>
      <c r="L589" s="23">
        <v>0.55000000000000004</v>
      </c>
      <c r="M589" s="23">
        <v>0.19400000000000001</v>
      </c>
      <c r="N589" s="23">
        <v>1</v>
      </c>
      <c r="O589" s="23">
        <v>23</v>
      </c>
      <c r="P589" s="24">
        <v>24</v>
      </c>
    </row>
    <row r="590" spans="1:16">
      <c r="A590" s="1">
        <v>589</v>
      </c>
      <c r="B590" s="2">
        <v>40570</v>
      </c>
      <c r="C590" s="1">
        <v>1</v>
      </c>
      <c r="D590" s="1">
        <v>0</v>
      </c>
      <c r="E590" s="1">
        <v>1</v>
      </c>
      <c r="F590" s="1">
        <v>17</v>
      </c>
      <c r="G590" s="1" t="b">
        <v>0</v>
      </c>
      <c r="H590" s="1">
        <v>4</v>
      </c>
      <c r="I590" s="1">
        <v>1</v>
      </c>
      <c r="J590" s="1">
        <v>0.22</v>
      </c>
      <c r="K590" s="19">
        <v>0.2424</v>
      </c>
      <c r="L590" s="21">
        <v>0.55000000000000004</v>
      </c>
      <c r="M590" s="21">
        <v>0.1045</v>
      </c>
      <c r="N590" s="21">
        <v>2</v>
      </c>
      <c r="O590" s="21">
        <v>82</v>
      </c>
      <c r="P590" s="22">
        <v>84</v>
      </c>
    </row>
    <row r="591" spans="1:16">
      <c r="A591" s="1">
        <v>590</v>
      </c>
      <c r="B591" s="2">
        <v>40570</v>
      </c>
      <c r="C591" s="1">
        <v>1</v>
      </c>
      <c r="D591" s="1">
        <v>0</v>
      </c>
      <c r="E591" s="1">
        <v>1</v>
      </c>
      <c r="F591" s="1">
        <v>18</v>
      </c>
      <c r="G591" s="1" t="b">
        <v>0</v>
      </c>
      <c r="H591" s="1">
        <v>4</v>
      </c>
      <c r="I591" s="1">
        <v>1</v>
      </c>
      <c r="J591" s="1">
        <v>0.2</v>
      </c>
      <c r="K591" s="20">
        <v>0.2273</v>
      </c>
      <c r="L591" s="23">
        <v>0.69</v>
      </c>
      <c r="M591" s="23">
        <v>8.9599999999999999E-2</v>
      </c>
      <c r="N591" s="23">
        <v>3</v>
      </c>
      <c r="O591" s="23">
        <v>101</v>
      </c>
      <c r="P591" s="24">
        <v>104</v>
      </c>
    </row>
    <row r="592" spans="1:16">
      <c r="A592" s="1">
        <v>591</v>
      </c>
      <c r="B592" s="2">
        <v>40570</v>
      </c>
      <c r="C592" s="1">
        <v>1</v>
      </c>
      <c r="D592" s="1">
        <v>0</v>
      </c>
      <c r="E592" s="1">
        <v>1</v>
      </c>
      <c r="F592" s="1">
        <v>19</v>
      </c>
      <c r="G592" s="1" t="b">
        <v>0</v>
      </c>
      <c r="H592" s="1">
        <v>4</v>
      </c>
      <c r="I592" s="1">
        <v>1</v>
      </c>
      <c r="J592" s="1">
        <v>0.2</v>
      </c>
      <c r="K592" s="19">
        <v>0.2273</v>
      </c>
      <c r="L592" s="21">
        <v>0.69</v>
      </c>
      <c r="M592" s="21">
        <v>8.9599999999999999E-2</v>
      </c>
      <c r="N592" s="21">
        <v>3</v>
      </c>
      <c r="O592" s="21">
        <v>76</v>
      </c>
      <c r="P592" s="22">
        <v>79</v>
      </c>
    </row>
    <row r="593" spans="1:16">
      <c r="A593" s="1">
        <v>592</v>
      </c>
      <c r="B593" s="2">
        <v>40570</v>
      </c>
      <c r="C593" s="1">
        <v>1</v>
      </c>
      <c r="D593" s="1">
        <v>0</v>
      </c>
      <c r="E593" s="1">
        <v>1</v>
      </c>
      <c r="F593" s="1">
        <v>20</v>
      </c>
      <c r="G593" s="1" t="b">
        <v>0</v>
      </c>
      <c r="H593" s="1">
        <v>4</v>
      </c>
      <c r="I593" s="1">
        <v>1</v>
      </c>
      <c r="J593" s="1">
        <v>0.18</v>
      </c>
      <c r="K593" s="20">
        <v>0.21210000000000001</v>
      </c>
      <c r="L593" s="23">
        <v>0.74</v>
      </c>
      <c r="M593" s="23">
        <v>8.9599999999999999E-2</v>
      </c>
      <c r="N593" s="23">
        <v>4</v>
      </c>
      <c r="O593" s="23">
        <v>55</v>
      </c>
      <c r="P593" s="24">
        <v>59</v>
      </c>
    </row>
    <row r="594" spans="1:16">
      <c r="A594" s="1">
        <v>593</v>
      </c>
      <c r="B594" s="2">
        <v>40570</v>
      </c>
      <c r="C594" s="1">
        <v>1</v>
      </c>
      <c r="D594" s="1">
        <v>0</v>
      </c>
      <c r="E594" s="1">
        <v>1</v>
      </c>
      <c r="F594" s="1">
        <v>21</v>
      </c>
      <c r="G594" s="1" t="b">
        <v>0</v>
      </c>
      <c r="H594" s="1">
        <v>4</v>
      </c>
      <c r="I594" s="1">
        <v>1</v>
      </c>
      <c r="J594" s="1">
        <v>0.18</v>
      </c>
      <c r="K594" s="19">
        <v>0.21210000000000001</v>
      </c>
      <c r="L594" s="21">
        <v>0.74</v>
      </c>
      <c r="M594" s="21">
        <v>8.9599999999999999E-2</v>
      </c>
      <c r="N594" s="21">
        <v>2</v>
      </c>
      <c r="O594" s="21">
        <v>36</v>
      </c>
      <c r="P594" s="22">
        <v>38</v>
      </c>
    </row>
    <row r="595" spans="1:16">
      <c r="A595" s="1">
        <v>594</v>
      </c>
      <c r="B595" s="2">
        <v>40570</v>
      </c>
      <c r="C595" s="1">
        <v>1</v>
      </c>
      <c r="D595" s="1">
        <v>0</v>
      </c>
      <c r="E595" s="1">
        <v>1</v>
      </c>
      <c r="F595" s="1">
        <v>22</v>
      </c>
      <c r="G595" s="1" t="b">
        <v>0</v>
      </c>
      <c r="H595" s="1">
        <v>4</v>
      </c>
      <c r="I595" s="1">
        <v>1</v>
      </c>
      <c r="J595" s="1">
        <v>0.18</v>
      </c>
      <c r="K595" s="20">
        <v>0.21210000000000001</v>
      </c>
      <c r="L595" s="23">
        <v>0.74</v>
      </c>
      <c r="M595" s="23">
        <v>8.9599999999999999E-2</v>
      </c>
      <c r="N595" s="23">
        <v>0</v>
      </c>
      <c r="O595" s="23">
        <v>27</v>
      </c>
      <c r="P595" s="24">
        <v>27</v>
      </c>
    </row>
    <row r="596" spans="1:16">
      <c r="A596" s="1">
        <v>595</v>
      </c>
      <c r="B596" s="2">
        <v>40570</v>
      </c>
      <c r="C596" s="1">
        <v>1</v>
      </c>
      <c r="D596" s="1">
        <v>0</v>
      </c>
      <c r="E596" s="1">
        <v>1</v>
      </c>
      <c r="F596" s="1">
        <v>23</v>
      </c>
      <c r="G596" s="1" t="b">
        <v>0</v>
      </c>
      <c r="H596" s="1">
        <v>4</v>
      </c>
      <c r="I596" s="1">
        <v>1</v>
      </c>
      <c r="J596" s="1">
        <v>0.18</v>
      </c>
      <c r="K596" s="19">
        <v>0.19700000000000001</v>
      </c>
      <c r="L596" s="21">
        <v>0.8</v>
      </c>
      <c r="M596" s="21">
        <v>0.16420000000000001</v>
      </c>
      <c r="N596" s="21">
        <v>0</v>
      </c>
      <c r="O596" s="21">
        <v>16</v>
      </c>
      <c r="P596" s="22">
        <v>16</v>
      </c>
    </row>
    <row r="597" spans="1:16">
      <c r="A597" s="1">
        <v>596</v>
      </c>
      <c r="B597" s="2">
        <v>40571</v>
      </c>
      <c r="C597" s="1">
        <v>1</v>
      </c>
      <c r="D597" s="1">
        <v>0</v>
      </c>
      <c r="E597" s="1">
        <v>1</v>
      </c>
      <c r="F597" s="1">
        <v>0</v>
      </c>
      <c r="G597" s="1" t="b">
        <v>0</v>
      </c>
      <c r="H597" s="1">
        <v>5</v>
      </c>
      <c r="I597" s="1">
        <v>2</v>
      </c>
      <c r="J597" s="1">
        <v>0.2</v>
      </c>
      <c r="K597" s="20">
        <v>0.21210000000000001</v>
      </c>
      <c r="L597" s="23">
        <v>0.75</v>
      </c>
      <c r="M597" s="23">
        <v>0.1343</v>
      </c>
      <c r="N597" s="23">
        <v>0</v>
      </c>
      <c r="O597" s="23">
        <v>9</v>
      </c>
      <c r="P597" s="24">
        <v>9</v>
      </c>
    </row>
    <row r="598" spans="1:16">
      <c r="A598" s="1">
        <v>597</v>
      </c>
      <c r="B598" s="2">
        <v>40571</v>
      </c>
      <c r="C598" s="1">
        <v>1</v>
      </c>
      <c r="D598" s="1">
        <v>0</v>
      </c>
      <c r="E598" s="1">
        <v>1</v>
      </c>
      <c r="F598" s="1">
        <v>1</v>
      </c>
      <c r="G598" s="1" t="b">
        <v>0</v>
      </c>
      <c r="H598" s="1">
        <v>5</v>
      </c>
      <c r="I598" s="1">
        <v>2</v>
      </c>
      <c r="J598" s="1">
        <v>0.2</v>
      </c>
      <c r="K598" s="19">
        <v>0.21210000000000001</v>
      </c>
      <c r="L598" s="21">
        <v>0.75</v>
      </c>
      <c r="M598" s="21">
        <v>0.1343</v>
      </c>
      <c r="N598" s="21">
        <v>1</v>
      </c>
      <c r="O598" s="21">
        <v>2</v>
      </c>
      <c r="P598" s="22">
        <v>3</v>
      </c>
    </row>
    <row r="599" spans="1:16">
      <c r="A599" s="1">
        <v>598</v>
      </c>
      <c r="B599" s="2">
        <v>40571</v>
      </c>
      <c r="C599" s="1">
        <v>1</v>
      </c>
      <c r="D599" s="1">
        <v>0</v>
      </c>
      <c r="E599" s="1">
        <v>1</v>
      </c>
      <c r="F599" s="1">
        <v>2</v>
      </c>
      <c r="G599" s="1" t="b">
        <v>0</v>
      </c>
      <c r="H599" s="1">
        <v>5</v>
      </c>
      <c r="I599" s="1">
        <v>2</v>
      </c>
      <c r="J599" s="1">
        <v>0.2</v>
      </c>
      <c r="K599" s="20">
        <v>0.21210000000000001</v>
      </c>
      <c r="L599" s="23">
        <v>0.75</v>
      </c>
      <c r="M599" s="23">
        <v>0.16420000000000001</v>
      </c>
      <c r="N599" s="23">
        <v>0</v>
      </c>
      <c r="O599" s="23">
        <v>2</v>
      </c>
      <c r="P599" s="24">
        <v>2</v>
      </c>
    </row>
    <row r="600" spans="1:16">
      <c r="A600" s="1">
        <v>599</v>
      </c>
      <c r="B600" s="2">
        <v>40571</v>
      </c>
      <c r="C600" s="1">
        <v>1</v>
      </c>
      <c r="D600" s="1">
        <v>0</v>
      </c>
      <c r="E600" s="1">
        <v>1</v>
      </c>
      <c r="F600" s="1">
        <v>3</v>
      </c>
      <c r="G600" s="1" t="b">
        <v>0</v>
      </c>
      <c r="H600" s="1">
        <v>5</v>
      </c>
      <c r="I600" s="1">
        <v>2</v>
      </c>
      <c r="J600" s="1">
        <v>0.2</v>
      </c>
      <c r="K600" s="19">
        <v>0.2273</v>
      </c>
      <c r="L600" s="21">
        <v>0.75</v>
      </c>
      <c r="M600" s="21">
        <v>0.1045</v>
      </c>
      <c r="N600" s="21">
        <v>1</v>
      </c>
      <c r="O600" s="21">
        <v>0</v>
      </c>
      <c r="P600" s="22">
        <v>1</v>
      </c>
    </row>
    <row r="601" spans="1:16">
      <c r="A601" s="1">
        <v>600</v>
      </c>
      <c r="B601" s="2">
        <v>40571</v>
      </c>
      <c r="C601" s="1">
        <v>1</v>
      </c>
      <c r="D601" s="1">
        <v>0</v>
      </c>
      <c r="E601" s="1">
        <v>1</v>
      </c>
      <c r="F601" s="1">
        <v>5</v>
      </c>
      <c r="G601" s="1" t="b">
        <v>0</v>
      </c>
      <c r="H601" s="1">
        <v>5</v>
      </c>
      <c r="I601" s="1">
        <v>2</v>
      </c>
      <c r="J601" s="1">
        <v>0.18</v>
      </c>
      <c r="K601" s="20">
        <v>0.21210000000000001</v>
      </c>
      <c r="L601" s="23">
        <v>0.8</v>
      </c>
      <c r="M601" s="23">
        <v>0.1045</v>
      </c>
      <c r="N601" s="23">
        <v>0</v>
      </c>
      <c r="O601" s="23">
        <v>4</v>
      </c>
      <c r="P601" s="24">
        <v>4</v>
      </c>
    </row>
    <row r="602" spans="1:16">
      <c r="A602" s="1">
        <v>601</v>
      </c>
      <c r="B602" s="2">
        <v>40571</v>
      </c>
      <c r="C602" s="1">
        <v>1</v>
      </c>
      <c r="D602" s="1">
        <v>0</v>
      </c>
      <c r="E602" s="1">
        <v>1</v>
      </c>
      <c r="F602" s="1">
        <v>6</v>
      </c>
      <c r="G602" s="1" t="b">
        <v>0</v>
      </c>
      <c r="H602" s="1">
        <v>5</v>
      </c>
      <c r="I602" s="1">
        <v>2</v>
      </c>
      <c r="J602" s="1">
        <v>0.18</v>
      </c>
      <c r="K602" s="19">
        <v>0.19700000000000001</v>
      </c>
      <c r="L602" s="21">
        <v>0.8</v>
      </c>
      <c r="M602" s="23">
        <v>0.1343</v>
      </c>
      <c r="N602" s="21">
        <v>0</v>
      </c>
      <c r="O602" s="21">
        <v>16</v>
      </c>
      <c r="P602" s="22">
        <v>16</v>
      </c>
    </row>
    <row r="603" spans="1:16">
      <c r="A603" s="1">
        <v>602</v>
      </c>
      <c r="B603" s="2">
        <v>40571</v>
      </c>
      <c r="C603" s="1">
        <v>1</v>
      </c>
      <c r="D603" s="1">
        <v>0</v>
      </c>
      <c r="E603" s="1">
        <v>1</v>
      </c>
      <c r="F603" s="1">
        <v>7</v>
      </c>
      <c r="G603" s="1" t="b">
        <v>0</v>
      </c>
      <c r="H603" s="1">
        <v>5</v>
      </c>
      <c r="I603" s="1">
        <v>2</v>
      </c>
      <c r="J603" s="1">
        <v>0.16</v>
      </c>
      <c r="K603" s="20">
        <v>0.19700000000000001</v>
      </c>
      <c r="L603" s="23">
        <v>0.86</v>
      </c>
      <c r="M603" s="23">
        <v>8.9599999999999999E-2</v>
      </c>
      <c r="N603" s="23">
        <v>2</v>
      </c>
      <c r="O603" s="23">
        <v>58</v>
      </c>
      <c r="P603" s="24">
        <v>60</v>
      </c>
    </row>
    <row r="604" spans="1:16">
      <c r="A604" s="1">
        <v>603</v>
      </c>
      <c r="B604" s="2">
        <v>40571</v>
      </c>
      <c r="C604" s="1">
        <v>1</v>
      </c>
      <c r="D604" s="1">
        <v>0</v>
      </c>
      <c r="E604" s="1">
        <v>1</v>
      </c>
      <c r="F604" s="1">
        <v>8</v>
      </c>
      <c r="G604" s="1" t="b">
        <v>0</v>
      </c>
      <c r="H604" s="1">
        <v>5</v>
      </c>
      <c r="I604" s="1">
        <v>2</v>
      </c>
      <c r="J604" s="1">
        <v>0.16</v>
      </c>
      <c r="K604" s="19">
        <v>0.19700000000000001</v>
      </c>
      <c r="L604" s="21">
        <v>0.86</v>
      </c>
      <c r="M604" s="23">
        <v>8.9599999999999999E-2</v>
      </c>
      <c r="N604" s="21">
        <v>2</v>
      </c>
      <c r="O604" s="21">
        <v>155</v>
      </c>
      <c r="P604" s="22">
        <v>157</v>
      </c>
    </row>
    <row r="605" spans="1:16">
      <c r="A605" s="1">
        <v>604</v>
      </c>
      <c r="B605" s="2">
        <v>40571</v>
      </c>
      <c r="C605" s="1">
        <v>1</v>
      </c>
      <c r="D605" s="1">
        <v>0</v>
      </c>
      <c r="E605" s="1">
        <v>1</v>
      </c>
      <c r="F605" s="1">
        <v>9</v>
      </c>
      <c r="G605" s="1" t="b">
        <v>0</v>
      </c>
      <c r="H605" s="1">
        <v>5</v>
      </c>
      <c r="I605" s="1">
        <v>3</v>
      </c>
      <c r="J605" s="1">
        <v>0.18</v>
      </c>
      <c r="K605" s="20">
        <v>0.21210000000000001</v>
      </c>
      <c r="L605" s="23">
        <v>0.86</v>
      </c>
      <c r="M605" s="23">
        <v>8.9599999999999999E-2</v>
      </c>
      <c r="N605" s="23">
        <v>6</v>
      </c>
      <c r="O605" s="23">
        <v>95</v>
      </c>
      <c r="P605" s="24">
        <v>101</v>
      </c>
    </row>
    <row r="606" spans="1:16">
      <c r="A606" s="1">
        <v>605</v>
      </c>
      <c r="B606" s="2">
        <v>40571</v>
      </c>
      <c r="C606" s="1">
        <v>1</v>
      </c>
      <c r="D606" s="1">
        <v>0</v>
      </c>
      <c r="E606" s="1">
        <v>1</v>
      </c>
      <c r="F606" s="1">
        <v>10</v>
      </c>
      <c r="G606" s="1" t="b">
        <v>0</v>
      </c>
      <c r="H606" s="1">
        <v>5</v>
      </c>
      <c r="I606" s="1">
        <v>3</v>
      </c>
      <c r="J606" s="1">
        <v>0.18</v>
      </c>
      <c r="K606" s="19">
        <v>0.21210000000000001</v>
      </c>
      <c r="L606" s="21">
        <v>0.86</v>
      </c>
      <c r="M606" s="23">
        <v>0.1045</v>
      </c>
      <c r="N606" s="21">
        <v>0</v>
      </c>
      <c r="O606" s="21">
        <v>49</v>
      </c>
      <c r="P606" s="22">
        <v>49</v>
      </c>
    </row>
    <row r="607" spans="1:16">
      <c r="A607" s="1">
        <v>606</v>
      </c>
      <c r="B607" s="2">
        <v>40571</v>
      </c>
      <c r="C607" s="1">
        <v>1</v>
      </c>
      <c r="D607" s="1">
        <v>0</v>
      </c>
      <c r="E607" s="1">
        <v>1</v>
      </c>
      <c r="F607" s="1">
        <v>11</v>
      </c>
      <c r="G607" s="1" t="b">
        <v>0</v>
      </c>
      <c r="H607" s="1">
        <v>5</v>
      </c>
      <c r="I607" s="1">
        <v>3</v>
      </c>
      <c r="J607" s="1">
        <v>0.18</v>
      </c>
      <c r="K607" s="20">
        <v>0.21210000000000001</v>
      </c>
      <c r="L607" s="23">
        <v>0.93</v>
      </c>
      <c r="M607" s="23">
        <v>0.1045</v>
      </c>
      <c r="N607" s="23">
        <v>0</v>
      </c>
      <c r="O607" s="23">
        <v>30</v>
      </c>
      <c r="P607" s="24">
        <v>30</v>
      </c>
    </row>
    <row r="608" spans="1:16">
      <c r="A608" s="1">
        <v>607</v>
      </c>
      <c r="B608" s="2">
        <v>40571</v>
      </c>
      <c r="C608" s="1">
        <v>1</v>
      </c>
      <c r="D608" s="1">
        <v>0</v>
      </c>
      <c r="E608" s="1">
        <v>1</v>
      </c>
      <c r="F608" s="1">
        <v>12</v>
      </c>
      <c r="G608" s="1" t="b">
        <v>0</v>
      </c>
      <c r="H608" s="1">
        <v>5</v>
      </c>
      <c r="I608" s="1">
        <v>3</v>
      </c>
      <c r="J608" s="1">
        <v>0.18</v>
      </c>
      <c r="K608" s="19">
        <v>0.21210000000000001</v>
      </c>
      <c r="L608" s="21">
        <v>0.93</v>
      </c>
      <c r="M608" s="23">
        <v>0.1045</v>
      </c>
      <c r="N608" s="21">
        <v>1</v>
      </c>
      <c r="O608" s="21">
        <v>28</v>
      </c>
      <c r="P608" s="22">
        <v>29</v>
      </c>
    </row>
    <row r="609" spans="1:22">
      <c r="A609" s="1">
        <v>608</v>
      </c>
      <c r="B609" s="2">
        <v>40571</v>
      </c>
      <c r="C609" s="1">
        <v>1</v>
      </c>
      <c r="D609" s="1">
        <v>0</v>
      </c>
      <c r="E609" s="1">
        <v>1</v>
      </c>
      <c r="F609" s="1">
        <v>13</v>
      </c>
      <c r="G609" s="1" t="b">
        <v>0</v>
      </c>
      <c r="H609" s="1">
        <v>5</v>
      </c>
      <c r="I609" s="1">
        <v>3</v>
      </c>
      <c r="J609" s="1">
        <v>0.18</v>
      </c>
      <c r="K609" s="20">
        <v>0.21210000000000001</v>
      </c>
      <c r="L609" s="23">
        <v>0.93</v>
      </c>
      <c r="M609" s="23">
        <v>0.1045</v>
      </c>
      <c r="N609" s="23">
        <v>0</v>
      </c>
      <c r="O609" s="23">
        <v>31</v>
      </c>
      <c r="P609" s="24">
        <v>31</v>
      </c>
    </row>
    <row r="610" spans="1:22">
      <c r="A610" s="1">
        <v>609</v>
      </c>
      <c r="B610" s="2">
        <v>40571</v>
      </c>
      <c r="C610" s="1">
        <v>1</v>
      </c>
      <c r="D610" s="1">
        <v>0</v>
      </c>
      <c r="E610" s="1">
        <v>1</v>
      </c>
      <c r="F610" s="1">
        <v>14</v>
      </c>
      <c r="G610" s="1" t="b">
        <v>0</v>
      </c>
      <c r="H610" s="1">
        <v>5</v>
      </c>
      <c r="I610" s="1">
        <v>3</v>
      </c>
      <c r="J610" s="1">
        <v>0.22</v>
      </c>
      <c r="K610" s="19">
        <v>0.2727</v>
      </c>
      <c r="L610" s="21">
        <v>0.8</v>
      </c>
      <c r="M610" s="23">
        <v>0</v>
      </c>
      <c r="N610" s="21">
        <v>2</v>
      </c>
      <c r="O610" s="21">
        <v>36</v>
      </c>
      <c r="P610" s="22">
        <v>38</v>
      </c>
    </row>
    <row r="611" spans="1:22">
      <c r="A611" s="1">
        <v>610</v>
      </c>
      <c r="B611" s="2">
        <v>40571</v>
      </c>
      <c r="C611" s="1">
        <v>1</v>
      </c>
      <c r="D611" s="1">
        <v>0</v>
      </c>
      <c r="E611" s="1">
        <v>1</v>
      </c>
      <c r="F611" s="1">
        <v>15</v>
      </c>
      <c r="G611" s="1" t="b">
        <v>0</v>
      </c>
      <c r="H611" s="1">
        <v>5</v>
      </c>
      <c r="I611" s="1">
        <v>2</v>
      </c>
      <c r="J611" s="1">
        <v>0.2</v>
      </c>
      <c r="K611" s="25">
        <v>0.2576</v>
      </c>
      <c r="L611" s="26">
        <v>0.86</v>
      </c>
      <c r="M611" s="23">
        <v>0</v>
      </c>
      <c r="N611" s="26">
        <v>1</v>
      </c>
      <c r="O611" s="26">
        <v>40</v>
      </c>
      <c r="P611" s="27">
        <v>41</v>
      </c>
    </row>
    <row r="613" spans="1:22" ht="22.8">
      <c r="Q613" s="64" t="s">
        <v>83</v>
      </c>
      <c r="R613" s="64"/>
      <c r="S613" s="64"/>
      <c r="T613" s="64"/>
      <c r="U613" s="64"/>
      <c r="V613" s="64"/>
    </row>
    <row r="614" spans="1:22">
      <c r="Q614" s="65" t="s">
        <v>81</v>
      </c>
      <c r="R614" s="65"/>
      <c r="S614" s="65"/>
      <c r="T614" s="65" t="s">
        <v>82</v>
      </c>
      <c r="U614" s="65"/>
      <c r="V614" s="65"/>
    </row>
    <row r="615" spans="1:22">
      <c r="Q615" s="65"/>
      <c r="R615" s="65"/>
      <c r="S615" s="65"/>
      <c r="T615" s="65"/>
      <c r="U615" s="65"/>
      <c r="V615" s="65"/>
    </row>
    <row r="616" spans="1:22">
      <c r="Q616" s="66" t="s">
        <v>84</v>
      </c>
      <c r="R616" s="67"/>
      <c r="S616" s="68"/>
      <c r="T616" s="72">
        <f>SUM(P:P)</f>
        <v>33898</v>
      </c>
      <c r="U616" s="73"/>
      <c r="V616" s="74"/>
    </row>
    <row r="617" spans="1:22">
      <c r="Q617" s="69"/>
      <c r="R617" s="70"/>
      <c r="S617" s="71"/>
      <c r="T617" s="75"/>
      <c r="U617" s="76"/>
      <c r="V617" s="77"/>
    </row>
    <row r="618" spans="1:22">
      <c r="Q618" s="78" t="s">
        <v>85</v>
      </c>
      <c r="R618" s="79"/>
      <c r="S618" s="80"/>
      <c r="T618" s="52">
        <f>AVERAGE(P:P)</f>
        <v>55.570491803278685</v>
      </c>
      <c r="U618" s="58"/>
      <c r="V618" s="59"/>
    </row>
    <row r="619" spans="1:22">
      <c r="Q619" s="81"/>
      <c r="R619" s="82"/>
      <c r="S619" s="83"/>
      <c r="T619" s="60"/>
      <c r="U619" s="61"/>
      <c r="V619" s="62"/>
    </row>
    <row r="620" spans="1:22">
      <c r="Q620" s="52" t="s">
        <v>86</v>
      </c>
      <c r="R620" s="53"/>
      <c r="S620" s="54"/>
      <c r="T620" s="52">
        <f>MIN(P:P)</f>
        <v>1</v>
      </c>
      <c r="U620" s="58"/>
      <c r="V620" s="59"/>
    </row>
    <row r="621" spans="1:22">
      <c r="Q621" s="55"/>
      <c r="R621" s="56"/>
      <c r="S621" s="57"/>
      <c r="T621" s="60"/>
      <c r="U621" s="61"/>
      <c r="V621" s="62"/>
    </row>
    <row r="622" spans="1:22">
      <c r="M622" s="32"/>
      <c r="Q622" s="63" t="s">
        <v>87</v>
      </c>
      <c r="R622" s="53"/>
      <c r="S622" s="54"/>
      <c r="T622" s="52">
        <f>MAX(P:P)</f>
        <v>249</v>
      </c>
      <c r="U622" s="58"/>
      <c r="V622" s="59"/>
    </row>
    <row r="623" spans="1:22">
      <c r="Q623" s="55"/>
      <c r="R623" s="56"/>
      <c r="S623" s="57"/>
      <c r="T623" s="60"/>
      <c r="U623" s="61"/>
      <c r="V623" s="62"/>
    </row>
  </sheetData>
  <mergeCells count="11">
    <mergeCell ref="Q620:S621"/>
    <mergeCell ref="T620:V621"/>
    <mergeCell ref="Q622:S623"/>
    <mergeCell ref="T622:V623"/>
    <mergeCell ref="Q613:V613"/>
    <mergeCell ref="Q614:S615"/>
    <mergeCell ref="T614:V615"/>
    <mergeCell ref="Q616:S617"/>
    <mergeCell ref="T616:V617"/>
    <mergeCell ref="Q618:S619"/>
    <mergeCell ref="T618:V619"/>
  </mergeCell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CDEFD-5110-440D-8AB5-EB4EB9656CE1}">
  <dimension ref="A1:S391"/>
  <sheetViews>
    <sheetView topLeftCell="A368" zoomScale="122" workbookViewId="0">
      <selection sqref="A1:P391"/>
    </sheetView>
  </sheetViews>
  <sheetFormatPr defaultRowHeight="13.2"/>
  <cols>
    <col min="2" max="2" width="10.33203125" bestFit="1" customWidth="1"/>
    <col min="3" max="3" width="9.109375" customWidth="1"/>
    <col min="7" max="7" width="9.109375" customWidth="1"/>
    <col min="8" max="8" width="10.44140625" customWidth="1"/>
    <col min="9" max="9" width="12" customWidth="1"/>
    <col min="13" max="13" width="12.21875" customWidth="1"/>
    <col min="15" max="15" width="11.77734375" customWidth="1"/>
  </cols>
  <sheetData>
    <row r="1" spans="1:16">
      <c r="A1" s="35" t="s">
        <v>0</v>
      </c>
      <c r="B1" s="37" t="s">
        <v>1</v>
      </c>
      <c r="C1" s="35" t="s">
        <v>2</v>
      </c>
      <c r="D1" s="35" t="s">
        <v>3</v>
      </c>
      <c r="E1" s="35" t="s">
        <v>4</v>
      </c>
      <c r="F1" s="35" t="s">
        <v>5</v>
      </c>
      <c r="G1" s="35" t="s">
        <v>6</v>
      </c>
      <c r="H1" s="35" t="s">
        <v>7</v>
      </c>
      <c r="I1" s="35" t="s">
        <v>8</v>
      </c>
      <c r="J1" s="35" t="s">
        <v>9</v>
      </c>
      <c r="K1" s="35" t="s">
        <v>60</v>
      </c>
      <c r="L1" s="35" t="s">
        <v>61</v>
      </c>
      <c r="M1" s="35" t="s">
        <v>62</v>
      </c>
      <c r="N1" s="35" t="s">
        <v>63</v>
      </c>
      <c r="O1" s="35" t="s">
        <v>64</v>
      </c>
      <c r="P1" s="35" t="s">
        <v>65</v>
      </c>
    </row>
    <row r="2" spans="1:16">
      <c r="A2" s="35">
        <v>611</v>
      </c>
      <c r="B2" s="36">
        <v>40571</v>
      </c>
      <c r="C2" s="35">
        <v>1</v>
      </c>
      <c r="D2" s="35">
        <v>0</v>
      </c>
      <c r="E2" s="35">
        <v>1</v>
      </c>
      <c r="F2" s="35">
        <v>16</v>
      </c>
      <c r="G2" s="35" t="b">
        <v>0</v>
      </c>
      <c r="H2" s="35">
        <v>5</v>
      </c>
      <c r="I2" s="35">
        <v>1</v>
      </c>
      <c r="J2" s="35">
        <v>0.22</v>
      </c>
      <c r="K2" s="35">
        <v>0.2727</v>
      </c>
      <c r="L2" s="35">
        <v>0.8</v>
      </c>
      <c r="M2" s="35">
        <v>0</v>
      </c>
      <c r="N2" s="35">
        <v>10</v>
      </c>
      <c r="O2" s="35">
        <v>70</v>
      </c>
      <c r="P2" s="35">
        <v>80</v>
      </c>
    </row>
    <row r="3" spans="1:16">
      <c r="A3" s="35">
        <v>612</v>
      </c>
      <c r="B3" s="36">
        <v>40571</v>
      </c>
      <c r="C3" s="35">
        <v>1</v>
      </c>
      <c r="D3" s="35">
        <v>0</v>
      </c>
      <c r="E3" s="35">
        <v>1</v>
      </c>
      <c r="F3" s="35">
        <v>17</v>
      </c>
      <c r="G3" s="35" t="b">
        <v>0</v>
      </c>
      <c r="H3" s="35">
        <v>5</v>
      </c>
      <c r="I3" s="35">
        <v>1</v>
      </c>
      <c r="J3" s="35">
        <v>0.24</v>
      </c>
      <c r="K3" s="35">
        <v>0.2424</v>
      </c>
      <c r="L3" s="35">
        <v>0.75</v>
      </c>
      <c r="M3" s="35">
        <v>0.1343</v>
      </c>
      <c r="N3" s="35">
        <v>2</v>
      </c>
      <c r="O3" s="35">
        <v>147</v>
      </c>
      <c r="P3" s="35">
        <v>149</v>
      </c>
    </row>
    <row r="4" spans="1:16">
      <c r="A4" s="35">
        <v>613</v>
      </c>
      <c r="B4" s="36">
        <v>40571</v>
      </c>
      <c r="C4" s="35">
        <v>1</v>
      </c>
      <c r="D4" s="35">
        <v>0</v>
      </c>
      <c r="E4" s="35">
        <v>1</v>
      </c>
      <c r="F4" s="35">
        <v>18</v>
      </c>
      <c r="G4" s="35" t="b">
        <v>0</v>
      </c>
      <c r="H4" s="35">
        <v>5</v>
      </c>
      <c r="I4" s="35">
        <v>1</v>
      </c>
      <c r="J4" s="35">
        <v>0.24</v>
      </c>
      <c r="K4" s="35">
        <v>0.2273</v>
      </c>
      <c r="L4" s="35">
        <v>0.75</v>
      </c>
      <c r="M4" s="35">
        <v>0.19400000000000001</v>
      </c>
      <c r="N4" s="35">
        <v>2</v>
      </c>
      <c r="O4" s="35">
        <v>107</v>
      </c>
      <c r="P4" s="35">
        <v>109</v>
      </c>
    </row>
    <row r="5" spans="1:16">
      <c r="A5" s="35">
        <v>614</v>
      </c>
      <c r="B5" s="36">
        <v>40571</v>
      </c>
      <c r="C5" s="35">
        <v>1</v>
      </c>
      <c r="D5" s="35">
        <v>0</v>
      </c>
      <c r="E5" s="35">
        <v>1</v>
      </c>
      <c r="F5" s="35">
        <v>19</v>
      </c>
      <c r="G5" s="35" t="b">
        <v>0</v>
      </c>
      <c r="H5" s="35">
        <v>5</v>
      </c>
      <c r="I5" s="35">
        <v>2</v>
      </c>
      <c r="J5" s="35">
        <v>0.24</v>
      </c>
      <c r="K5" s="35">
        <v>0.2424</v>
      </c>
      <c r="L5" s="35">
        <v>0.75</v>
      </c>
      <c r="M5" s="35">
        <v>0.1343</v>
      </c>
      <c r="N5" s="35">
        <v>5</v>
      </c>
      <c r="O5" s="35">
        <v>84</v>
      </c>
      <c r="P5" s="35">
        <v>89</v>
      </c>
    </row>
    <row r="6" spans="1:16">
      <c r="A6" s="35">
        <v>615</v>
      </c>
      <c r="B6" s="36">
        <v>40571</v>
      </c>
      <c r="C6" s="35">
        <v>1</v>
      </c>
      <c r="D6" s="35">
        <v>0</v>
      </c>
      <c r="E6" s="35">
        <v>1</v>
      </c>
      <c r="F6" s="35">
        <v>20</v>
      </c>
      <c r="G6" s="35" t="b">
        <v>0</v>
      </c>
      <c r="H6" s="35">
        <v>5</v>
      </c>
      <c r="I6" s="35">
        <v>2</v>
      </c>
      <c r="J6" s="35">
        <v>0.24</v>
      </c>
      <c r="K6" s="35">
        <v>0.2273</v>
      </c>
      <c r="L6" s="35">
        <v>0.7</v>
      </c>
      <c r="M6" s="35">
        <v>0.19400000000000001</v>
      </c>
      <c r="N6" s="35">
        <v>1</v>
      </c>
      <c r="O6" s="35">
        <v>61</v>
      </c>
      <c r="P6" s="35">
        <v>62</v>
      </c>
    </row>
    <row r="7" spans="1:16">
      <c r="A7" s="35">
        <v>616</v>
      </c>
      <c r="B7" s="36">
        <v>40571</v>
      </c>
      <c r="C7" s="35">
        <v>1</v>
      </c>
      <c r="D7" s="35">
        <v>0</v>
      </c>
      <c r="E7" s="35">
        <v>1</v>
      </c>
      <c r="F7" s="35">
        <v>21</v>
      </c>
      <c r="G7" s="35" t="b">
        <v>0</v>
      </c>
      <c r="H7" s="35">
        <v>5</v>
      </c>
      <c r="I7" s="35">
        <v>2</v>
      </c>
      <c r="J7" s="35">
        <v>0.22</v>
      </c>
      <c r="K7" s="35">
        <v>0.2273</v>
      </c>
      <c r="L7" s="35">
        <v>0.75</v>
      </c>
      <c r="M7" s="35">
        <v>0.1343</v>
      </c>
      <c r="N7" s="35">
        <v>1</v>
      </c>
      <c r="O7" s="35">
        <v>57</v>
      </c>
      <c r="P7" s="35">
        <v>58</v>
      </c>
    </row>
    <row r="8" spans="1:16">
      <c r="A8" s="35">
        <v>617</v>
      </c>
      <c r="B8" s="36">
        <v>40571</v>
      </c>
      <c r="C8" s="35">
        <v>1</v>
      </c>
      <c r="D8" s="35">
        <v>0</v>
      </c>
      <c r="E8" s="35">
        <v>1</v>
      </c>
      <c r="F8" s="35">
        <v>22</v>
      </c>
      <c r="G8" s="35" t="b">
        <v>0</v>
      </c>
      <c r="H8" s="35">
        <v>5</v>
      </c>
      <c r="I8" s="35">
        <v>1</v>
      </c>
      <c r="J8" s="35">
        <v>0.24</v>
      </c>
      <c r="K8" s="35">
        <v>0.21210000000000001</v>
      </c>
      <c r="L8" s="35">
        <v>0.65</v>
      </c>
      <c r="M8" s="35">
        <v>0.35820000000000002</v>
      </c>
      <c r="N8" s="35">
        <v>0</v>
      </c>
      <c r="O8" s="35">
        <v>26</v>
      </c>
      <c r="P8" s="35">
        <v>26</v>
      </c>
    </row>
    <row r="9" spans="1:16">
      <c r="A9" s="35">
        <v>618</v>
      </c>
      <c r="B9" s="36">
        <v>40571</v>
      </c>
      <c r="C9" s="35">
        <v>1</v>
      </c>
      <c r="D9" s="35">
        <v>0</v>
      </c>
      <c r="E9" s="35">
        <v>1</v>
      </c>
      <c r="F9" s="35">
        <v>23</v>
      </c>
      <c r="G9" s="35" t="b">
        <v>0</v>
      </c>
      <c r="H9" s="35">
        <v>5</v>
      </c>
      <c r="I9" s="35">
        <v>1</v>
      </c>
      <c r="J9" s="35">
        <v>0.24</v>
      </c>
      <c r="K9" s="35">
        <v>0.2273</v>
      </c>
      <c r="L9" s="35">
        <v>0.6</v>
      </c>
      <c r="M9" s="35">
        <v>0.22389999999999999</v>
      </c>
      <c r="N9" s="35">
        <v>1</v>
      </c>
      <c r="O9" s="35">
        <v>22</v>
      </c>
      <c r="P9" s="35">
        <v>23</v>
      </c>
    </row>
    <row r="10" spans="1:16">
      <c r="A10" s="35">
        <v>619</v>
      </c>
      <c r="B10" s="36">
        <v>40572</v>
      </c>
      <c r="C10" s="35">
        <v>1</v>
      </c>
      <c r="D10" s="35">
        <v>0</v>
      </c>
      <c r="E10" s="35">
        <v>1</v>
      </c>
      <c r="F10" s="35">
        <v>0</v>
      </c>
      <c r="G10" s="35" t="b">
        <v>0</v>
      </c>
      <c r="H10" s="35">
        <v>6</v>
      </c>
      <c r="I10" s="35">
        <v>1</v>
      </c>
      <c r="J10" s="35">
        <v>0.22</v>
      </c>
      <c r="K10" s="35">
        <v>0.19700000000000001</v>
      </c>
      <c r="L10" s="35">
        <v>0.64</v>
      </c>
      <c r="M10" s="35">
        <v>0.35820000000000002</v>
      </c>
      <c r="N10" s="35">
        <v>2</v>
      </c>
      <c r="O10" s="35">
        <v>26</v>
      </c>
      <c r="P10" s="35">
        <v>28</v>
      </c>
    </row>
    <row r="11" spans="1:16">
      <c r="A11" s="35">
        <v>620</v>
      </c>
      <c r="B11" s="36">
        <v>40572</v>
      </c>
      <c r="C11" s="35">
        <v>1</v>
      </c>
      <c r="D11" s="35">
        <v>0</v>
      </c>
      <c r="E11" s="35">
        <v>1</v>
      </c>
      <c r="F11" s="35">
        <v>1</v>
      </c>
      <c r="G11" s="35" t="b">
        <v>0</v>
      </c>
      <c r="H11" s="35">
        <v>6</v>
      </c>
      <c r="I11" s="35">
        <v>1</v>
      </c>
      <c r="J11" s="35">
        <v>0.22</v>
      </c>
      <c r="K11" s="35">
        <v>0.2273</v>
      </c>
      <c r="L11" s="35">
        <v>0.64</v>
      </c>
      <c r="M11" s="35">
        <v>0.19400000000000001</v>
      </c>
      <c r="N11" s="35">
        <v>0</v>
      </c>
      <c r="O11" s="35">
        <v>20</v>
      </c>
      <c r="P11" s="35">
        <v>20</v>
      </c>
    </row>
    <row r="12" spans="1:16">
      <c r="A12" s="35">
        <v>621</v>
      </c>
      <c r="B12" s="36">
        <v>40572</v>
      </c>
      <c r="C12" s="35">
        <v>1</v>
      </c>
      <c r="D12" s="35">
        <v>0</v>
      </c>
      <c r="E12" s="35">
        <v>1</v>
      </c>
      <c r="F12" s="35">
        <v>2</v>
      </c>
      <c r="G12" s="35" t="b">
        <v>0</v>
      </c>
      <c r="H12" s="35">
        <v>6</v>
      </c>
      <c r="I12" s="35">
        <v>1</v>
      </c>
      <c r="J12" s="35">
        <v>0.22</v>
      </c>
      <c r="K12" s="35">
        <v>0.2273</v>
      </c>
      <c r="L12" s="35">
        <v>0.64</v>
      </c>
      <c r="M12" s="35">
        <v>0.16420000000000001</v>
      </c>
      <c r="N12" s="35">
        <v>0</v>
      </c>
      <c r="O12" s="35">
        <v>15</v>
      </c>
      <c r="P12" s="35">
        <v>15</v>
      </c>
    </row>
    <row r="13" spans="1:16">
      <c r="A13" s="35">
        <v>622</v>
      </c>
      <c r="B13" s="36">
        <v>40572</v>
      </c>
      <c r="C13" s="35">
        <v>1</v>
      </c>
      <c r="D13" s="35">
        <v>0</v>
      </c>
      <c r="E13" s="35">
        <v>1</v>
      </c>
      <c r="F13" s="35">
        <v>3</v>
      </c>
      <c r="G13" s="35" t="b">
        <v>0</v>
      </c>
      <c r="H13" s="35">
        <v>6</v>
      </c>
      <c r="I13" s="35">
        <v>1</v>
      </c>
      <c r="J13" s="35">
        <v>0.2</v>
      </c>
      <c r="K13" s="35">
        <v>0.21210000000000001</v>
      </c>
      <c r="L13" s="35">
        <v>0.64</v>
      </c>
      <c r="M13" s="35">
        <v>0.1343</v>
      </c>
      <c r="N13" s="35">
        <v>3</v>
      </c>
      <c r="O13" s="35">
        <v>5</v>
      </c>
      <c r="P13" s="35">
        <v>8</v>
      </c>
    </row>
    <row r="14" spans="1:16">
      <c r="A14" s="35">
        <v>623</v>
      </c>
      <c r="B14" s="36">
        <v>40572</v>
      </c>
      <c r="C14" s="35">
        <v>1</v>
      </c>
      <c r="D14" s="35">
        <v>0</v>
      </c>
      <c r="E14" s="35">
        <v>1</v>
      </c>
      <c r="F14" s="35">
        <v>4</v>
      </c>
      <c r="G14" s="35" t="b">
        <v>0</v>
      </c>
      <c r="H14" s="35">
        <v>6</v>
      </c>
      <c r="I14" s="35">
        <v>1</v>
      </c>
      <c r="J14" s="35">
        <v>0.16</v>
      </c>
      <c r="K14" s="35">
        <v>0.18179999999999999</v>
      </c>
      <c r="L14" s="35">
        <v>0.69</v>
      </c>
      <c r="M14" s="35">
        <v>0.1045</v>
      </c>
      <c r="N14" s="35">
        <v>1</v>
      </c>
      <c r="O14" s="35">
        <v>2</v>
      </c>
      <c r="P14" s="35">
        <v>3</v>
      </c>
    </row>
    <row r="15" spans="1:16">
      <c r="A15" s="35">
        <v>624</v>
      </c>
      <c r="B15" s="36">
        <v>40572</v>
      </c>
      <c r="C15" s="35">
        <v>1</v>
      </c>
      <c r="D15" s="35">
        <v>0</v>
      </c>
      <c r="E15" s="35">
        <v>1</v>
      </c>
      <c r="F15" s="35">
        <v>6</v>
      </c>
      <c r="G15" s="35" t="b">
        <v>0</v>
      </c>
      <c r="H15" s="35">
        <v>6</v>
      </c>
      <c r="I15" s="35">
        <v>1</v>
      </c>
      <c r="J15" s="35">
        <v>0.16</v>
      </c>
      <c r="K15" s="35">
        <v>0.18179999999999999</v>
      </c>
      <c r="L15" s="35">
        <v>0.64</v>
      </c>
      <c r="M15" s="35">
        <v>0.1343</v>
      </c>
      <c r="N15" s="35">
        <v>0</v>
      </c>
      <c r="O15" s="35">
        <v>2</v>
      </c>
      <c r="P15" s="35">
        <v>2</v>
      </c>
    </row>
    <row r="16" spans="1:16">
      <c r="A16" s="35">
        <v>625</v>
      </c>
      <c r="B16" s="36">
        <v>40572</v>
      </c>
      <c r="C16" s="35">
        <v>1</v>
      </c>
      <c r="D16" s="35">
        <v>0</v>
      </c>
      <c r="E16" s="35">
        <v>1</v>
      </c>
      <c r="F16" s="35">
        <v>7</v>
      </c>
      <c r="G16" s="35" t="b">
        <v>0</v>
      </c>
      <c r="H16" s="35">
        <v>6</v>
      </c>
      <c r="I16" s="35">
        <v>1</v>
      </c>
      <c r="J16" s="35">
        <v>0.16</v>
      </c>
      <c r="K16" s="35">
        <v>0.18179999999999999</v>
      </c>
      <c r="L16" s="35">
        <v>0.59</v>
      </c>
      <c r="M16" s="35">
        <v>0.1045</v>
      </c>
      <c r="N16" s="35">
        <v>1</v>
      </c>
      <c r="O16" s="35">
        <v>4</v>
      </c>
      <c r="P16" s="35">
        <v>5</v>
      </c>
    </row>
    <row r="17" spans="1:19">
      <c r="A17" s="35">
        <v>626</v>
      </c>
      <c r="B17" s="36">
        <v>40572</v>
      </c>
      <c r="C17" s="35">
        <v>1</v>
      </c>
      <c r="D17" s="35">
        <v>0</v>
      </c>
      <c r="E17" s="35">
        <v>1</v>
      </c>
      <c r="F17" s="35">
        <v>8</v>
      </c>
      <c r="G17" s="35" t="b">
        <v>0</v>
      </c>
      <c r="H17" s="35">
        <v>6</v>
      </c>
      <c r="I17" s="35">
        <v>1</v>
      </c>
      <c r="J17" s="35">
        <v>0.18</v>
      </c>
      <c r="K17" s="35">
        <v>0.19700000000000001</v>
      </c>
      <c r="L17" s="35">
        <v>0.55000000000000004</v>
      </c>
      <c r="M17" s="35">
        <v>0.16420000000000001</v>
      </c>
      <c r="N17" s="35">
        <v>3</v>
      </c>
      <c r="O17" s="35">
        <v>31</v>
      </c>
      <c r="P17" s="35">
        <v>34</v>
      </c>
      <c r="S17" s="35">
        <v>0</v>
      </c>
    </row>
    <row r="18" spans="1:19">
      <c r="A18" s="35">
        <v>627</v>
      </c>
      <c r="B18" s="36">
        <v>40572</v>
      </c>
      <c r="C18" s="35">
        <v>1</v>
      </c>
      <c r="D18" s="35">
        <v>0</v>
      </c>
      <c r="E18" s="35">
        <v>1</v>
      </c>
      <c r="F18" s="35">
        <v>9</v>
      </c>
      <c r="G18" s="35" t="b">
        <v>0</v>
      </c>
      <c r="H18" s="35">
        <v>6</v>
      </c>
      <c r="I18" s="35">
        <v>1</v>
      </c>
      <c r="J18" s="35">
        <v>0.18</v>
      </c>
      <c r="K18" s="35">
        <v>0.21210000000000001</v>
      </c>
      <c r="L18" s="35">
        <v>0.59</v>
      </c>
      <c r="M18" s="35">
        <v>8.9599999999999999E-2</v>
      </c>
      <c r="N18" s="35">
        <v>0</v>
      </c>
      <c r="O18" s="35">
        <v>34</v>
      </c>
      <c r="P18" s="35">
        <v>34</v>
      </c>
    </row>
    <row r="19" spans="1:19">
      <c r="A19" s="35">
        <v>628</v>
      </c>
      <c r="B19" s="36">
        <v>40572</v>
      </c>
      <c r="C19" s="35">
        <v>1</v>
      </c>
      <c r="D19" s="35">
        <v>0</v>
      </c>
      <c r="E19" s="35">
        <v>1</v>
      </c>
      <c r="F19" s="35">
        <v>10</v>
      </c>
      <c r="G19" s="35" t="b">
        <v>0</v>
      </c>
      <c r="H19" s="35">
        <v>6</v>
      </c>
      <c r="I19" s="35">
        <v>2</v>
      </c>
      <c r="J19" s="35">
        <v>0.18</v>
      </c>
      <c r="K19" s="35">
        <v>0.21210000000000001</v>
      </c>
      <c r="L19" s="35">
        <v>0.64</v>
      </c>
      <c r="M19" s="35">
        <v>0.1045</v>
      </c>
      <c r="N19" s="35">
        <v>4</v>
      </c>
      <c r="O19" s="35">
        <v>51</v>
      </c>
      <c r="P19" s="35">
        <v>55</v>
      </c>
    </row>
    <row r="20" spans="1:19">
      <c r="A20" s="35">
        <v>629</v>
      </c>
      <c r="B20" s="36">
        <v>40572</v>
      </c>
      <c r="C20" s="35">
        <v>1</v>
      </c>
      <c r="D20" s="35">
        <v>0</v>
      </c>
      <c r="E20" s="35">
        <v>1</v>
      </c>
      <c r="F20" s="35">
        <v>11</v>
      </c>
      <c r="G20" s="35" t="b">
        <v>0</v>
      </c>
      <c r="H20" s="35">
        <v>6</v>
      </c>
      <c r="I20" s="35">
        <v>2</v>
      </c>
      <c r="J20" s="35">
        <v>0.18</v>
      </c>
      <c r="K20" s="35">
        <v>0.19700000000000001</v>
      </c>
      <c r="L20" s="35">
        <v>0.64</v>
      </c>
      <c r="M20" s="35">
        <v>0.1343</v>
      </c>
      <c r="N20" s="35">
        <v>4</v>
      </c>
      <c r="O20" s="35">
        <v>60</v>
      </c>
      <c r="P20" s="35">
        <v>64</v>
      </c>
    </row>
    <row r="21" spans="1:19">
      <c r="A21" s="35">
        <v>630</v>
      </c>
      <c r="B21" s="36">
        <v>40572</v>
      </c>
      <c r="C21" s="35">
        <v>1</v>
      </c>
      <c r="D21" s="35">
        <v>0</v>
      </c>
      <c r="E21" s="35">
        <v>1</v>
      </c>
      <c r="F21" s="35">
        <v>12</v>
      </c>
      <c r="G21" s="35" t="b">
        <v>0</v>
      </c>
      <c r="H21" s="35">
        <v>6</v>
      </c>
      <c r="I21" s="35">
        <v>2</v>
      </c>
      <c r="J21" s="35">
        <v>0.2</v>
      </c>
      <c r="K21" s="35">
        <v>0.19700000000000001</v>
      </c>
      <c r="L21" s="35">
        <v>0.59</v>
      </c>
      <c r="M21" s="35">
        <v>0.19400000000000001</v>
      </c>
      <c r="N21" s="35">
        <v>12</v>
      </c>
      <c r="O21" s="35">
        <v>66</v>
      </c>
      <c r="P21" s="35">
        <v>78</v>
      </c>
    </row>
    <row r="22" spans="1:19">
      <c r="A22" s="35">
        <v>631</v>
      </c>
      <c r="B22" s="36">
        <v>40572</v>
      </c>
      <c r="C22" s="35">
        <v>1</v>
      </c>
      <c r="D22" s="35">
        <v>0</v>
      </c>
      <c r="E22" s="35">
        <v>1</v>
      </c>
      <c r="F22" s="35">
        <v>13</v>
      </c>
      <c r="G22" s="35" t="b">
        <v>0</v>
      </c>
      <c r="H22" s="35">
        <v>6</v>
      </c>
      <c r="I22" s="35">
        <v>2</v>
      </c>
      <c r="J22" s="35">
        <v>0.22</v>
      </c>
      <c r="K22" s="35">
        <v>0.2273</v>
      </c>
      <c r="L22" s="35">
        <v>0.55000000000000004</v>
      </c>
      <c r="M22" s="35">
        <v>0.16420000000000001</v>
      </c>
      <c r="N22" s="35">
        <v>9</v>
      </c>
      <c r="O22" s="35">
        <v>56</v>
      </c>
      <c r="P22" s="35">
        <v>65</v>
      </c>
    </row>
    <row r="23" spans="1:19">
      <c r="A23" s="35">
        <v>632</v>
      </c>
      <c r="B23" s="36">
        <v>40572</v>
      </c>
      <c r="C23" s="35">
        <v>1</v>
      </c>
      <c r="D23" s="35">
        <v>0</v>
      </c>
      <c r="E23" s="35">
        <v>1</v>
      </c>
      <c r="F23" s="35">
        <v>14</v>
      </c>
      <c r="G23" s="35" t="b">
        <v>0</v>
      </c>
      <c r="H23" s="35">
        <v>6</v>
      </c>
      <c r="I23" s="35">
        <v>2</v>
      </c>
      <c r="J23" s="35">
        <v>0.22</v>
      </c>
      <c r="K23" s="35">
        <v>0.2273</v>
      </c>
      <c r="L23" s="35">
        <v>0.6</v>
      </c>
      <c r="M23" s="35">
        <v>0.1343</v>
      </c>
      <c r="N23" s="35">
        <v>10</v>
      </c>
      <c r="O23" s="35">
        <v>89</v>
      </c>
      <c r="P23" s="35">
        <v>99</v>
      </c>
    </row>
    <row r="24" spans="1:19">
      <c r="A24" s="35">
        <v>633</v>
      </c>
      <c r="B24" s="36">
        <v>40572</v>
      </c>
      <c r="C24" s="35">
        <v>1</v>
      </c>
      <c r="D24" s="35">
        <v>0</v>
      </c>
      <c r="E24" s="35">
        <v>1</v>
      </c>
      <c r="F24" s="35">
        <v>15</v>
      </c>
      <c r="G24" s="35" t="b">
        <v>0</v>
      </c>
      <c r="H24" s="35">
        <v>6</v>
      </c>
      <c r="I24" s="35">
        <v>1</v>
      </c>
      <c r="J24" s="35">
        <v>0.22</v>
      </c>
      <c r="K24" s="35">
        <v>0.21210000000000001</v>
      </c>
      <c r="L24" s="35">
        <v>0.69</v>
      </c>
      <c r="M24" s="35">
        <v>0.25369999999999998</v>
      </c>
      <c r="N24" s="35">
        <v>22</v>
      </c>
      <c r="O24" s="35">
        <v>98</v>
      </c>
      <c r="P24" s="35">
        <v>120</v>
      </c>
    </row>
    <row r="25" spans="1:19">
      <c r="A25" s="35">
        <v>634</v>
      </c>
      <c r="B25" s="36">
        <v>40572</v>
      </c>
      <c r="C25" s="35">
        <v>1</v>
      </c>
      <c r="D25" s="35">
        <v>0</v>
      </c>
      <c r="E25" s="35">
        <v>1</v>
      </c>
      <c r="F25" s="35">
        <v>16</v>
      </c>
      <c r="G25" s="35" t="b">
        <v>0</v>
      </c>
      <c r="H25" s="35">
        <v>6</v>
      </c>
      <c r="I25" s="35">
        <v>1</v>
      </c>
      <c r="J25" s="35">
        <v>0.24</v>
      </c>
      <c r="K25" s="35">
        <v>0.2424</v>
      </c>
      <c r="L25" s="35">
        <v>0.6</v>
      </c>
      <c r="M25" s="35">
        <v>0.16420000000000001</v>
      </c>
      <c r="N25" s="35">
        <v>19</v>
      </c>
      <c r="O25" s="35">
        <v>88</v>
      </c>
      <c r="P25" s="35">
        <v>107</v>
      </c>
    </row>
    <row r="26" spans="1:19">
      <c r="A26" s="35">
        <v>635</v>
      </c>
      <c r="B26" s="36">
        <v>40572</v>
      </c>
      <c r="C26" s="35">
        <v>1</v>
      </c>
      <c r="D26" s="35">
        <v>0</v>
      </c>
      <c r="E26" s="35">
        <v>1</v>
      </c>
      <c r="F26" s="35">
        <v>17</v>
      </c>
      <c r="G26" s="35" t="b">
        <v>0</v>
      </c>
      <c r="H26" s="35">
        <v>6</v>
      </c>
      <c r="I26" s="35">
        <v>1</v>
      </c>
      <c r="J26" s="35">
        <v>0.24</v>
      </c>
      <c r="K26" s="35">
        <v>0.28789999999999999</v>
      </c>
      <c r="L26" s="35">
        <v>0.6</v>
      </c>
      <c r="M26" s="35">
        <v>0</v>
      </c>
      <c r="N26" s="35">
        <v>9</v>
      </c>
      <c r="O26" s="35">
        <v>82</v>
      </c>
      <c r="P26" s="35">
        <v>91</v>
      </c>
    </row>
    <row r="27" spans="1:19">
      <c r="A27" s="35">
        <v>636</v>
      </c>
      <c r="B27" s="36">
        <v>40572</v>
      </c>
      <c r="C27" s="35">
        <v>1</v>
      </c>
      <c r="D27" s="35">
        <v>0</v>
      </c>
      <c r="E27" s="35">
        <v>1</v>
      </c>
      <c r="F27" s="35">
        <v>18</v>
      </c>
      <c r="G27" s="35" t="b">
        <v>0</v>
      </c>
      <c r="H27" s="35">
        <v>6</v>
      </c>
      <c r="I27" s="35">
        <v>1</v>
      </c>
      <c r="J27" s="35">
        <v>0.22</v>
      </c>
      <c r="K27" s="35">
        <v>0.2273</v>
      </c>
      <c r="L27" s="35">
        <v>0.69</v>
      </c>
      <c r="M27" s="35">
        <v>0.1343</v>
      </c>
      <c r="N27" s="35">
        <v>9</v>
      </c>
      <c r="O27" s="35">
        <v>59</v>
      </c>
      <c r="P27" s="35">
        <v>68</v>
      </c>
    </row>
    <row r="28" spans="1:19">
      <c r="A28" s="35">
        <v>637</v>
      </c>
      <c r="B28" s="36">
        <v>40572</v>
      </c>
      <c r="C28" s="35">
        <v>1</v>
      </c>
      <c r="D28" s="35">
        <v>0</v>
      </c>
      <c r="E28" s="35">
        <v>1</v>
      </c>
      <c r="F28" s="35">
        <v>19</v>
      </c>
      <c r="G28" s="35" t="b">
        <v>0</v>
      </c>
      <c r="H28" s="35">
        <v>6</v>
      </c>
      <c r="I28" s="35">
        <v>2</v>
      </c>
      <c r="J28" s="35">
        <v>0.22</v>
      </c>
      <c r="K28" s="35">
        <v>0.21210000000000001</v>
      </c>
      <c r="L28" s="35">
        <v>0.69</v>
      </c>
      <c r="M28" s="35">
        <v>0.25369999999999998</v>
      </c>
      <c r="N28" s="35">
        <v>6</v>
      </c>
      <c r="O28" s="35">
        <v>52</v>
      </c>
      <c r="P28" s="35">
        <v>58</v>
      </c>
    </row>
    <row r="29" spans="1:19">
      <c r="A29" s="35">
        <v>638</v>
      </c>
      <c r="B29" s="36">
        <v>40572</v>
      </c>
      <c r="C29" s="35">
        <v>1</v>
      </c>
      <c r="D29" s="35">
        <v>0</v>
      </c>
      <c r="E29" s="35">
        <v>1</v>
      </c>
      <c r="F29" s="35">
        <v>20</v>
      </c>
      <c r="G29" s="35" t="b">
        <v>0</v>
      </c>
      <c r="H29" s="35">
        <v>6</v>
      </c>
      <c r="I29" s="35">
        <v>1</v>
      </c>
      <c r="J29" s="35">
        <v>0.18</v>
      </c>
      <c r="K29" s="35">
        <v>0.21210000000000001</v>
      </c>
      <c r="L29" s="35">
        <v>0.74</v>
      </c>
      <c r="M29" s="35">
        <v>8.9599999999999999E-2</v>
      </c>
      <c r="N29" s="35">
        <v>1</v>
      </c>
      <c r="O29" s="35">
        <v>42</v>
      </c>
      <c r="P29" s="35">
        <v>43</v>
      </c>
    </row>
    <row r="30" spans="1:19">
      <c r="A30" s="35">
        <v>639</v>
      </c>
      <c r="B30" s="36">
        <v>40572</v>
      </c>
      <c r="C30" s="35">
        <v>1</v>
      </c>
      <c r="D30" s="35">
        <v>0</v>
      </c>
      <c r="E30" s="35">
        <v>1</v>
      </c>
      <c r="F30" s="35">
        <v>21</v>
      </c>
      <c r="G30" s="35" t="b">
        <v>0</v>
      </c>
      <c r="H30" s="35">
        <v>6</v>
      </c>
      <c r="I30" s="35">
        <v>1</v>
      </c>
      <c r="J30" s="35">
        <v>0.18</v>
      </c>
      <c r="K30" s="35">
        <v>0.21210000000000001</v>
      </c>
      <c r="L30" s="35">
        <v>0.74</v>
      </c>
      <c r="M30" s="35">
        <v>8.9599999999999999E-2</v>
      </c>
      <c r="N30" s="35">
        <v>1</v>
      </c>
      <c r="O30" s="35">
        <v>35</v>
      </c>
      <c r="P30" s="35">
        <v>36</v>
      </c>
    </row>
    <row r="31" spans="1:19">
      <c r="A31" s="35">
        <v>640</v>
      </c>
      <c r="B31" s="36">
        <v>40572</v>
      </c>
      <c r="C31" s="35">
        <v>1</v>
      </c>
      <c r="D31" s="35">
        <v>0</v>
      </c>
      <c r="E31" s="35">
        <v>1</v>
      </c>
      <c r="F31" s="35">
        <v>22</v>
      </c>
      <c r="G31" s="35" t="b">
        <v>0</v>
      </c>
      <c r="H31" s="35">
        <v>6</v>
      </c>
      <c r="I31" s="35">
        <v>1</v>
      </c>
      <c r="J31" s="35">
        <v>0.16</v>
      </c>
      <c r="K31" s="35">
        <v>0.19700000000000001</v>
      </c>
      <c r="L31" s="35">
        <v>0.8</v>
      </c>
      <c r="M31" s="35">
        <v>8.9599999999999999E-2</v>
      </c>
      <c r="N31" s="35">
        <v>4</v>
      </c>
      <c r="O31" s="35">
        <v>28</v>
      </c>
      <c r="P31" s="35">
        <v>32</v>
      </c>
    </row>
    <row r="32" spans="1:19">
      <c r="A32" s="35">
        <v>641</v>
      </c>
      <c r="B32" s="36">
        <v>40572</v>
      </c>
      <c r="C32" s="35">
        <v>1</v>
      </c>
      <c r="D32" s="35">
        <v>0</v>
      </c>
      <c r="E32" s="35">
        <v>1</v>
      </c>
      <c r="F32" s="35">
        <v>23</v>
      </c>
      <c r="G32" s="35" t="b">
        <v>0</v>
      </c>
      <c r="H32" s="35">
        <v>6</v>
      </c>
      <c r="I32" s="35">
        <v>1</v>
      </c>
      <c r="J32" s="35">
        <v>0.16</v>
      </c>
      <c r="K32" s="35">
        <v>0.19700000000000001</v>
      </c>
      <c r="L32" s="35">
        <v>0.8</v>
      </c>
      <c r="M32" s="35">
        <v>8.9599999999999999E-2</v>
      </c>
      <c r="N32" s="35">
        <v>3</v>
      </c>
      <c r="O32" s="35">
        <v>30</v>
      </c>
      <c r="P32" s="35">
        <v>33</v>
      </c>
    </row>
    <row r="33" spans="1:16">
      <c r="A33" s="35">
        <v>642</v>
      </c>
      <c r="B33" s="36">
        <v>40573</v>
      </c>
      <c r="C33" s="35">
        <v>1</v>
      </c>
      <c r="D33" s="35">
        <v>0</v>
      </c>
      <c r="E33" s="35">
        <v>1</v>
      </c>
      <c r="F33" s="35">
        <v>0</v>
      </c>
      <c r="G33" s="35" t="b">
        <v>0</v>
      </c>
      <c r="H33" s="35">
        <v>0</v>
      </c>
      <c r="I33" s="35">
        <v>1</v>
      </c>
      <c r="J33" s="35">
        <v>0.16</v>
      </c>
      <c r="K33" s="35">
        <v>0.18179999999999999</v>
      </c>
      <c r="L33" s="35">
        <v>0.8</v>
      </c>
      <c r="M33" s="35">
        <v>0.1045</v>
      </c>
      <c r="N33" s="35">
        <v>0</v>
      </c>
      <c r="O33" s="35">
        <v>33</v>
      </c>
      <c r="P33" s="35">
        <v>33</v>
      </c>
    </row>
    <row r="34" spans="1:16">
      <c r="A34" s="35">
        <v>643</v>
      </c>
      <c r="B34" s="36">
        <v>40573</v>
      </c>
      <c r="C34" s="35">
        <v>1</v>
      </c>
      <c r="D34" s="35">
        <v>0</v>
      </c>
      <c r="E34" s="35">
        <v>1</v>
      </c>
      <c r="F34" s="35">
        <v>1</v>
      </c>
      <c r="G34" s="35" t="b">
        <v>0</v>
      </c>
      <c r="H34" s="35">
        <v>0</v>
      </c>
      <c r="I34" s="35">
        <v>1</v>
      </c>
      <c r="J34" s="35">
        <v>0.14000000000000001</v>
      </c>
      <c r="K34" s="35">
        <v>0.21210000000000001</v>
      </c>
      <c r="L34" s="35">
        <v>0.8</v>
      </c>
      <c r="M34" s="35">
        <v>0</v>
      </c>
      <c r="N34" s="35">
        <v>7</v>
      </c>
      <c r="O34" s="35">
        <v>22</v>
      </c>
      <c r="P34" s="35">
        <v>29</v>
      </c>
    </row>
    <row r="35" spans="1:16">
      <c r="A35" s="35">
        <v>644</v>
      </c>
      <c r="B35" s="36">
        <v>40573</v>
      </c>
      <c r="C35" s="35">
        <v>1</v>
      </c>
      <c r="D35" s="35">
        <v>0</v>
      </c>
      <c r="E35" s="35">
        <v>1</v>
      </c>
      <c r="F35" s="35">
        <v>2</v>
      </c>
      <c r="G35" s="35" t="b">
        <v>0</v>
      </c>
      <c r="H35" s="35">
        <v>0</v>
      </c>
      <c r="I35" s="35">
        <v>1</v>
      </c>
      <c r="J35" s="35">
        <v>0.16</v>
      </c>
      <c r="K35" s="35">
        <v>0.2273</v>
      </c>
      <c r="L35" s="35">
        <v>0.8</v>
      </c>
      <c r="M35" s="35">
        <v>0</v>
      </c>
      <c r="N35" s="35">
        <v>1</v>
      </c>
      <c r="O35" s="35">
        <v>10</v>
      </c>
      <c r="P35" s="35">
        <v>11</v>
      </c>
    </row>
    <row r="36" spans="1:16">
      <c r="A36" s="35">
        <v>645</v>
      </c>
      <c r="B36" s="36">
        <v>40573</v>
      </c>
      <c r="C36" s="35">
        <v>1</v>
      </c>
      <c r="D36" s="35">
        <v>0</v>
      </c>
      <c r="E36" s="35">
        <v>1</v>
      </c>
      <c r="F36" s="35">
        <v>3</v>
      </c>
      <c r="G36" s="35" t="b">
        <v>0</v>
      </c>
      <c r="H36" s="35">
        <v>0</v>
      </c>
      <c r="I36" s="35">
        <v>1</v>
      </c>
      <c r="J36" s="35">
        <v>0.14000000000000001</v>
      </c>
      <c r="K36" s="35">
        <v>0.21210000000000001</v>
      </c>
      <c r="L36" s="35">
        <v>0.93</v>
      </c>
      <c r="M36" s="35">
        <v>0</v>
      </c>
      <c r="N36" s="35">
        <v>1</v>
      </c>
      <c r="O36" s="35">
        <v>7</v>
      </c>
      <c r="P36" s="35">
        <v>8</v>
      </c>
    </row>
    <row r="37" spans="1:16">
      <c r="A37" s="35">
        <v>646</v>
      </c>
      <c r="B37" s="36">
        <v>40573</v>
      </c>
      <c r="C37" s="35">
        <v>1</v>
      </c>
      <c r="D37" s="35">
        <v>0</v>
      </c>
      <c r="E37" s="35">
        <v>1</v>
      </c>
      <c r="F37" s="35">
        <v>4</v>
      </c>
      <c r="G37" s="35" t="b">
        <v>0</v>
      </c>
      <c r="H37" s="35">
        <v>0</v>
      </c>
      <c r="I37" s="35">
        <v>1</v>
      </c>
      <c r="J37" s="35">
        <v>0.14000000000000001</v>
      </c>
      <c r="K37" s="35">
        <v>0.21210000000000001</v>
      </c>
      <c r="L37" s="35">
        <v>0.93</v>
      </c>
      <c r="M37" s="35">
        <v>0</v>
      </c>
      <c r="N37" s="35">
        <v>0</v>
      </c>
      <c r="O37" s="35">
        <v>1</v>
      </c>
      <c r="P37" s="35">
        <v>1</v>
      </c>
    </row>
    <row r="38" spans="1:16">
      <c r="A38" s="35">
        <v>647</v>
      </c>
      <c r="B38" s="36">
        <v>40573</v>
      </c>
      <c r="C38" s="35">
        <v>1</v>
      </c>
      <c r="D38" s="35">
        <v>0</v>
      </c>
      <c r="E38" s="35">
        <v>1</v>
      </c>
      <c r="F38" s="35">
        <v>5</v>
      </c>
      <c r="G38" s="35" t="b">
        <v>0</v>
      </c>
      <c r="H38" s="35">
        <v>0</v>
      </c>
      <c r="I38" s="35">
        <v>1</v>
      </c>
      <c r="J38" s="35">
        <v>0.14000000000000001</v>
      </c>
      <c r="K38" s="35">
        <v>0.21210000000000001</v>
      </c>
      <c r="L38" s="35">
        <v>0.86</v>
      </c>
      <c r="M38" s="35">
        <v>0</v>
      </c>
      <c r="N38" s="35">
        <v>0</v>
      </c>
      <c r="O38" s="35">
        <v>3</v>
      </c>
      <c r="P38" s="35">
        <v>3</v>
      </c>
    </row>
    <row r="39" spans="1:16">
      <c r="A39" s="35">
        <v>648</v>
      </c>
      <c r="B39" s="36">
        <v>40573</v>
      </c>
      <c r="C39" s="35">
        <v>1</v>
      </c>
      <c r="D39" s="35">
        <v>0</v>
      </c>
      <c r="E39" s="35">
        <v>1</v>
      </c>
      <c r="F39" s="35">
        <v>7</v>
      </c>
      <c r="G39" s="35" t="b">
        <v>0</v>
      </c>
      <c r="H39" s="35">
        <v>0</v>
      </c>
      <c r="I39" s="35">
        <v>1</v>
      </c>
      <c r="J39" s="35">
        <v>0.14000000000000001</v>
      </c>
      <c r="K39" s="35">
        <v>0.21210000000000001</v>
      </c>
      <c r="L39" s="35">
        <v>0.86</v>
      </c>
      <c r="M39" s="35">
        <v>0</v>
      </c>
      <c r="N39" s="35">
        <v>0</v>
      </c>
      <c r="O39" s="35">
        <v>3</v>
      </c>
      <c r="P39" s="35">
        <v>3</v>
      </c>
    </row>
    <row r="40" spans="1:16">
      <c r="A40" s="35">
        <v>649</v>
      </c>
      <c r="B40" s="36">
        <v>40573</v>
      </c>
      <c r="C40" s="35">
        <v>1</v>
      </c>
      <c r="D40" s="35">
        <v>0</v>
      </c>
      <c r="E40" s="35">
        <v>1</v>
      </c>
      <c r="F40" s="35">
        <v>8</v>
      </c>
      <c r="G40" s="35" t="b">
        <v>0</v>
      </c>
      <c r="H40" s="35">
        <v>0</v>
      </c>
      <c r="I40" s="35">
        <v>2</v>
      </c>
      <c r="J40" s="35">
        <v>0.14000000000000001</v>
      </c>
      <c r="K40" s="35">
        <v>0.21210000000000001</v>
      </c>
      <c r="L40" s="35">
        <v>0.86</v>
      </c>
      <c r="M40" s="35">
        <v>0</v>
      </c>
      <c r="N40" s="35">
        <v>1</v>
      </c>
      <c r="O40" s="35">
        <v>11</v>
      </c>
      <c r="P40" s="35">
        <v>12</v>
      </c>
    </row>
    <row r="41" spans="1:16">
      <c r="A41" s="35">
        <v>650</v>
      </c>
      <c r="B41" s="36">
        <v>40573</v>
      </c>
      <c r="C41" s="35">
        <v>1</v>
      </c>
      <c r="D41" s="35">
        <v>0</v>
      </c>
      <c r="E41" s="35">
        <v>1</v>
      </c>
      <c r="F41" s="35">
        <v>9</v>
      </c>
      <c r="G41" s="35" t="b">
        <v>0</v>
      </c>
      <c r="H41" s="35">
        <v>0</v>
      </c>
      <c r="I41" s="35">
        <v>2</v>
      </c>
      <c r="J41" s="35">
        <v>0.16</v>
      </c>
      <c r="K41" s="35">
        <v>0.2273</v>
      </c>
      <c r="L41" s="35">
        <v>0.8</v>
      </c>
      <c r="M41" s="35">
        <v>0</v>
      </c>
      <c r="N41" s="35">
        <v>4</v>
      </c>
      <c r="O41" s="35">
        <v>34</v>
      </c>
      <c r="P41" s="35">
        <v>38</v>
      </c>
    </row>
    <row r="42" spans="1:16">
      <c r="A42" s="35">
        <v>651</v>
      </c>
      <c r="B42" s="36">
        <v>40573</v>
      </c>
      <c r="C42" s="35">
        <v>1</v>
      </c>
      <c r="D42" s="35">
        <v>0</v>
      </c>
      <c r="E42" s="35">
        <v>1</v>
      </c>
      <c r="F42" s="35">
        <v>10</v>
      </c>
      <c r="G42" s="35" t="b">
        <v>0</v>
      </c>
      <c r="H42" s="35">
        <v>0</v>
      </c>
      <c r="I42" s="35">
        <v>2</v>
      </c>
      <c r="J42" s="35">
        <v>0.18</v>
      </c>
      <c r="K42" s="35">
        <v>0.2424</v>
      </c>
      <c r="L42" s="35">
        <v>0.8</v>
      </c>
      <c r="M42" s="35">
        <v>0</v>
      </c>
      <c r="N42" s="35">
        <v>7</v>
      </c>
      <c r="O42" s="35">
        <v>57</v>
      </c>
      <c r="P42" s="35">
        <v>64</v>
      </c>
    </row>
    <row r="43" spans="1:16">
      <c r="A43" s="35">
        <v>652</v>
      </c>
      <c r="B43" s="36">
        <v>40573</v>
      </c>
      <c r="C43" s="35">
        <v>1</v>
      </c>
      <c r="D43" s="35">
        <v>0</v>
      </c>
      <c r="E43" s="35">
        <v>1</v>
      </c>
      <c r="F43" s="35">
        <v>11</v>
      </c>
      <c r="G43" s="35" t="b">
        <v>0</v>
      </c>
      <c r="H43" s="35">
        <v>0</v>
      </c>
      <c r="I43" s="35">
        <v>1</v>
      </c>
      <c r="J43" s="35">
        <v>0.22</v>
      </c>
      <c r="K43" s="35">
        <v>0.2727</v>
      </c>
      <c r="L43" s="35">
        <v>0.75</v>
      </c>
      <c r="M43" s="35">
        <v>0</v>
      </c>
      <c r="N43" s="35">
        <v>9</v>
      </c>
      <c r="O43" s="35">
        <v>50</v>
      </c>
      <c r="P43" s="35">
        <v>59</v>
      </c>
    </row>
    <row r="44" spans="1:16">
      <c r="A44" s="35">
        <v>653</v>
      </c>
      <c r="B44" s="36">
        <v>40573</v>
      </c>
      <c r="C44" s="35">
        <v>1</v>
      </c>
      <c r="D44" s="35">
        <v>0</v>
      </c>
      <c r="E44" s="35">
        <v>1</v>
      </c>
      <c r="F44" s="35">
        <v>12</v>
      </c>
      <c r="G44" s="35" t="b">
        <v>0</v>
      </c>
      <c r="H44" s="35">
        <v>0</v>
      </c>
      <c r="I44" s="35">
        <v>1</v>
      </c>
      <c r="J44" s="35">
        <v>0.3</v>
      </c>
      <c r="K44" s="35">
        <v>0.31819999999999998</v>
      </c>
      <c r="L44" s="35">
        <v>0.52</v>
      </c>
      <c r="M44" s="35">
        <v>0.1045</v>
      </c>
      <c r="N44" s="35">
        <v>10</v>
      </c>
      <c r="O44" s="35">
        <v>87</v>
      </c>
      <c r="P44" s="35">
        <v>97</v>
      </c>
    </row>
    <row r="45" spans="1:16">
      <c r="A45" s="35">
        <v>654</v>
      </c>
      <c r="B45" s="36">
        <v>40573</v>
      </c>
      <c r="C45" s="35">
        <v>1</v>
      </c>
      <c r="D45" s="35">
        <v>0</v>
      </c>
      <c r="E45" s="35">
        <v>1</v>
      </c>
      <c r="F45" s="35">
        <v>13</v>
      </c>
      <c r="G45" s="35" t="b">
        <v>0</v>
      </c>
      <c r="H45" s="35">
        <v>0</v>
      </c>
      <c r="I45" s="35">
        <v>1</v>
      </c>
      <c r="J45" s="35">
        <v>0.28000000000000003</v>
      </c>
      <c r="K45" s="35">
        <v>0.28789999999999999</v>
      </c>
      <c r="L45" s="35">
        <v>0.61</v>
      </c>
      <c r="M45" s="35">
        <v>0.1045</v>
      </c>
      <c r="N45" s="35">
        <v>13</v>
      </c>
      <c r="O45" s="35">
        <v>71</v>
      </c>
      <c r="P45" s="35">
        <v>84</v>
      </c>
    </row>
    <row r="46" spans="1:16">
      <c r="A46" s="35">
        <v>655</v>
      </c>
      <c r="B46" s="36">
        <v>40573</v>
      </c>
      <c r="C46" s="35">
        <v>1</v>
      </c>
      <c r="D46" s="35">
        <v>0</v>
      </c>
      <c r="E46" s="35">
        <v>1</v>
      </c>
      <c r="F46" s="35">
        <v>14</v>
      </c>
      <c r="G46" s="35" t="b">
        <v>0</v>
      </c>
      <c r="H46" s="35">
        <v>0</v>
      </c>
      <c r="I46" s="35">
        <v>1</v>
      </c>
      <c r="J46" s="35">
        <v>0.28000000000000003</v>
      </c>
      <c r="K46" s="35">
        <v>0.30299999999999999</v>
      </c>
      <c r="L46" s="35">
        <v>0.61</v>
      </c>
      <c r="M46" s="35">
        <v>8.9599999999999999E-2</v>
      </c>
      <c r="N46" s="35">
        <v>18</v>
      </c>
      <c r="O46" s="35">
        <v>104</v>
      </c>
      <c r="P46" s="35">
        <v>122</v>
      </c>
    </row>
    <row r="47" spans="1:16">
      <c r="A47" s="35">
        <v>656</v>
      </c>
      <c r="B47" s="36">
        <v>40573</v>
      </c>
      <c r="C47" s="35">
        <v>1</v>
      </c>
      <c r="D47" s="35">
        <v>0</v>
      </c>
      <c r="E47" s="35">
        <v>1</v>
      </c>
      <c r="F47" s="35">
        <v>15</v>
      </c>
      <c r="G47" s="35" t="b">
        <v>0</v>
      </c>
      <c r="H47" s="35">
        <v>0</v>
      </c>
      <c r="I47" s="35">
        <v>1</v>
      </c>
      <c r="J47" s="35">
        <v>0.3</v>
      </c>
      <c r="K47" s="35">
        <v>0.33329999999999999</v>
      </c>
      <c r="L47" s="35">
        <v>0.56000000000000005</v>
      </c>
      <c r="M47" s="35">
        <v>0</v>
      </c>
      <c r="N47" s="35">
        <v>14</v>
      </c>
      <c r="O47" s="35">
        <v>95</v>
      </c>
      <c r="P47" s="35">
        <v>109</v>
      </c>
    </row>
    <row r="48" spans="1:16">
      <c r="A48" s="35">
        <v>657</v>
      </c>
      <c r="B48" s="36">
        <v>40573</v>
      </c>
      <c r="C48" s="35">
        <v>1</v>
      </c>
      <c r="D48" s="35">
        <v>0</v>
      </c>
      <c r="E48" s="35">
        <v>1</v>
      </c>
      <c r="F48" s="35">
        <v>16</v>
      </c>
      <c r="G48" s="35" t="b">
        <v>0</v>
      </c>
      <c r="H48" s="35">
        <v>0</v>
      </c>
      <c r="I48" s="35">
        <v>1</v>
      </c>
      <c r="J48" s="35">
        <v>0.3</v>
      </c>
      <c r="K48" s="35">
        <v>0.33329999999999999</v>
      </c>
      <c r="L48" s="35">
        <v>0.56000000000000005</v>
      </c>
      <c r="M48" s="35">
        <v>0</v>
      </c>
      <c r="N48" s="35">
        <v>19</v>
      </c>
      <c r="O48" s="35">
        <v>104</v>
      </c>
      <c r="P48" s="35">
        <v>123</v>
      </c>
    </row>
    <row r="49" spans="1:16">
      <c r="A49" s="35">
        <v>658</v>
      </c>
      <c r="B49" s="36">
        <v>40573</v>
      </c>
      <c r="C49" s="35">
        <v>1</v>
      </c>
      <c r="D49" s="35">
        <v>0</v>
      </c>
      <c r="E49" s="35">
        <v>1</v>
      </c>
      <c r="F49" s="35">
        <v>17</v>
      </c>
      <c r="G49" s="35" t="b">
        <v>0</v>
      </c>
      <c r="H49" s="35">
        <v>0</v>
      </c>
      <c r="I49" s="35">
        <v>1</v>
      </c>
      <c r="J49" s="35">
        <v>0.3</v>
      </c>
      <c r="K49" s="35">
        <v>0.28789999999999999</v>
      </c>
      <c r="L49" s="35">
        <v>0.56000000000000005</v>
      </c>
      <c r="M49" s="35">
        <v>0.19400000000000001</v>
      </c>
      <c r="N49" s="35">
        <v>6</v>
      </c>
      <c r="O49" s="35">
        <v>71</v>
      </c>
      <c r="P49" s="35">
        <v>77</v>
      </c>
    </row>
    <row r="50" spans="1:16">
      <c r="A50" s="35">
        <v>659</v>
      </c>
      <c r="B50" s="36">
        <v>40573</v>
      </c>
      <c r="C50" s="35">
        <v>1</v>
      </c>
      <c r="D50" s="35">
        <v>0</v>
      </c>
      <c r="E50" s="35">
        <v>1</v>
      </c>
      <c r="F50" s="35">
        <v>18</v>
      </c>
      <c r="G50" s="35" t="b">
        <v>0</v>
      </c>
      <c r="H50" s="35">
        <v>0</v>
      </c>
      <c r="I50" s="35">
        <v>1</v>
      </c>
      <c r="J50" s="35">
        <v>0.26</v>
      </c>
      <c r="K50" s="35">
        <v>0.2576</v>
      </c>
      <c r="L50" s="35">
        <v>0.65</v>
      </c>
      <c r="M50" s="35">
        <v>0.16420000000000001</v>
      </c>
      <c r="N50" s="35">
        <v>8</v>
      </c>
      <c r="O50" s="35">
        <v>57</v>
      </c>
      <c r="P50" s="35">
        <v>65</v>
      </c>
    </row>
    <row r="51" spans="1:16">
      <c r="A51" s="35">
        <v>660</v>
      </c>
      <c r="B51" s="36">
        <v>40573</v>
      </c>
      <c r="C51" s="35">
        <v>1</v>
      </c>
      <c r="D51" s="35">
        <v>0</v>
      </c>
      <c r="E51" s="35">
        <v>1</v>
      </c>
      <c r="F51" s="35">
        <v>19</v>
      </c>
      <c r="G51" s="35" t="b">
        <v>0</v>
      </c>
      <c r="H51" s="35">
        <v>0</v>
      </c>
      <c r="I51" s="35">
        <v>1</v>
      </c>
      <c r="J51" s="35">
        <v>0.26</v>
      </c>
      <c r="K51" s="35">
        <v>0.2576</v>
      </c>
      <c r="L51" s="35">
        <v>0.65</v>
      </c>
      <c r="M51" s="35">
        <v>0.19400000000000001</v>
      </c>
      <c r="N51" s="35">
        <v>9</v>
      </c>
      <c r="O51" s="35">
        <v>46</v>
      </c>
      <c r="P51" s="35">
        <v>55</v>
      </c>
    </row>
    <row r="52" spans="1:16">
      <c r="A52" s="35">
        <v>661</v>
      </c>
      <c r="B52" s="36">
        <v>40573</v>
      </c>
      <c r="C52" s="35">
        <v>1</v>
      </c>
      <c r="D52" s="35">
        <v>0</v>
      </c>
      <c r="E52" s="35">
        <v>1</v>
      </c>
      <c r="F52" s="35">
        <v>20</v>
      </c>
      <c r="G52" s="35" t="b">
        <v>0</v>
      </c>
      <c r="H52" s="35">
        <v>0</v>
      </c>
      <c r="I52" s="35">
        <v>2</v>
      </c>
      <c r="J52" s="35">
        <v>0.26</v>
      </c>
      <c r="K52" s="35">
        <v>0.2727</v>
      </c>
      <c r="L52" s="35">
        <v>0.65</v>
      </c>
      <c r="M52" s="35">
        <v>0.1045</v>
      </c>
      <c r="N52" s="35">
        <v>3</v>
      </c>
      <c r="O52" s="35">
        <v>30</v>
      </c>
      <c r="P52" s="35">
        <v>33</v>
      </c>
    </row>
    <row r="53" spans="1:16">
      <c r="A53" s="35">
        <v>662</v>
      </c>
      <c r="B53" s="36">
        <v>40573</v>
      </c>
      <c r="C53" s="35">
        <v>1</v>
      </c>
      <c r="D53" s="35">
        <v>0</v>
      </c>
      <c r="E53" s="35">
        <v>1</v>
      </c>
      <c r="F53" s="35">
        <v>21</v>
      </c>
      <c r="G53" s="35" t="b">
        <v>0</v>
      </c>
      <c r="H53" s="35">
        <v>0</v>
      </c>
      <c r="I53" s="35">
        <v>2</v>
      </c>
      <c r="J53" s="35">
        <v>0.24</v>
      </c>
      <c r="K53" s="35">
        <v>0.2424</v>
      </c>
      <c r="L53" s="35">
        <v>0.7</v>
      </c>
      <c r="M53" s="35">
        <v>0.16420000000000001</v>
      </c>
      <c r="N53" s="35">
        <v>3</v>
      </c>
      <c r="O53" s="35">
        <v>25</v>
      </c>
      <c r="P53" s="35">
        <v>28</v>
      </c>
    </row>
    <row r="54" spans="1:16">
      <c r="A54" s="35">
        <v>663</v>
      </c>
      <c r="B54" s="36">
        <v>40573</v>
      </c>
      <c r="C54" s="35">
        <v>1</v>
      </c>
      <c r="D54" s="35">
        <v>0</v>
      </c>
      <c r="E54" s="35">
        <v>1</v>
      </c>
      <c r="F54" s="35">
        <v>22</v>
      </c>
      <c r="G54" s="35" t="b">
        <v>0</v>
      </c>
      <c r="H54" s="35">
        <v>0</v>
      </c>
      <c r="I54" s="35">
        <v>2</v>
      </c>
      <c r="J54" s="35">
        <v>0.24</v>
      </c>
      <c r="K54" s="35">
        <v>0.2273</v>
      </c>
      <c r="L54" s="35">
        <v>0.7</v>
      </c>
      <c r="M54" s="35">
        <v>0.19400000000000001</v>
      </c>
      <c r="N54" s="35">
        <v>2</v>
      </c>
      <c r="O54" s="35">
        <v>19</v>
      </c>
      <c r="P54" s="35">
        <v>21</v>
      </c>
    </row>
    <row r="55" spans="1:16">
      <c r="A55" s="35">
        <v>664</v>
      </c>
      <c r="B55" s="36">
        <v>40573</v>
      </c>
      <c r="C55" s="35">
        <v>1</v>
      </c>
      <c r="D55" s="35">
        <v>0</v>
      </c>
      <c r="E55" s="35">
        <v>1</v>
      </c>
      <c r="F55" s="35">
        <v>23</v>
      </c>
      <c r="G55" s="35" t="b">
        <v>0</v>
      </c>
      <c r="H55" s="35">
        <v>0</v>
      </c>
      <c r="I55" s="35">
        <v>2</v>
      </c>
      <c r="J55" s="35">
        <v>0.24</v>
      </c>
      <c r="K55" s="35">
        <v>0.21210000000000001</v>
      </c>
      <c r="L55" s="35">
        <v>0.65</v>
      </c>
      <c r="M55" s="35">
        <v>0.28360000000000002</v>
      </c>
      <c r="N55" s="35">
        <v>5</v>
      </c>
      <c r="O55" s="35">
        <v>16</v>
      </c>
      <c r="P55" s="35">
        <v>21</v>
      </c>
    </row>
    <row r="56" spans="1:16">
      <c r="A56" s="35">
        <v>665</v>
      </c>
      <c r="B56" s="36">
        <v>40574</v>
      </c>
      <c r="C56" s="35">
        <v>1</v>
      </c>
      <c r="D56" s="35">
        <v>0</v>
      </c>
      <c r="E56" s="35">
        <v>1</v>
      </c>
      <c r="F56" s="35">
        <v>0</v>
      </c>
      <c r="G56" s="35" t="b">
        <v>0</v>
      </c>
      <c r="H56" s="35">
        <v>1</v>
      </c>
      <c r="I56" s="35">
        <v>2</v>
      </c>
      <c r="J56" s="35">
        <v>0.24</v>
      </c>
      <c r="K56" s="35">
        <v>0.2273</v>
      </c>
      <c r="L56" s="35">
        <v>0.65</v>
      </c>
      <c r="M56" s="35">
        <v>0.22389999999999999</v>
      </c>
      <c r="N56" s="35">
        <v>1</v>
      </c>
      <c r="O56" s="35">
        <v>6</v>
      </c>
      <c r="P56" s="35">
        <v>7</v>
      </c>
    </row>
    <row r="57" spans="1:16">
      <c r="A57" s="35">
        <v>666</v>
      </c>
      <c r="B57" s="36">
        <v>40574</v>
      </c>
      <c r="C57" s="35">
        <v>1</v>
      </c>
      <c r="D57" s="35">
        <v>0</v>
      </c>
      <c r="E57" s="35">
        <v>1</v>
      </c>
      <c r="F57" s="35">
        <v>1</v>
      </c>
      <c r="G57" s="35" t="b">
        <v>0</v>
      </c>
      <c r="H57" s="35">
        <v>1</v>
      </c>
      <c r="I57" s="35">
        <v>1</v>
      </c>
      <c r="J57" s="35">
        <v>0.22</v>
      </c>
      <c r="K57" s="35">
        <v>0.21210000000000001</v>
      </c>
      <c r="L57" s="35">
        <v>0.64</v>
      </c>
      <c r="M57" s="35">
        <v>0.25369999999999998</v>
      </c>
      <c r="N57" s="35">
        <v>2</v>
      </c>
      <c r="O57" s="35">
        <v>5</v>
      </c>
      <c r="P57" s="35">
        <v>7</v>
      </c>
    </row>
    <row r="58" spans="1:16">
      <c r="A58" s="35">
        <v>667</v>
      </c>
      <c r="B58" s="36">
        <v>40574</v>
      </c>
      <c r="C58" s="35">
        <v>1</v>
      </c>
      <c r="D58" s="35">
        <v>0</v>
      </c>
      <c r="E58" s="35">
        <v>1</v>
      </c>
      <c r="F58" s="35">
        <v>2</v>
      </c>
      <c r="G58" s="35" t="b">
        <v>0</v>
      </c>
      <c r="H58" s="35">
        <v>1</v>
      </c>
      <c r="I58" s="35">
        <v>1</v>
      </c>
      <c r="J58" s="35">
        <v>0.22</v>
      </c>
      <c r="K58" s="35">
        <v>0.2273</v>
      </c>
      <c r="L58" s="35">
        <v>0.64</v>
      </c>
      <c r="M58" s="35">
        <v>0.19400000000000001</v>
      </c>
      <c r="N58" s="35">
        <v>0</v>
      </c>
      <c r="O58" s="35">
        <v>1</v>
      </c>
      <c r="P58" s="35">
        <v>1</v>
      </c>
    </row>
    <row r="59" spans="1:16">
      <c r="A59" s="35">
        <v>668</v>
      </c>
      <c r="B59" s="36">
        <v>40574</v>
      </c>
      <c r="C59" s="35">
        <v>1</v>
      </c>
      <c r="D59" s="35">
        <v>0</v>
      </c>
      <c r="E59" s="35">
        <v>1</v>
      </c>
      <c r="F59" s="35">
        <v>3</v>
      </c>
      <c r="G59" s="35" t="b">
        <v>0</v>
      </c>
      <c r="H59" s="35">
        <v>1</v>
      </c>
      <c r="I59" s="35">
        <v>1</v>
      </c>
      <c r="J59" s="35">
        <v>0.22</v>
      </c>
      <c r="K59" s="35">
        <v>0.2273</v>
      </c>
      <c r="L59" s="35">
        <v>0.64</v>
      </c>
      <c r="M59" s="35">
        <v>0.19400000000000001</v>
      </c>
      <c r="N59" s="35">
        <v>0</v>
      </c>
      <c r="O59" s="35">
        <v>2</v>
      </c>
      <c r="P59" s="35">
        <v>2</v>
      </c>
    </row>
    <row r="60" spans="1:16">
      <c r="A60" s="35">
        <v>669</v>
      </c>
      <c r="B60" s="36">
        <v>40574</v>
      </c>
      <c r="C60" s="35">
        <v>1</v>
      </c>
      <c r="D60" s="35">
        <v>0</v>
      </c>
      <c r="E60" s="35">
        <v>1</v>
      </c>
      <c r="F60" s="35">
        <v>4</v>
      </c>
      <c r="G60" s="35" t="b">
        <v>0</v>
      </c>
      <c r="H60" s="35">
        <v>1</v>
      </c>
      <c r="I60" s="35">
        <v>1</v>
      </c>
      <c r="J60" s="35">
        <v>0.2</v>
      </c>
      <c r="K60" s="35">
        <v>0.19700000000000001</v>
      </c>
      <c r="L60" s="35">
        <v>0.59</v>
      </c>
      <c r="M60" s="35">
        <v>0.22389999999999999</v>
      </c>
      <c r="N60" s="35">
        <v>0</v>
      </c>
      <c r="O60" s="35">
        <v>2</v>
      </c>
      <c r="P60" s="35">
        <v>2</v>
      </c>
    </row>
    <row r="61" spans="1:16">
      <c r="A61" s="35">
        <v>670</v>
      </c>
      <c r="B61" s="36">
        <v>40574</v>
      </c>
      <c r="C61" s="35">
        <v>1</v>
      </c>
      <c r="D61" s="35">
        <v>0</v>
      </c>
      <c r="E61" s="35">
        <v>1</v>
      </c>
      <c r="F61" s="35">
        <v>5</v>
      </c>
      <c r="G61" s="35" t="b">
        <v>0</v>
      </c>
      <c r="H61" s="35">
        <v>1</v>
      </c>
      <c r="I61" s="35">
        <v>1</v>
      </c>
      <c r="J61" s="35">
        <v>0.18</v>
      </c>
      <c r="K61" s="35">
        <v>0.16669999999999999</v>
      </c>
      <c r="L61" s="35">
        <v>0.64</v>
      </c>
      <c r="M61" s="35">
        <v>0.28360000000000002</v>
      </c>
      <c r="N61" s="35">
        <v>0</v>
      </c>
      <c r="O61" s="35">
        <v>8</v>
      </c>
      <c r="P61" s="35">
        <v>8</v>
      </c>
    </row>
    <row r="62" spans="1:16">
      <c r="A62" s="35">
        <v>671</v>
      </c>
      <c r="B62" s="36">
        <v>40574</v>
      </c>
      <c r="C62" s="35">
        <v>1</v>
      </c>
      <c r="D62" s="35">
        <v>0</v>
      </c>
      <c r="E62" s="35">
        <v>1</v>
      </c>
      <c r="F62" s="35">
        <v>6</v>
      </c>
      <c r="G62" s="35" t="b">
        <v>0</v>
      </c>
      <c r="H62" s="35">
        <v>1</v>
      </c>
      <c r="I62" s="35">
        <v>1</v>
      </c>
      <c r="J62" s="35">
        <v>0.16</v>
      </c>
      <c r="K62" s="35">
        <v>0.13639999999999999</v>
      </c>
      <c r="L62" s="35">
        <v>0.69</v>
      </c>
      <c r="M62" s="35">
        <v>0.32840000000000003</v>
      </c>
      <c r="N62" s="35">
        <v>0</v>
      </c>
      <c r="O62" s="35">
        <v>37</v>
      </c>
      <c r="P62" s="35">
        <v>37</v>
      </c>
    </row>
    <row r="63" spans="1:16">
      <c r="A63" s="35">
        <v>672</v>
      </c>
      <c r="B63" s="36">
        <v>40574</v>
      </c>
      <c r="C63" s="35">
        <v>1</v>
      </c>
      <c r="D63" s="35">
        <v>0</v>
      </c>
      <c r="E63" s="35">
        <v>1</v>
      </c>
      <c r="F63" s="35">
        <v>7</v>
      </c>
      <c r="G63" s="35" t="b">
        <v>0</v>
      </c>
      <c r="H63" s="35">
        <v>1</v>
      </c>
      <c r="I63" s="35">
        <v>2</v>
      </c>
      <c r="J63" s="35">
        <v>0.16</v>
      </c>
      <c r="K63" s="35">
        <v>0.13639999999999999</v>
      </c>
      <c r="L63" s="35">
        <v>0.64</v>
      </c>
      <c r="M63" s="35">
        <v>0.28360000000000002</v>
      </c>
      <c r="N63" s="35">
        <v>1</v>
      </c>
      <c r="O63" s="35">
        <v>71</v>
      </c>
      <c r="P63" s="35">
        <v>72</v>
      </c>
    </row>
    <row r="64" spans="1:16">
      <c r="A64" s="35">
        <v>673</v>
      </c>
      <c r="B64" s="36">
        <v>40574</v>
      </c>
      <c r="C64" s="35">
        <v>1</v>
      </c>
      <c r="D64" s="35">
        <v>0</v>
      </c>
      <c r="E64" s="35">
        <v>1</v>
      </c>
      <c r="F64" s="35">
        <v>8</v>
      </c>
      <c r="G64" s="35" t="b">
        <v>0</v>
      </c>
      <c r="H64" s="35">
        <v>1</v>
      </c>
      <c r="I64" s="35">
        <v>2</v>
      </c>
      <c r="J64" s="35">
        <v>0.16</v>
      </c>
      <c r="K64" s="35">
        <v>0.13639999999999999</v>
      </c>
      <c r="L64" s="35">
        <v>0.59</v>
      </c>
      <c r="M64" s="35">
        <v>0.28360000000000002</v>
      </c>
      <c r="N64" s="35">
        <v>3</v>
      </c>
      <c r="O64" s="35">
        <v>182</v>
      </c>
      <c r="P64" s="35">
        <v>185</v>
      </c>
    </row>
    <row r="65" spans="1:16">
      <c r="A65" s="35">
        <v>674</v>
      </c>
      <c r="B65" s="36">
        <v>40574</v>
      </c>
      <c r="C65" s="35">
        <v>1</v>
      </c>
      <c r="D65" s="35">
        <v>0</v>
      </c>
      <c r="E65" s="35">
        <v>1</v>
      </c>
      <c r="F65" s="35">
        <v>9</v>
      </c>
      <c r="G65" s="35" t="b">
        <v>0</v>
      </c>
      <c r="H65" s="35">
        <v>1</v>
      </c>
      <c r="I65" s="35">
        <v>2</v>
      </c>
      <c r="J65" s="35">
        <v>0.16</v>
      </c>
      <c r="K65" s="35">
        <v>0.13639999999999999</v>
      </c>
      <c r="L65" s="35">
        <v>0.59</v>
      </c>
      <c r="M65" s="35">
        <v>0.29849999999999999</v>
      </c>
      <c r="N65" s="35">
        <v>0</v>
      </c>
      <c r="O65" s="35">
        <v>112</v>
      </c>
      <c r="P65" s="35">
        <v>112</v>
      </c>
    </row>
    <row r="66" spans="1:16">
      <c r="A66" s="35">
        <v>675</v>
      </c>
      <c r="B66" s="36">
        <v>40574</v>
      </c>
      <c r="C66" s="35">
        <v>1</v>
      </c>
      <c r="D66" s="35">
        <v>0</v>
      </c>
      <c r="E66" s="35">
        <v>1</v>
      </c>
      <c r="F66" s="35">
        <v>10</v>
      </c>
      <c r="G66" s="35" t="b">
        <v>0</v>
      </c>
      <c r="H66" s="35">
        <v>1</v>
      </c>
      <c r="I66" s="35">
        <v>2</v>
      </c>
      <c r="J66" s="35">
        <v>0.16</v>
      </c>
      <c r="K66" s="35">
        <v>0.1515</v>
      </c>
      <c r="L66" s="35">
        <v>0.59</v>
      </c>
      <c r="M66" s="35">
        <v>0.19400000000000001</v>
      </c>
      <c r="N66" s="35">
        <v>1</v>
      </c>
      <c r="O66" s="35">
        <v>68</v>
      </c>
      <c r="P66" s="35">
        <v>69</v>
      </c>
    </row>
    <row r="67" spans="1:16">
      <c r="A67" s="35">
        <v>676</v>
      </c>
      <c r="B67" s="36">
        <v>40574</v>
      </c>
      <c r="C67" s="35">
        <v>1</v>
      </c>
      <c r="D67" s="35">
        <v>0</v>
      </c>
      <c r="E67" s="35">
        <v>1</v>
      </c>
      <c r="F67" s="35">
        <v>11</v>
      </c>
      <c r="G67" s="35" t="b">
        <v>0</v>
      </c>
      <c r="H67" s="35">
        <v>1</v>
      </c>
      <c r="I67" s="35">
        <v>2</v>
      </c>
      <c r="J67" s="35">
        <v>0.16</v>
      </c>
      <c r="K67" s="35">
        <v>0.1515</v>
      </c>
      <c r="L67" s="35">
        <v>0.59</v>
      </c>
      <c r="M67" s="35">
        <v>0.19400000000000001</v>
      </c>
      <c r="N67" s="35">
        <v>2</v>
      </c>
      <c r="O67" s="35">
        <v>46</v>
      </c>
      <c r="P67" s="35">
        <v>48</v>
      </c>
    </row>
    <row r="68" spans="1:16">
      <c r="A68" s="35">
        <v>677</v>
      </c>
      <c r="B68" s="36">
        <v>40574</v>
      </c>
      <c r="C68" s="35">
        <v>1</v>
      </c>
      <c r="D68" s="35">
        <v>0</v>
      </c>
      <c r="E68" s="35">
        <v>1</v>
      </c>
      <c r="F68" s="35">
        <v>12</v>
      </c>
      <c r="G68" s="35" t="b">
        <v>0</v>
      </c>
      <c r="H68" s="35">
        <v>1</v>
      </c>
      <c r="I68" s="35">
        <v>2</v>
      </c>
      <c r="J68" s="35">
        <v>0.18</v>
      </c>
      <c r="K68" s="35">
        <v>0.21210000000000001</v>
      </c>
      <c r="L68" s="35">
        <v>0.55000000000000004</v>
      </c>
      <c r="M68" s="35">
        <v>0.1045</v>
      </c>
      <c r="N68" s="35">
        <v>6</v>
      </c>
      <c r="O68" s="35">
        <v>62</v>
      </c>
      <c r="P68" s="35">
        <v>68</v>
      </c>
    </row>
    <row r="69" spans="1:16">
      <c r="A69" s="35">
        <v>678</v>
      </c>
      <c r="B69" s="36">
        <v>40574</v>
      </c>
      <c r="C69" s="35">
        <v>1</v>
      </c>
      <c r="D69" s="35">
        <v>0</v>
      </c>
      <c r="E69" s="35">
        <v>1</v>
      </c>
      <c r="F69" s="35">
        <v>13</v>
      </c>
      <c r="G69" s="35" t="b">
        <v>0</v>
      </c>
      <c r="H69" s="35">
        <v>1</v>
      </c>
      <c r="I69" s="35">
        <v>2</v>
      </c>
      <c r="J69" s="35">
        <v>0.16</v>
      </c>
      <c r="K69" s="35">
        <v>0.2273</v>
      </c>
      <c r="L69" s="35">
        <v>0.59</v>
      </c>
      <c r="M69" s="35">
        <v>0</v>
      </c>
      <c r="N69" s="35">
        <v>2</v>
      </c>
      <c r="O69" s="35">
        <v>52</v>
      </c>
      <c r="P69" s="35">
        <v>54</v>
      </c>
    </row>
    <row r="70" spans="1:16">
      <c r="A70" s="35">
        <v>679</v>
      </c>
      <c r="B70" s="36">
        <v>40574</v>
      </c>
      <c r="C70" s="35">
        <v>1</v>
      </c>
      <c r="D70" s="35">
        <v>0</v>
      </c>
      <c r="E70" s="35">
        <v>1</v>
      </c>
      <c r="F70" s="35">
        <v>14</v>
      </c>
      <c r="G70" s="35" t="b">
        <v>0</v>
      </c>
      <c r="H70" s="35">
        <v>1</v>
      </c>
      <c r="I70" s="35">
        <v>2</v>
      </c>
      <c r="J70" s="35">
        <v>0.18</v>
      </c>
      <c r="K70" s="35">
        <v>0.19700000000000001</v>
      </c>
      <c r="L70" s="35">
        <v>0.55000000000000004</v>
      </c>
      <c r="M70" s="35">
        <v>0.1343</v>
      </c>
      <c r="N70" s="35">
        <v>1</v>
      </c>
      <c r="O70" s="35">
        <v>85</v>
      </c>
      <c r="P70" s="35">
        <v>86</v>
      </c>
    </row>
    <row r="71" spans="1:16">
      <c r="A71" s="35">
        <v>680</v>
      </c>
      <c r="B71" s="36">
        <v>40574</v>
      </c>
      <c r="C71" s="35">
        <v>1</v>
      </c>
      <c r="D71" s="35">
        <v>0</v>
      </c>
      <c r="E71" s="35">
        <v>1</v>
      </c>
      <c r="F71" s="35">
        <v>15</v>
      </c>
      <c r="G71" s="35" t="b">
        <v>0</v>
      </c>
      <c r="H71" s="35">
        <v>1</v>
      </c>
      <c r="I71" s="35">
        <v>2</v>
      </c>
      <c r="J71" s="35">
        <v>0.16</v>
      </c>
      <c r="K71" s="35">
        <v>0.18179999999999999</v>
      </c>
      <c r="L71" s="35">
        <v>0.59</v>
      </c>
      <c r="M71" s="35">
        <v>0.1343</v>
      </c>
      <c r="N71" s="35">
        <v>3</v>
      </c>
      <c r="O71" s="35">
        <v>41</v>
      </c>
      <c r="P71" s="35">
        <v>44</v>
      </c>
    </row>
    <row r="72" spans="1:16">
      <c r="A72" s="35">
        <v>681</v>
      </c>
      <c r="B72" s="36">
        <v>40574</v>
      </c>
      <c r="C72" s="35">
        <v>1</v>
      </c>
      <c r="D72" s="35">
        <v>0</v>
      </c>
      <c r="E72" s="35">
        <v>1</v>
      </c>
      <c r="F72" s="35">
        <v>16</v>
      </c>
      <c r="G72" s="35" t="b">
        <v>0</v>
      </c>
      <c r="H72" s="35">
        <v>1</v>
      </c>
      <c r="I72" s="35">
        <v>2</v>
      </c>
      <c r="J72" s="35">
        <v>0.16</v>
      </c>
      <c r="K72" s="35">
        <v>0.18179999999999999</v>
      </c>
      <c r="L72" s="35">
        <v>0.56000000000000005</v>
      </c>
      <c r="M72" s="35">
        <v>0.19400000000000001</v>
      </c>
      <c r="N72" s="35">
        <v>3</v>
      </c>
      <c r="O72" s="35">
        <v>83</v>
      </c>
      <c r="P72" s="35">
        <v>86</v>
      </c>
    </row>
    <row r="73" spans="1:16">
      <c r="A73" s="35">
        <v>682</v>
      </c>
      <c r="B73" s="36">
        <v>40574</v>
      </c>
      <c r="C73" s="35">
        <v>1</v>
      </c>
      <c r="D73" s="35">
        <v>0</v>
      </c>
      <c r="E73" s="35">
        <v>1</v>
      </c>
      <c r="F73" s="35">
        <v>17</v>
      </c>
      <c r="G73" s="35" t="b">
        <v>0</v>
      </c>
      <c r="H73" s="35">
        <v>1</v>
      </c>
      <c r="I73" s="35">
        <v>2</v>
      </c>
      <c r="J73" s="35">
        <v>0.16</v>
      </c>
      <c r="K73" s="35">
        <v>0.1515</v>
      </c>
      <c r="L73" s="35">
        <v>0.59</v>
      </c>
      <c r="M73" s="35">
        <v>0.19400000000000001</v>
      </c>
      <c r="N73" s="35">
        <v>6</v>
      </c>
      <c r="O73" s="35">
        <v>155</v>
      </c>
      <c r="P73" s="35">
        <v>161</v>
      </c>
    </row>
    <row r="74" spans="1:16">
      <c r="A74" s="35">
        <v>683</v>
      </c>
      <c r="B74" s="36">
        <v>40574</v>
      </c>
      <c r="C74" s="35">
        <v>1</v>
      </c>
      <c r="D74" s="35">
        <v>0</v>
      </c>
      <c r="E74" s="35">
        <v>1</v>
      </c>
      <c r="F74" s="35">
        <v>18</v>
      </c>
      <c r="G74" s="35" t="b">
        <v>0</v>
      </c>
      <c r="H74" s="35">
        <v>1</v>
      </c>
      <c r="I74" s="35">
        <v>2</v>
      </c>
      <c r="J74" s="35">
        <v>0.16</v>
      </c>
      <c r="K74" s="35">
        <v>0.1515</v>
      </c>
      <c r="L74" s="35">
        <v>0.55000000000000004</v>
      </c>
      <c r="M74" s="35">
        <v>0.22389999999999999</v>
      </c>
      <c r="N74" s="35">
        <v>3</v>
      </c>
      <c r="O74" s="35">
        <v>153</v>
      </c>
      <c r="P74" s="35">
        <v>156</v>
      </c>
    </row>
    <row r="75" spans="1:16">
      <c r="A75" s="35">
        <v>684</v>
      </c>
      <c r="B75" s="36">
        <v>40574</v>
      </c>
      <c r="C75" s="35">
        <v>1</v>
      </c>
      <c r="D75" s="35">
        <v>0</v>
      </c>
      <c r="E75" s="35">
        <v>1</v>
      </c>
      <c r="F75" s="35">
        <v>19</v>
      </c>
      <c r="G75" s="35" t="b">
        <v>0</v>
      </c>
      <c r="H75" s="35">
        <v>1</v>
      </c>
      <c r="I75" s="35">
        <v>1</v>
      </c>
      <c r="J75" s="35">
        <v>0.3</v>
      </c>
      <c r="K75" s="35">
        <v>0.31819999999999998</v>
      </c>
      <c r="L75" s="35">
        <v>0.61</v>
      </c>
      <c r="M75" s="35">
        <v>0.1045</v>
      </c>
      <c r="N75" s="35">
        <v>3</v>
      </c>
      <c r="O75" s="35">
        <v>108</v>
      </c>
      <c r="P75" s="35">
        <v>111</v>
      </c>
    </row>
    <row r="76" spans="1:16">
      <c r="A76" s="35">
        <v>685</v>
      </c>
      <c r="B76" s="36">
        <v>40574</v>
      </c>
      <c r="C76" s="35">
        <v>1</v>
      </c>
      <c r="D76" s="35">
        <v>0</v>
      </c>
      <c r="E76" s="35">
        <v>1</v>
      </c>
      <c r="F76" s="35">
        <v>20</v>
      </c>
      <c r="G76" s="35" t="b">
        <v>0</v>
      </c>
      <c r="H76" s="35">
        <v>1</v>
      </c>
      <c r="I76" s="35">
        <v>3</v>
      </c>
      <c r="J76" s="35">
        <v>0.16</v>
      </c>
      <c r="K76" s="35">
        <v>0.16669999999999999</v>
      </c>
      <c r="L76" s="35">
        <v>0.59</v>
      </c>
      <c r="M76" s="35">
        <v>0.16420000000000001</v>
      </c>
      <c r="N76" s="35">
        <v>0</v>
      </c>
      <c r="O76" s="35">
        <v>78</v>
      </c>
      <c r="P76" s="35">
        <v>78</v>
      </c>
    </row>
    <row r="77" spans="1:16">
      <c r="A77" s="35">
        <v>686</v>
      </c>
      <c r="B77" s="36">
        <v>40574</v>
      </c>
      <c r="C77" s="35">
        <v>1</v>
      </c>
      <c r="D77" s="35">
        <v>0</v>
      </c>
      <c r="E77" s="35">
        <v>1</v>
      </c>
      <c r="F77" s="35">
        <v>21</v>
      </c>
      <c r="G77" s="35" t="b">
        <v>0</v>
      </c>
      <c r="H77" s="35">
        <v>1</v>
      </c>
      <c r="I77" s="35">
        <v>3</v>
      </c>
      <c r="J77" s="35">
        <v>0.16</v>
      </c>
      <c r="K77" s="35">
        <v>0.19700000000000001</v>
      </c>
      <c r="L77" s="35">
        <v>0.59</v>
      </c>
      <c r="M77" s="35">
        <v>8.9599999999999999E-2</v>
      </c>
      <c r="N77" s="35">
        <v>3</v>
      </c>
      <c r="O77" s="35">
        <v>53</v>
      </c>
      <c r="P77" s="35">
        <v>56</v>
      </c>
    </row>
    <row r="78" spans="1:16">
      <c r="A78" s="35">
        <v>687</v>
      </c>
      <c r="B78" s="36">
        <v>40574</v>
      </c>
      <c r="C78" s="35">
        <v>1</v>
      </c>
      <c r="D78" s="35">
        <v>0</v>
      </c>
      <c r="E78" s="35">
        <v>1</v>
      </c>
      <c r="F78" s="35">
        <v>22</v>
      </c>
      <c r="G78" s="35" t="b">
        <v>0</v>
      </c>
      <c r="H78" s="35">
        <v>1</v>
      </c>
      <c r="I78" s="35">
        <v>2</v>
      </c>
      <c r="J78" s="35">
        <v>0.16</v>
      </c>
      <c r="K78" s="35">
        <v>0.18179999999999999</v>
      </c>
      <c r="L78" s="35">
        <v>0.59</v>
      </c>
      <c r="M78" s="35">
        <v>0.1045</v>
      </c>
      <c r="N78" s="35">
        <v>0</v>
      </c>
      <c r="O78" s="35">
        <v>34</v>
      </c>
      <c r="P78" s="35">
        <v>34</v>
      </c>
    </row>
    <row r="79" spans="1:16">
      <c r="A79" s="35">
        <v>688</v>
      </c>
      <c r="B79" s="36">
        <v>40574</v>
      </c>
      <c r="C79" s="35">
        <v>1</v>
      </c>
      <c r="D79" s="35">
        <v>0</v>
      </c>
      <c r="E79" s="35">
        <v>1</v>
      </c>
      <c r="F79" s="35">
        <v>23</v>
      </c>
      <c r="G79" s="35" t="b">
        <v>0</v>
      </c>
      <c r="H79" s="35">
        <v>1</v>
      </c>
      <c r="I79" s="35">
        <v>2</v>
      </c>
      <c r="J79" s="35">
        <v>0.16</v>
      </c>
      <c r="K79" s="35">
        <v>0.19700000000000001</v>
      </c>
      <c r="L79" s="35">
        <v>0.64</v>
      </c>
      <c r="M79" s="35">
        <v>8.9599999999999999E-2</v>
      </c>
      <c r="N79" s="35">
        <v>2</v>
      </c>
      <c r="O79" s="35">
        <v>15</v>
      </c>
      <c r="P79" s="35">
        <v>17</v>
      </c>
    </row>
    <row r="80" spans="1:16">
      <c r="A80" s="35">
        <v>689</v>
      </c>
      <c r="B80" s="36">
        <v>40575</v>
      </c>
      <c r="C80" s="35">
        <v>1</v>
      </c>
      <c r="D80" s="35">
        <v>0</v>
      </c>
      <c r="E80" s="35">
        <v>2</v>
      </c>
      <c r="F80" s="35">
        <v>0</v>
      </c>
      <c r="G80" s="35" t="b">
        <v>0</v>
      </c>
      <c r="H80" s="35">
        <v>2</v>
      </c>
      <c r="I80" s="35">
        <v>2</v>
      </c>
      <c r="J80" s="35">
        <v>0.16</v>
      </c>
      <c r="K80" s="35">
        <v>0.18179999999999999</v>
      </c>
      <c r="L80" s="35">
        <v>0.64</v>
      </c>
      <c r="M80" s="35">
        <v>0.1045</v>
      </c>
      <c r="N80" s="35">
        <v>2</v>
      </c>
      <c r="O80" s="35">
        <v>6</v>
      </c>
      <c r="P80" s="35">
        <v>8</v>
      </c>
    </row>
    <row r="81" spans="1:16">
      <c r="A81" s="35">
        <v>690</v>
      </c>
      <c r="B81" s="36">
        <v>40575</v>
      </c>
      <c r="C81" s="35">
        <v>1</v>
      </c>
      <c r="D81" s="35">
        <v>0</v>
      </c>
      <c r="E81" s="35">
        <v>2</v>
      </c>
      <c r="F81" s="35">
        <v>1</v>
      </c>
      <c r="G81" s="35" t="b">
        <v>0</v>
      </c>
      <c r="H81" s="35">
        <v>2</v>
      </c>
      <c r="I81" s="35">
        <v>2</v>
      </c>
      <c r="J81" s="35">
        <v>0.16</v>
      </c>
      <c r="K81" s="35">
        <v>0.18179999999999999</v>
      </c>
      <c r="L81" s="35">
        <v>0.69</v>
      </c>
      <c r="M81" s="35">
        <v>0.1045</v>
      </c>
      <c r="N81" s="35">
        <v>0</v>
      </c>
      <c r="O81" s="35">
        <v>3</v>
      </c>
      <c r="P81" s="35">
        <v>3</v>
      </c>
    </row>
    <row r="82" spans="1:16">
      <c r="A82" s="35">
        <v>691</v>
      </c>
      <c r="B82" s="36">
        <v>40575</v>
      </c>
      <c r="C82" s="35">
        <v>1</v>
      </c>
      <c r="D82" s="35">
        <v>0</v>
      </c>
      <c r="E82" s="35">
        <v>2</v>
      </c>
      <c r="F82" s="35">
        <v>2</v>
      </c>
      <c r="G82" s="35" t="b">
        <v>0</v>
      </c>
      <c r="H82" s="35">
        <v>2</v>
      </c>
      <c r="I82" s="35">
        <v>2</v>
      </c>
      <c r="J82" s="35">
        <v>0.16</v>
      </c>
      <c r="K82" s="35">
        <v>0.2273</v>
      </c>
      <c r="L82" s="35">
        <v>0.69</v>
      </c>
      <c r="M82" s="35">
        <v>0</v>
      </c>
      <c r="N82" s="35">
        <v>0</v>
      </c>
      <c r="O82" s="35">
        <v>2</v>
      </c>
      <c r="P82" s="35">
        <v>2</v>
      </c>
    </row>
    <row r="83" spans="1:16">
      <c r="A83" s="35">
        <v>692</v>
      </c>
      <c r="B83" s="36">
        <v>40575</v>
      </c>
      <c r="C83" s="35">
        <v>1</v>
      </c>
      <c r="D83" s="35">
        <v>0</v>
      </c>
      <c r="E83" s="35">
        <v>2</v>
      </c>
      <c r="F83" s="35">
        <v>3</v>
      </c>
      <c r="G83" s="35" t="b">
        <v>0</v>
      </c>
      <c r="H83" s="35">
        <v>2</v>
      </c>
      <c r="I83" s="35">
        <v>2</v>
      </c>
      <c r="J83" s="35">
        <v>0.16</v>
      </c>
      <c r="K83" s="35">
        <v>0.2273</v>
      </c>
      <c r="L83" s="35">
        <v>0.69</v>
      </c>
      <c r="M83" s="35">
        <v>0</v>
      </c>
      <c r="N83" s="35">
        <v>0</v>
      </c>
      <c r="O83" s="35">
        <v>2</v>
      </c>
      <c r="P83" s="35">
        <v>2</v>
      </c>
    </row>
    <row r="84" spans="1:16">
      <c r="A84" s="35">
        <v>693</v>
      </c>
      <c r="B84" s="36">
        <v>40575</v>
      </c>
      <c r="C84" s="35">
        <v>1</v>
      </c>
      <c r="D84" s="35">
        <v>0</v>
      </c>
      <c r="E84" s="35">
        <v>2</v>
      </c>
      <c r="F84" s="35">
        <v>5</v>
      </c>
      <c r="G84" s="35" t="b">
        <v>0</v>
      </c>
      <c r="H84" s="35">
        <v>2</v>
      </c>
      <c r="I84" s="35">
        <v>3</v>
      </c>
      <c r="J84" s="35">
        <v>0.14000000000000001</v>
      </c>
      <c r="K84" s="35">
        <v>0.21210000000000001</v>
      </c>
      <c r="L84" s="35">
        <v>0.93</v>
      </c>
      <c r="M84" s="35">
        <v>0</v>
      </c>
      <c r="N84" s="35">
        <v>0</v>
      </c>
      <c r="O84" s="35">
        <v>3</v>
      </c>
      <c r="P84" s="35">
        <v>3</v>
      </c>
    </row>
    <row r="85" spans="1:16">
      <c r="A85" s="35">
        <v>694</v>
      </c>
      <c r="B85" s="36">
        <v>40575</v>
      </c>
      <c r="C85" s="35">
        <v>1</v>
      </c>
      <c r="D85" s="35">
        <v>0</v>
      </c>
      <c r="E85" s="35">
        <v>2</v>
      </c>
      <c r="F85" s="35">
        <v>6</v>
      </c>
      <c r="G85" s="35" t="b">
        <v>0</v>
      </c>
      <c r="H85" s="35">
        <v>2</v>
      </c>
      <c r="I85" s="35">
        <v>3</v>
      </c>
      <c r="J85" s="35">
        <v>0.14000000000000001</v>
      </c>
      <c r="K85" s="35">
        <v>0.21210000000000001</v>
      </c>
      <c r="L85" s="35">
        <v>0.93</v>
      </c>
      <c r="M85" s="35">
        <v>0</v>
      </c>
      <c r="N85" s="35">
        <v>0</v>
      </c>
      <c r="O85" s="35">
        <v>22</v>
      </c>
      <c r="P85" s="35">
        <v>22</v>
      </c>
    </row>
    <row r="86" spans="1:16">
      <c r="A86" s="35">
        <v>695</v>
      </c>
      <c r="B86" s="36">
        <v>40575</v>
      </c>
      <c r="C86" s="35">
        <v>1</v>
      </c>
      <c r="D86" s="35">
        <v>0</v>
      </c>
      <c r="E86" s="35">
        <v>2</v>
      </c>
      <c r="F86" s="35">
        <v>7</v>
      </c>
      <c r="G86" s="35" t="b">
        <v>0</v>
      </c>
      <c r="H86" s="35">
        <v>2</v>
      </c>
      <c r="I86" s="35">
        <v>3</v>
      </c>
      <c r="J86" s="35">
        <v>0.16</v>
      </c>
      <c r="K86" s="35">
        <v>0.2273</v>
      </c>
      <c r="L86" s="35">
        <v>0.93</v>
      </c>
      <c r="M86" s="35">
        <v>0</v>
      </c>
      <c r="N86" s="35">
        <v>0</v>
      </c>
      <c r="O86" s="35">
        <v>52</v>
      </c>
      <c r="P86" s="35">
        <v>52</v>
      </c>
    </row>
    <row r="87" spans="1:16">
      <c r="A87" s="35">
        <v>696</v>
      </c>
      <c r="B87" s="36">
        <v>40575</v>
      </c>
      <c r="C87" s="35">
        <v>1</v>
      </c>
      <c r="D87" s="35">
        <v>0</v>
      </c>
      <c r="E87" s="35">
        <v>2</v>
      </c>
      <c r="F87" s="35">
        <v>8</v>
      </c>
      <c r="G87" s="35" t="b">
        <v>0</v>
      </c>
      <c r="H87" s="35">
        <v>2</v>
      </c>
      <c r="I87" s="35">
        <v>3</v>
      </c>
      <c r="J87" s="35">
        <v>0.16</v>
      </c>
      <c r="K87" s="35">
        <v>0.2273</v>
      </c>
      <c r="L87" s="35">
        <v>0.93</v>
      </c>
      <c r="M87" s="35">
        <v>0</v>
      </c>
      <c r="N87" s="35">
        <v>3</v>
      </c>
      <c r="O87" s="35">
        <v>132</v>
      </c>
      <c r="P87" s="35">
        <v>135</v>
      </c>
    </row>
    <row r="88" spans="1:16">
      <c r="A88" s="35">
        <v>697</v>
      </c>
      <c r="B88" s="36">
        <v>40575</v>
      </c>
      <c r="C88" s="35">
        <v>1</v>
      </c>
      <c r="D88" s="35">
        <v>0</v>
      </c>
      <c r="E88" s="35">
        <v>2</v>
      </c>
      <c r="F88" s="35">
        <v>9</v>
      </c>
      <c r="G88" s="35" t="b">
        <v>0</v>
      </c>
      <c r="H88" s="35">
        <v>2</v>
      </c>
      <c r="I88" s="35">
        <v>2</v>
      </c>
      <c r="J88" s="35">
        <v>0.16</v>
      </c>
      <c r="K88" s="35">
        <v>0.2273</v>
      </c>
      <c r="L88" s="35">
        <v>0.93</v>
      </c>
      <c r="M88" s="35">
        <v>0</v>
      </c>
      <c r="N88" s="35">
        <v>2</v>
      </c>
      <c r="O88" s="35">
        <v>114</v>
      </c>
      <c r="P88" s="35">
        <v>116</v>
      </c>
    </row>
    <row r="89" spans="1:16">
      <c r="A89" s="35">
        <v>698</v>
      </c>
      <c r="B89" s="36">
        <v>40575</v>
      </c>
      <c r="C89" s="35">
        <v>1</v>
      </c>
      <c r="D89" s="35">
        <v>0</v>
      </c>
      <c r="E89" s="35">
        <v>2</v>
      </c>
      <c r="F89" s="35">
        <v>10</v>
      </c>
      <c r="G89" s="35" t="b">
        <v>0</v>
      </c>
      <c r="H89" s="35">
        <v>2</v>
      </c>
      <c r="I89" s="35">
        <v>2</v>
      </c>
      <c r="J89" s="35">
        <v>0.16</v>
      </c>
      <c r="K89" s="35">
        <v>0.2273</v>
      </c>
      <c r="L89" s="35">
        <v>0.93</v>
      </c>
      <c r="M89" s="35">
        <v>0</v>
      </c>
      <c r="N89" s="35">
        <v>0</v>
      </c>
      <c r="O89" s="35">
        <v>47</v>
      </c>
      <c r="P89" s="35">
        <v>47</v>
      </c>
    </row>
    <row r="90" spans="1:16">
      <c r="A90" s="35">
        <v>699</v>
      </c>
      <c r="B90" s="36">
        <v>40575</v>
      </c>
      <c r="C90" s="35">
        <v>1</v>
      </c>
      <c r="D90" s="35">
        <v>0</v>
      </c>
      <c r="E90" s="35">
        <v>2</v>
      </c>
      <c r="F90" s="35">
        <v>11</v>
      </c>
      <c r="G90" s="35" t="b">
        <v>0</v>
      </c>
      <c r="H90" s="35">
        <v>2</v>
      </c>
      <c r="I90" s="35">
        <v>2</v>
      </c>
      <c r="J90" s="35">
        <v>0.18</v>
      </c>
      <c r="K90" s="35">
        <v>0.2424</v>
      </c>
      <c r="L90" s="35">
        <v>0.86</v>
      </c>
      <c r="M90" s="35">
        <v>0</v>
      </c>
      <c r="N90" s="35">
        <v>2</v>
      </c>
      <c r="O90" s="35">
        <v>49</v>
      </c>
      <c r="P90" s="35">
        <v>51</v>
      </c>
    </row>
    <row r="91" spans="1:16">
      <c r="A91" s="35">
        <v>700</v>
      </c>
      <c r="B91" s="36">
        <v>40575</v>
      </c>
      <c r="C91" s="35">
        <v>1</v>
      </c>
      <c r="D91" s="35">
        <v>0</v>
      </c>
      <c r="E91" s="35">
        <v>2</v>
      </c>
      <c r="F91" s="35">
        <v>12</v>
      </c>
      <c r="G91" s="35" t="b">
        <v>0</v>
      </c>
      <c r="H91" s="35">
        <v>2</v>
      </c>
      <c r="I91" s="35">
        <v>2</v>
      </c>
      <c r="J91" s="35">
        <v>0.2</v>
      </c>
      <c r="K91" s="35">
        <v>0.2576</v>
      </c>
      <c r="L91" s="35">
        <v>0.86</v>
      </c>
      <c r="M91" s="35">
        <v>0</v>
      </c>
      <c r="N91" s="35">
        <v>2</v>
      </c>
      <c r="O91" s="35">
        <v>53</v>
      </c>
      <c r="P91" s="35">
        <v>55</v>
      </c>
    </row>
    <row r="92" spans="1:16">
      <c r="A92" s="35">
        <v>701</v>
      </c>
      <c r="B92" s="36">
        <v>40575</v>
      </c>
      <c r="C92" s="35">
        <v>1</v>
      </c>
      <c r="D92" s="35">
        <v>0</v>
      </c>
      <c r="E92" s="35">
        <v>2</v>
      </c>
      <c r="F92" s="35">
        <v>13</v>
      </c>
      <c r="G92" s="35" t="b">
        <v>0</v>
      </c>
      <c r="H92" s="35">
        <v>2</v>
      </c>
      <c r="I92" s="35">
        <v>2</v>
      </c>
      <c r="J92" s="35">
        <v>0.2</v>
      </c>
      <c r="K92" s="35">
        <v>0.2576</v>
      </c>
      <c r="L92" s="35">
        <v>0.86</v>
      </c>
      <c r="M92" s="35">
        <v>0</v>
      </c>
      <c r="N92" s="35">
        <v>3</v>
      </c>
      <c r="O92" s="35">
        <v>49</v>
      </c>
      <c r="P92" s="35">
        <v>52</v>
      </c>
    </row>
    <row r="93" spans="1:16">
      <c r="A93" s="35">
        <v>702</v>
      </c>
      <c r="B93" s="36">
        <v>40575</v>
      </c>
      <c r="C93" s="35">
        <v>1</v>
      </c>
      <c r="D93" s="35">
        <v>0</v>
      </c>
      <c r="E93" s="35">
        <v>2</v>
      </c>
      <c r="F93" s="35">
        <v>14</v>
      </c>
      <c r="G93" s="35" t="b">
        <v>0</v>
      </c>
      <c r="H93" s="35">
        <v>2</v>
      </c>
      <c r="I93" s="35">
        <v>2</v>
      </c>
      <c r="J93" s="35">
        <v>0.22</v>
      </c>
      <c r="K93" s="35">
        <v>0.2576</v>
      </c>
      <c r="L93" s="35">
        <v>0.8</v>
      </c>
      <c r="M93" s="35">
        <v>8.9599999999999999E-2</v>
      </c>
      <c r="N93" s="35">
        <v>5</v>
      </c>
      <c r="O93" s="35">
        <v>49</v>
      </c>
      <c r="P93" s="35">
        <v>54</v>
      </c>
    </row>
    <row r="94" spans="1:16">
      <c r="A94" s="35">
        <v>703</v>
      </c>
      <c r="B94" s="36">
        <v>40575</v>
      </c>
      <c r="C94" s="35">
        <v>1</v>
      </c>
      <c r="D94" s="35">
        <v>0</v>
      </c>
      <c r="E94" s="35">
        <v>2</v>
      </c>
      <c r="F94" s="35">
        <v>15</v>
      </c>
      <c r="G94" s="35" t="b">
        <v>0</v>
      </c>
      <c r="H94" s="35">
        <v>2</v>
      </c>
      <c r="I94" s="35">
        <v>2</v>
      </c>
      <c r="J94" s="35">
        <v>0.24</v>
      </c>
      <c r="K94" s="35">
        <v>0.28789999999999999</v>
      </c>
      <c r="L94" s="35">
        <v>0.75</v>
      </c>
      <c r="M94" s="35">
        <v>0</v>
      </c>
      <c r="N94" s="35">
        <v>7</v>
      </c>
      <c r="O94" s="35">
        <v>45</v>
      </c>
      <c r="P94" s="35">
        <v>52</v>
      </c>
    </row>
    <row r="95" spans="1:16">
      <c r="A95" s="35">
        <v>704</v>
      </c>
      <c r="B95" s="36">
        <v>40575</v>
      </c>
      <c r="C95" s="35">
        <v>1</v>
      </c>
      <c r="D95" s="35">
        <v>0</v>
      </c>
      <c r="E95" s="35">
        <v>2</v>
      </c>
      <c r="F95" s="35">
        <v>16</v>
      </c>
      <c r="G95" s="35" t="b">
        <v>0</v>
      </c>
      <c r="H95" s="35">
        <v>2</v>
      </c>
      <c r="I95" s="35">
        <v>2</v>
      </c>
      <c r="J95" s="35">
        <v>0.24</v>
      </c>
      <c r="K95" s="35">
        <v>0.2424</v>
      </c>
      <c r="L95" s="35">
        <v>0.75</v>
      </c>
      <c r="M95" s="35">
        <v>0.1343</v>
      </c>
      <c r="N95" s="35">
        <v>3</v>
      </c>
      <c r="O95" s="35">
        <v>61</v>
      </c>
      <c r="P95" s="35">
        <v>64</v>
      </c>
    </row>
    <row r="96" spans="1:16">
      <c r="A96" s="35">
        <v>705</v>
      </c>
      <c r="B96" s="36">
        <v>40575</v>
      </c>
      <c r="C96" s="35">
        <v>1</v>
      </c>
      <c r="D96" s="35">
        <v>0</v>
      </c>
      <c r="E96" s="35">
        <v>2</v>
      </c>
      <c r="F96" s="35">
        <v>17</v>
      </c>
      <c r="G96" s="35" t="b">
        <v>0</v>
      </c>
      <c r="H96" s="35">
        <v>2</v>
      </c>
      <c r="I96" s="35">
        <v>2</v>
      </c>
      <c r="J96" s="35">
        <v>0.24</v>
      </c>
      <c r="K96" s="35">
        <v>0.28789999999999999</v>
      </c>
      <c r="L96" s="35">
        <v>0.75</v>
      </c>
      <c r="M96" s="35">
        <v>0</v>
      </c>
      <c r="N96" s="35">
        <v>4</v>
      </c>
      <c r="O96" s="35">
        <v>172</v>
      </c>
      <c r="P96" s="35">
        <v>176</v>
      </c>
    </row>
    <row r="97" spans="1:16">
      <c r="A97" s="35">
        <v>706</v>
      </c>
      <c r="B97" s="36">
        <v>40575</v>
      </c>
      <c r="C97" s="35">
        <v>1</v>
      </c>
      <c r="D97" s="35">
        <v>0</v>
      </c>
      <c r="E97" s="35">
        <v>2</v>
      </c>
      <c r="F97" s="35">
        <v>18</v>
      </c>
      <c r="G97" s="35" t="b">
        <v>0</v>
      </c>
      <c r="H97" s="35">
        <v>2</v>
      </c>
      <c r="I97" s="35">
        <v>2</v>
      </c>
      <c r="J97" s="35">
        <v>0.24</v>
      </c>
      <c r="K97" s="35">
        <v>0.2576</v>
      </c>
      <c r="L97" s="35">
        <v>0.81</v>
      </c>
      <c r="M97" s="35">
        <v>0.1045</v>
      </c>
      <c r="N97" s="35">
        <v>3</v>
      </c>
      <c r="O97" s="35">
        <v>165</v>
      </c>
      <c r="P97" s="35">
        <v>168</v>
      </c>
    </row>
    <row r="98" spans="1:16">
      <c r="A98" s="35">
        <v>707</v>
      </c>
      <c r="B98" s="36">
        <v>40575</v>
      </c>
      <c r="C98" s="35">
        <v>1</v>
      </c>
      <c r="D98" s="35">
        <v>0</v>
      </c>
      <c r="E98" s="35">
        <v>2</v>
      </c>
      <c r="F98" s="35">
        <v>19</v>
      </c>
      <c r="G98" s="35" t="b">
        <v>0</v>
      </c>
      <c r="H98" s="35">
        <v>2</v>
      </c>
      <c r="I98" s="35">
        <v>2</v>
      </c>
      <c r="J98" s="35">
        <v>0.24</v>
      </c>
      <c r="K98" s="35">
        <v>0.2424</v>
      </c>
      <c r="L98" s="35">
        <v>0.81</v>
      </c>
      <c r="M98" s="35">
        <v>0.1343</v>
      </c>
      <c r="N98" s="35">
        <v>3</v>
      </c>
      <c r="O98" s="35">
        <v>105</v>
      </c>
      <c r="P98" s="35">
        <v>108</v>
      </c>
    </row>
    <row r="99" spans="1:16">
      <c r="A99" s="35">
        <v>708</v>
      </c>
      <c r="B99" s="36">
        <v>40575</v>
      </c>
      <c r="C99" s="35">
        <v>1</v>
      </c>
      <c r="D99" s="35">
        <v>0</v>
      </c>
      <c r="E99" s="35">
        <v>2</v>
      </c>
      <c r="F99" s="35">
        <v>20</v>
      </c>
      <c r="G99" s="35" t="b">
        <v>0</v>
      </c>
      <c r="H99" s="35">
        <v>2</v>
      </c>
      <c r="I99" s="35">
        <v>2</v>
      </c>
      <c r="J99" s="35">
        <v>0.22</v>
      </c>
      <c r="K99" s="35">
        <v>0.2273</v>
      </c>
      <c r="L99" s="35">
        <v>0.87</v>
      </c>
      <c r="M99" s="35">
        <v>0.1343</v>
      </c>
      <c r="N99" s="35">
        <v>5</v>
      </c>
      <c r="O99" s="35">
        <v>69</v>
      </c>
      <c r="P99" s="35">
        <v>74</v>
      </c>
    </row>
    <row r="100" spans="1:16">
      <c r="A100" s="35">
        <v>709</v>
      </c>
      <c r="B100" s="36">
        <v>40575</v>
      </c>
      <c r="C100" s="35">
        <v>1</v>
      </c>
      <c r="D100" s="35">
        <v>0</v>
      </c>
      <c r="E100" s="35">
        <v>2</v>
      </c>
      <c r="F100" s="35">
        <v>21</v>
      </c>
      <c r="G100" s="35" t="b">
        <v>0</v>
      </c>
      <c r="H100" s="35">
        <v>2</v>
      </c>
      <c r="I100" s="35">
        <v>2</v>
      </c>
      <c r="J100" s="35">
        <v>0.22</v>
      </c>
      <c r="K100" s="35">
        <v>0.2273</v>
      </c>
      <c r="L100" s="35">
        <v>0.87</v>
      </c>
      <c r="M100" s="35">
        <v>0.1343</v>
      </c>
      <c r="N100" s="35">
        <v>0</v>
      </c>
      <c r="O100" s="35">
        <v>64</v>
      </c>
      <c r="P100" s="35">
        <v>64</v>
      </c>
    </row>
    <row r="101" spans="1:16">
      <c r="A101" s="35">
        <v>710</v>
      </c>
      <c r="B101" s="36">
        <v>40575</v>
      </c>
      <c r="C101" s="35">
        <v>1</v>
      </c>
      <c r="D101" s="35">
        <v>0</v>
      </c>
      <c r="E101" s="35">
        <v>2</v>
      </c>
      <c r="F101" s="35">
        <v>22</v>
      </c>
      <c r="G101" s="35" t="b">
        <v>0</v>
      </c>
      <c r="H101" s="35">
        <v>2</v>
      </c>
      <c r="I101" s="35">
        <v>2</v>
      </c>
      <c r="J101" s="35">
        <v>0.22</v>
      </c>
      <c r="K101" s="35">
        <v>0.2576</v>
      </c>
      <c r="L101" s="35">
        <v>0.87</v>
      </c>
      <c r="M101" s="35">
        <v>8.9599999999999999E-2</v>
      </c>
      <c r="N101" s="35">
        <v>2</v>
      </c>
      <c r="O101" s="35">
        <v>34</v>
      </c>
      <c r="P101" s="35">
        <v>36</v>
      </c>
    </row>
    <row r="102" spans="1:16">
      <c r="A102" s="35">
        <v>711</v>
      </c>
      <c r="B102" s="36">
        <v>40575</v>
      </c>
      <c r="C102" s="35">
        <v>1</v>
      </c>
      <c r="D102" s="35">
        <v>0</v>
      </c>
      <c r="E102" s="35">
        <v>2</v>
      </c>
      <c r="F102" s="35">
        <v>23</v>
      </c>
      <c r="G102" s="35" t="b">
        <v>0</v>
      </c>
      <c r="H102" s="35">
        <v>2</v>
      </c>
      <c r="I102" s="35">
        <v>3</v>
      </c>
      <c r="J102" s="35">
        <v>0.2</v>
      </c>
      <c r="K102" s="35">
        <v>0.19700000000000001</v>
      </c>
      <c r="L102" s="35">
        <v>0.93</v>
      </c>
      <c r="M102" s="35">
        <v>0.19400000000000001</v>
      </c>
      <c r="N102" s="35">
        <v>1</v>
      </c>
      <c r="O102" s="35">
        <v>15</v>
      </c>
      <c r="P102" s="35">
        <v>16</v>
      </c>
    </row>
    <row r="103" spans="1:16">
      <c r="A103" s="35">
        <v>712</v>
      </c>
      <c r="B103" s="36">
        <v>40576</v>
      </c>
      <c r="C103" s="35">
        <v>1</v>
      </c>
      <c r="D103" s="35">
        <v>0</v>
      </c>
      <c r="E103" s="35">
        <v>2</v>
      </c>
      <c r="F103" s="35">
        <v>0</v>
      </c>
      <c r="G103" s="35" t="b">
        <v>0</v>
      </c>
      <c r="H103" s="35">
        <v>3</v>
      </c>
      <c r="I103" s="35">
        <v>3</v>
      </c>
      <c r="J103" s="35">
        <v>0.22</v>
      </c>
      <c r="K103" s="35">
        <v>0.2424</v>
      </c>
      <c r="L103" s="35">
        <v>0.93</v>
      </c>
      <c r="M103" s="35">
        <v>0.1045</v>
      </c>
      <c r="N103" s="35">
        <v>0</v>
      </c>
      <c r="O103" s="35">
        <v>2</v>
      </c>
      <c r="P103" s="35">
        <v>2</v>
      </c>
    </row>
    <row r="104" spans="1:16">
      <c r="A104" s="35">
        <v>713</v>
      </c>
      <c r="B104" s="36">
        <v>40576</v>
      </c>
      <c r="C104" s="35">
        <v>1</v>
      </c>
      <c r="D104" s="35">
        <v>0</v>
      </c>
      <c r="E104" s="35">
        <v>2</v>
      </c>
      <c r="F104" s="35">
        <v>1</v>
      </c>
      <c r="G104" s="35" t="b">
        <v>0</v>
      </c>
      <c r="H104" s="35">
        <v>3</v>
      </c>
      <c r="I104" s="35">
        <v>3</v>
      </c>
      <c r="J104" s="35">
        <v>0.22</v>
      </c>
      <c r="K104" s="35">
        <v>0.2273</v>
      </c>
      <c r="L104" s="35">
        <v>0.93</v>
      </c>
      <c r="M104" s="35">
        <v>0.19400000000000001</v>
      </c>
      <c r="N104" s="35">
        <v>0</v>
      </c>
      <c r="O104" s="35">
        <v>3</v>
      </c>
      <c r="P104" s="35">
        <v>3</v>
      </c>
    </row>
    <row r="105" spans="1:16">
      <c r="A105" s="35">
        <v>714</v>
      </c>
      <c r="B105" s="36">
        <v>40576</v>
      </c>
      <c r="C105" s="35">
        <v>1</v>
      </c>
      <c r="D105" s="35">
        <v>0</v>
      </c>
      <c r="E105" s="35">
        <v>2</v>
      </c>
      <c r="F105" s="35">
        <v>2</v>
      </c>
      <c r="G105" s="35" t="b">
        <v>0</v>
      </c>
      <c r="H105" s="35">
        <v>3</v>
      </c>
      <c r="I105" s="35">
        <v>3</v>
      </c>
      <c r="J105" s="35">
        <v>0.22</v>
      </c>
      <c r="K105" s="35">
        <v>0.2273</v>
      </c>
      <c r="L105" s="35">
        <v>0.93</v>
      </c>
      <c r="M105" s="35">
        <v>0.1343</v>
      </c>
      <c r="N105" s="35">
        <v>4</v>
      </c>
      <c r="O105" s="35">
        <v>0</v>
      </c>
      <c r="P105" s="35">
        <v>4</v>
      </c>
    </row>
    <row r="106" spans="1:16">
      <c r="A106" s="35">
        <v>715</v>
      </c>
      <c r="B106" s="36">
        <v>40576</v>
      </c>
      <c r="C106" s="35">
        <v>1</v>
      </c>
      <c r="D106" s="35">
        <v>0</v>
      </c>
      <c r="E106" s="35">
        <v>2</v>
      </c>
      <c r="F106" s="35">
        <v>3</v>
      </c>
      <c r="G106" s="35" t="b">
        <v>0</v>
      </c>
      <c r="H106" s="35">
        <v>3</v>
      </c>
      <c r="I106" s="35">
        <v>3</v>
      </c>
      <c r="J106" s="35">
        <v>0.22</v>
      </c>
      <c r="K106" s="35">
        <v>0.2273</v>
      </c>
      <c r="L106" s="35">
        <v>0.93</v>
      </c>
      <c r="M106" s="35">
        <v>0.1343</v>
      </c>
      <c r="N106" s="35">
        <v>0</v>
      </c>
      <c r="O106" s="35">
        <v>1</v>
      </c>
      <c r="P106" s="35">
        <v>1</v>
      </c>
    </row>
    <row r="107" spans="1:16">
      <c r="A107" s="35">
        <v>716</v>
      </c>
      <c r="B107" s="36">
        <v>40576</v>
      </c>
      <c r="C107" s="35">
        <v>1</v>
      </c>
      <c r="D107" s="35">
        <v>0</v>
      </c>
      <c r="E107" s="35">
        <v>2</v>
      </c>
      <c r="F107" s="35">
        <v>4</v>
      </c>
      <c r="G107" s="35" t="b">
        <v>0</v>
      </c>
      <c r="H107" s="35">
        <v>3</v>
      </c>
      <c r="I107" s="35">
        <v>3</v>
      </c>
      <c r="J107" s="35">
        <v>0.22</v>
      </c>
      <c r="K107" s="35">
        <v>0.21210000000000001</v>
      </c>
      <c r="L107" s="35">
        <v>0.93</v>
      </c>
      <c r="M107" s="35">
        <v>0.28360000000000002</v>
      </c>
      <c r="N107" s="35">
        <v>0</v>
      </c>
      <c r="O107" s="35">
        <v>1</v>
      </c>
      <c r="P107" s="35">
        <v>1</v>
      </c>
    </row>
    <row r="108" spans="1:16">
      <c r="A108" s="35">
        <v>717</v>
      </c>
      <c r="B108" s="36">
        <v>40576</v>
      </c>
      <c r="C108" s="35">
        <v>1</v>
      </c>
      <c r="D108" s="35">
        <v>0</v>
      </c>
      <c r="E108" s="35">
        <v>2</v>
      </c>
      <c r="F108" s="35">
        <v>5</v>
      </c>
      <c r="G108" s="35" t="b">
        <v>0</v>
      </c>
      <c r="H108" s="35">
        <v>3</v>
      </c>
      <c r="I108" s="35">
        <v>3</v>
      </c>
      <c r="J108" s="35">
        <v>0.22</v>
      </c>
      <c r="K108" s="35">
        <v>0.2424</v>
      </c>
      <c r="L108" s="35">
        <v>0.93</v>
      </c>
      <c r="M108" s="35">
        <v>0.1045</v>
      </c>
      <c r="N108" s="35">
        <v>0</v>
      </c>
      <c r="O108" s="35">
        <v>3</v>
      </c>
      <c r="P108" s="35">
        <v>3</v>
      </c>
    </row>
    <row r="109" spans="1:16">
      <c r="A109" s="35">
        <v>718</v>
      </c>
      <c r="B109" s="36">
        <v>40576</v>
      </c>
      <c r="C109" s="35">
        <v>1</v>
      </c>
      <c r="D109" s="35">
        <v>0</v>
      </c>
      <c r="E109" s="35">
        <v>2</v>
      </c>
      <c r="F109" s="35">
        <v>6</v>
      </c>
      <c r="G109" s="35" t="b">
        <v>0</v>
      </c>
      <c r="H109" s="35">
        <v>3</v>
      </c>
      <c r="I109" s="35">
        <v>3</v>
      </c>
      <c r="J109" s="35">
        <v>0.22</v>
      </c>
      <c r="K109" s="35">
        <v>0.2424</v>
      </c>
      <c r="L109" s="35">
        <v>0.93</v>
      </c>
      <c r="M109" s="35">
        <v>0.1045</v>
      </c>
      <c r="N109" s="35">
        <v>1</v>
      </c>
      <c r="O109" s="35">
        <v>17</v>
      </c>
      <c r="P109" s="35">
        <v>18</v>
      </c>
    </row>
    <row r="110" spans="1:16">
      <c r="A110" s="35">
        <v>719</v>
      </c>
      <c r="B110" s="36">
        <v>40576</v>
      </c>
      <c r="C110" s="35">
        <v>1</v>
      </c>
      <c r="D110" s="35">
        <v>0</v>
      </c>
      <c r="E110" s="35">
        <v>2</v>
      </c>
      <c r="F110" s="35">
        <v>7</v>
      </c>
      <c r="G110" s="35" t="b">
        <v>0</v>
      </c>
      <c r="H110" s="35">
        <v>3</v>
      </c>
      <c r="I110" s="35">
        <v>3</v>
      </c>
      <c r="J110" s="35">
        <v>0.22</v>
      </c>
      <c r="K110" s="35">
        <v>0.21210000000000001</v>
      </c>
      <c r="L110" s="35">
        <v>0.93</v>
      </c>
      <c r="M110" s="35">
        <v>0.22389999999999999</v>
      </c>
      <c r="N110" s="35">
        <v>1</v>
      </c>
      <c r="O110" s="35">
        <v>48</v>
      </c>
      <c r="P110" s="35">
        <v>49</v>
      </c>
    </row>
    <row r="111" spans="1:16">
      <c r="A111" s="35">
        <v>720</v>
      </c>
      <c r="B111" s="36">
        <v>40576</v>
      </c>
      <c r="C111" s="35">
        <v>1</v>
      </c>
      <c r="D111" s="35">
        <v>0</v>
      </c>
      <c r="E111" s="35">
        <v>2</v>
      </c>
      <c r="F111" s="35">
        <v>8</v>
      </c>
      <c r="G111" s="35" t="b">
        <v>0</v>
      </c>
      <c r="H111" s="35">
        <v>3</v>
      </c>
      <c r="I111" s="35">
        <v>3</v>
      </c>
      <c r="J111" s="35">
        <v>0.22</v>
      </c>
      <c r="K111" s="35">
        <v>0.21210000000000001</v>
      </c>
      <c r="L111" s="35">
        <v>0.93</v>
      </c>
      <c r="M111" s="35">
        <v>0.22389999999999999</v>
      </c>
      <c r="N111" s="35">
        <v>1</v>
      </c>
      <c r="O111" s="35">
        <v>154</v>
      </c>
      <c r="P111" s="35">
        <v>155</v>
      </c>
    </row>
    <row r="112" spans="1:16">
      <c r="A112" s="35">
        <v>721</v>
      </c>
      <c r="B112" s="36">
        <v>40576</v>
      </c>
      <c r="C112" s="35">
        <v>1</v>
      </c>
      <c r="D112" s="35">
        <v>0</v>
      </c>
      <c r="E112" s="35">
        <v>2</v>
      </c>
      <c r="F112" s="35">
        <v>9</v>
      </c>
      <c r="G112" s="35" t="b">
        <v>0</v>
      </c>
      <c r="H112" s="35">
        <v>3</v>
      </c>
      <c r="I112" s="35">
        <v>2</v>
      </c>
      <c r="J112" s="35">
        <v>0.24</v>
      </c>
      <c r="K112" s="35">
        <v>0.2576</v>
      </c>
      <c r="L112" s="35">
        <v>0.93</v>
      </c>
      <c r="M112" s="35">
        <v>8.9599999999999999E-2</v>
      </c>
      <c r="N112" s="35">
        <v>4</v>
      </c>
      <c r="O112" s="35">
        <v>119</v>
      </c>
      <c r="P112" s="35">
        <v>123</v>
      </c>
    </row>
    <row r="113" spans="1:16">
      <c r="A113" s="35">
        <v>722</v>
      </c>
      <c r="B113" s="36">
        <v>40576</v>
      </c>
      <c r="C113" s="35">
        <v>1</v>
      </c>
      <c r="D113" s="35">
        <v>0</v>
      </c>
      <c r="E113" s="35">
        <v>2</v>
      </c>
      <c r="F113" s="35">
        <v>10</v>
      </c>
      <c r="G113" s="35" t="b">
        <v>0</v>
      </c>
      <c r="H113" s="35">
        <v>3</v>
      </c>
      <c r="I113" s="35">
        <v>2</v>
      </c>
      <c r="J113" s="35">
        <v>0.22</v>
      </c>
      <c r="K113" s="35">
        <v>0.2727</v>
      </c>
      <c r="L113" s="35">
        <v>1</v>
      </c>
      <c r="M113" s="35">
        <v>0</v>
      </c>
      <c r="N113" s="35">
        <v>2</v>
      </c>
      <c r="O113" s="35">
        <v>59</v>
      </c>
      <c r="P113" s="35">
        <v>61</v>
      </c>
    </row>
    <row r="114" spans="1:16">
      <c r="A114" s="35">
        <v>723</v>
      </c>
      <c r="B114" s="36">
        <v>40576</v>
      </c>
      <c r="C114" s="35">
        <v>1</v>
      </c>
      <c r="D114" s="35">
        <v>0</v>
      </c>
      <c r="E114" s="35">
        <v>2</v>
      </c>
      <c r="F114" s="35">
        <v>11</v>
      </c>
      <c r="G114" s="35" t="b">
        <v>0</v>
      </c>
      <c r="H114" s="35">
        <v>3</v>
      </c>
      <c r="I114" s="35">
        <v>2</v>
      </c>
      <c r="J114" s="35">
        <v>0.24</v>
      </c>
      <c r="K114" s="35">
        <v>0.2273</v>
      </c>
      <c r="L114" s="35">
        <v>0.93</v>
      </c>
      <c r="M114" s="35">
        <v>0.19400000000000001</v>
      </c>
      <c r="N114" s="35">
        <v>5</v>
      </c>
      <c r="O114" s="35">
        <v>47</v>
      </c>
      <c r="P114" s="35">
        <v>52</v>
      </c>
    </row>
    <row r="115" spans="1:16">
      <c r="A115" s="35">
        <v>724</v>
      </c>
      <c r="B115" s="36">
        <v>40576</v>
      </c>
      <c r="C115" s="35">
        <v>1</v>
      </c>
      <c r="D115" s="35">
        <v>0</v>
      </c>
      <c r="E115" s="35">
        <v>2</v>
      </c>
      <c r="F115" s="35">
        <v>12</v>
      </c>
      <c r="G115" s="35" t="b">
        <v>0</v>
      </c>
      <c r="H115" s="35">
        <v>3</v>
      </c>
      <c r="I115" s="35">
        <v>2</v>
      </c>
      <c r="J115" s="35">
        <v>0.24</v>
      </c>
      <c r="K115" s="35">
        <v>0.2273</v>
      </c>
      <c r="L115" s="35">
        <v>0.93</v>
      </c>
      <c r="M115" s="35">
        <v>0.22389999999999999</v>
      </c>
      <c r="N115" s="35">
        <v>3</v>
      </c>
      <c r="O115" s="35">
        <v>61</v>
      </c>
      <c r="P115" s="35">
        <v>64</v>
      </c>
    </row>
    <row r="116" spans="1:16">
      <c r="A116" s="35">
        <v>725</v>
      </c>
      <c r="B116" s="36">
        <v>40576</v>
      </c>
      <c r="C116" s="35">
        <v>1</v>
      </c>
      <c r="D116" s="35">
        <v>0</v>
      </c>
      <c r="E116" s="35">
        <v>2</v>
      </c>
      <c r="F116" s="35">
        <v>13</v>
      </c>
      <c r="G116" s="35" t="b">
        <v>0</v>
      </c>
      <c r="H116" s="35">
        <v>3</v>
      </c>
      <c r="I116" s="35">
        <v>1</v>
      </c>
      <c r="J116" s="35">
        <v>0.34</v>
      </c>
      <c r="K116" s="35">
        <v>0.33329999999999999</v>
      </c>
      <c r="L116" s="35">
        <v>0.93</v>
      </c>
      <c r="M116" s="35">
        <v>0.16420000000000001</v>
      </c>
      <c r="N116" s="35">
        <v>1</v>
      </c>
      <c r="O116" s="35">
        <v>74</v>
      </c>
      <c r="P116" s="35">
        <v>75</v>
      </c>
    </row>
    <row r="117" spans="1:16">
      <c r="A117" s="35">
        <v>726</v>
      </c>
      <c r="B117" s="36">
        <v>40576</v>
      </c>
      <c r="C117" s="35">
        <v>1</v>
      </c>
      <c r="D117" s="35">
        <v>0</v>
      </c>
      <c r="E117" s="35">
        <v>2</v>
      </c>
      <c r="F117" s="35">
        <v>14</v>
      </c>
      <c r="G117" s="35" t="b">
        <v>0</v>
      </c>
      <c r="H117" s="35">
        <v>3</v>
      </c>
      <c r="I117" s="35">
        <v>1</v>
      </c>
      <c r="J117" s="35">
        <v>0.38</v>
      </c>
      <c r="K117" s="35">
        <v>0.39389999999999997</v>
      </c>
      <c r="L117" s="35">
        <v>0.82</v>
      </c>
      <c r="M117" s="35">
        <v>0.3881</v>
      </c>
      <c r="N117" s="35">
        <v>2</v>
      </c>
      <c r="O117" s="35">
        <v>61</v>
      </c>
      <c r="P117" s="35">
        <v>63</v>
      </c>
    </row>
    <row r="118" spans="1:16">
      <c r="A118" s="35">
        <v>727</v>
      </c>
      <c r="B118" s="36">
        <v>40576</v>
      </c>
      <c r="C118" s="35">
        <v>1</v>
      </c>
      <c r="D118" s="35">
        <v>0</v>
      </c>
      <c r="E118" s="35">
        <v>2</v>
      </c>
      <c r="F118" s="35">
        <v>15</v>
      </c>
      <c r="G118" s="35" t="b">
        <v>0</v>
      </c>
      <c r="H118" s="35">
        <v>3</v>
      </c>
      <c r="I118" s="35">
        <v>1</v>
      </c>
      <c r="J118" s="35">
        <v>0.38</v>
      </c>
      <c r="K118" s="35">
        <v>0.39389999999999997</v>
      </c>
      <c r="L118" s="35">
        <v>0.76</v>
      </c>
      <c r="M118" s="35">
        <v>0.32840000000000003</v>
      </c>
      <c r="N118" s="35">
        <v>10</v>
      </c>
      <c r="O118" s="35">
        <v>66</v>
      </c>
      <c r="P118" s="35">
        <v>76</v>
      </c>
    </row>
    <row r="119" spans="1:16">
      <c r="A119" s="35">
        <v>728</v>
      </c>
      <c r="B119" s="36">
        <v>40576</v>
      </c>
      <c r="C119" s="35">
        <v>1</v>
      </c>
      <c r="D119" s="35">
        <v>0</v>
      </c>
      <c r="E119" s="35">
        <v>2</v>
      </c>
      <c r="F119" s="35">
        <v>16</v>
      </c>
      <c r="G119" s="35" t="b">
        <v>0</v>
      </c>
      <c r="H119" s="35">
        <v>3</v>
      </c>
      <c r="I119" s="35">
        <v>1</v>
      </c>
      <c r="J119" s="35">
        <v>0.36</v>
      </c>
      <c r="K119" s="35">
        <v>0.33329999999999999</v>
      </c>
      <c r="L119" s="35">
        <v>0.71</v>
      </c>
      <c r="M119" s="35">
        <v>0.29849999999999999</v>
      </c>
      <c r="N119" s="35">
        <v>8</v>
      </c>
      <c r="O119" s="35">
        <v>95</v>
      </c>
      <c r="P119" s="35">
        <v>103</v>
      </c>
    </row>
    <row r="120" spans="1:16">
      <c r="A120" s="35">
        <v>729</v>
      </c>
      <c r="B120" s="36">
        <v>40576</v>
      </c>
      <c r="C120" s="35">
        <v>1</v>
      </c>
      <c r="D120" s="35">
        <v>0</v>
      </c>
      <c r="E120" s="35">
        <v>2</v>
      </c>
      <c r="F120" s="35">
        <v>17</v>
      </c>
      <c r="G120" s="35" t="b">
        <v>0</v>
      </c>
      <c r="H120" s="35">
        <v>3</v>
      </c>
      <c r="I120" s="35">
        <v>1</v>
      </c>
      <c r="J120" s="35">
        <v>0.36</v>
      </c>
      <c r="K120" s="35">
        <v>0.31819999999999998</v>
      </c>
      <c r="L120" s="35">
        <v>0.53</v>
      </c>
      <c r="M120" s="35">
        <v>0.52239999999999998</v>
      </c>
      <c r="N120" s="35">
        <v>7</v>
      </c>
      <c r="O120" s="35">
        <v>183</v>
      </c>
      <c r="P120" s="35">
        <v>190</v>
      </c>
    </row>
    <row r="121" spans="1:16">
      <c r="A121" s="35">
        <v>730</v>
      </c>
      <c r="B121" s="36">
        <v>40576</v>
      </c>
      <c r="C121" s="35">
        <v>1</v>
      </c>
      <c r="D121" s="35">
        <v>0</v>
      </c>
      <c r="E121" s="35">
        <v>2</v>
      </c>
      <c r="F121" s="35">
        <v>18</v>
      </c>
      <c r="G121" s="35" t="b">
        <v>0</v>
      </c>
      <c r="H121" s="35">
        <v>3</v>
      </c>
      <c r="I121" s="35">
        <v>1</v>
      </c>
      <c r="J121" s="35">
        <v>0.34</v>
      </c>
      <c r="K121" s="35">
        <v>0.28789999999999999</v>
      </c>
      <c r="L121" s="35">
        <v>0.42</v>
      </c>
      <c r="M121" s="35">
        <v>0.55220000000000002</v>
      </c>
      <c r="N121" s="35">
        <v>7</v>
      </c>
      <c r="O121" s="35">
        <v>175</v>
      </c>
      <c r="P121" s="35">
        <v>182</v>
      </c>
    </row>
    <row r="122" spans="1:16">
      <c r="A122" s="35">
        <v>731</v>
      </c>
      <c r="B122" s="36">
        <v>40576</v>
      </c>
      <c r="C122" s="35">
        <v>1</v>
      </c>
      <c r="D122" s="35">
        <v>0</v>
      </c>
      <c r="E122" s="35">
        <v>2</v>
      </c>
      <c r="F122" s="35">
        <v>19</v>
      </c>
      <c r="G122" s="35" t="b">
        <v>0</v>
      </c>
      <c r="H122" s="35">
        <v>3</v>
      </c>
      <c r="I122" s="35">
        <v>1</v>
      </c>
      <c r="J122" s="35">
        <v>0.28000000000000003</v>
      </c>
      <c r="K122" s="35">
        <v>0.2424</v>
      </c>
      <c r="L122" s="35">
        <v>0.45</v>
      </c>
      <c r="M122" s="35">
        <v>0.49249999999999999</v>
      </c>
      <c r="N122" s="35">
        <v>3</v>
      </c>
      <c r="O122" s="35">
        <v>88</v>
      </c>
      <c r="P122" s="35">
        <v>91</v>
      </c>
    </row>
    <row r="123" spans="1:16">
      <c r="A123" s="35">
        <v>732</v>
      </c>
      <c r="B123" s="36">
        <v>40576</v>
      </c>
      <c r="C123" s="35">
        <v>1</v>
      </c>
      <c r="D123" s="35">
        <v>0</v>
      </c>
      <c r="E123" s="35">
        <v>2</v>
      </c>
      <c r="F123" s="35">
        <v>20</v>
      </c>
      <c r="G123" s="35" t="b">
        <v>0</v>
      </c>
      <c r="H123" s="35">
        <v>3</v>
      </c>
      <c r="I123" s="35">
        <v>1</v>
      </c>
      <c r="J123" s="35">
        <v>0.24</v>
      </c>
      <c r="K123" s="35">
        <v>0.19700000000000001</v>
      </c>
      <c r="L123" s="35">
        <v>0.48</v>
      </c>
      <c r="M123" s="35">
        <v>0.55220000000000002</v>
      </c>
      <c r="N123" s="35">
        <v>4</v>
      </c>
      <c r="O123" s="35">
        <v>71</v>
      </c>
      <c r="P123" s="35">
        <v>75</v>
      </c>
    </row>
    <row r="124" spans="1:16">
      <c r="A124" s="35">
        <v>733</v>
      </c>
      <c r="B124" s="36">
        <v>40576</v>
      </c>
      <c r="C124" s="35">
        <v>1</v>
      </c>
      <c r="D124" s="35">
        <v>0</v>
      </c>
      <c r="E124" s="35">
        <v>2</v>
      </c>
      <c r="F124" s="35">
        <v>21</v>
      </c>
      <c r="G124" s="35" t="b">
        <v>0</v>
      </c>
      <c r="H124" s="35">
        <v>3</v>
      </c>
      <c r="I124" s="35">
        <v>1</v>
      </c>
      <c r="J124" s="35">
        <v>0.22</v>
      </c>
      <c r="K124" s="35">
        <v>0.19700000000000001</v>
      </c>
      <c r="L124" s="35">
        <v>0.47</v>
      </c>
      <c r="M124" s="35">
        <v>0.32840000000000003</v>
      </c>
      <c r="N124" s="35">
        <v>1</v>
      </c>
      <c r="O124" s="35">
        <v>62</v>
      </c>
      <c r="P124" s="35">
        <v>63</v>
      </c>
    </row>
    <row r="125" spans="1:16">
      <c r="A125" s="35">
        <v>734</v>
      </c>
      <c r="B125" s="36">
        <v>40576</v>
      </c>
      <c r="C125" s="35">
        <v>1</v>
      </c>
      <c r="D125" s="35">
        <v>0</v>
      </c>
      <c r="E125" s="35">
        <v>2</v>
      </c>
      <c r="F125" s="35">
        <v>22</v>
      </c>
      <c r="G125" s="35" t="b">
        <v>0</v>
      </c>
      <c r="H125" s="35">
        <v>3</v>
      </c>
      <c r="I125" s="35">
        <v>1</v>
      </c>
      <c r="J125" s="35">
        <v>0.22</v>
      </c>
      <c r="K125" s="35">
        <v>0.21210000000000001</v>
      </c>
      <c r="L125" s="35">
        <v>0.44</v>
      </c>
      <c r="M125" s="35">
        <v>0.25369999999999998</v>
      </c>
      <c r="N125" s="35">
        <v>5</v>
      </c>
      <c r="O125" s="35">
        <v>35</v>
      </c>
      <c r="P125" s="35">
        <v>40</v>
      </c>
    </row>
    <row r="126" spans="1:16">
      <c r="A126" s="35">
        <v>735</v>
      </c>
      <c r="B126" s="36">
        <v>40576</v>
      </c>
      <c r="C126" s="35">
        <v>1</v>
      </c>
      <c r="D126" s="35">
        <v>0</v>
      </c>
      <c r="E126" s="35">
        <v>2</v>
      </c>
      <c r="F126" s="35">
        <v>23</v>
      </c>
      <c r="G126" s="35" t="b">
        <v>0</v>
      </c>
      <c r="H126" s="35">
        <v>3</v>
      </c>
      <c r="I126" s="35">
        <v>1</v>
      </c>
      <c r="J126" s="35">
        <v>0.2</v>
      </c>
      <c r="K126" s="35">
        <v>0.16669999999999999</v>
      </c>
      <c r="L126" s="35">
        <v>0.44</v>
      </c>
      <c r="M126" s="35">
        <v>0.44779999999999998</v>
      </c>
      <c r="N126" s="35">
        <v>3</v>
      </c>
      <c r="O126" s="35">
        <v>29</v>
      </c>
      <c r="P126" s="35">
        <v>32</v>
      </c>
    </row>
    <row r="127" spans="1:16">
      <c r="A127" s="35">
        <v>736</v>
      </c>
      <c r="B127" s="36">
        <v>40577</v>
      </c>
      <c r="C127" s="35">
        <v>1</v>
      </c>
      <c r="D127" s="35">
        <v>0</v>
      </c>
      <c r="E127" s="35">
        <v>2</v>
      </c>
      <c r="F127" s="35">
        <v>0</v>
      </c>
      <c r="G127" s="35" t="b">
        <v>0</v>
      </c>
      <c r="H127" s="35">
        <v>4</v>
      </c>
      <c r="I127" s="35">
        <v>1</v>
      </c>
      <c r="J127" s="35">
        <v>0.2</v>
      </c>
      <c r="K127" s="35">
        <v>0.16669999999999999</v>
      </c>
      <c r="L127" s="35">
        <v>0.4</v>
      </c>
      <c r="M127" s="35">
        <v>0.44779999999999998</v>
      </c>
      <c r="N127" s="35">
        <v>1</v>
      </c>
      <c r="O127" s="35">
        <v>11</v>
      </c>
      <c r="P127" s="35">
        <v>12</v>
      </c>
    </row>
    <row r="128" spans="1:16">
      <c r="A128" s="35">
        <v>737</v>
      </c>
      <c r="B128" s="36">
        <v>40577</v>
      </c>
      <c r="C128" s="35">
        <v>1</v>
      </c>
      <c r="D128" s="35">
        <v>0</v>
      </c>
      <c r="E128" s="35">
        <v>2</v>
      </c>
      <c r="F128" s="35">
        <v>1</v>
      </c>
      <c r="G128" s="35" t="b">
        <v>0</v>
      </c>
      <c r="H128" s="35">
        <v>4</v>
      </c>
      <c r="I128" s="35">
        <v>1</v>
      </c>
      <c r="J128" s="35">
        <v>0.2</v>
      </c>
      <c r="K128" s="35">
        <v>0.1515</v>
      </c>
      <c r="L128" s="35">
        <v>0.44</v>
      </c>
      <c r="M128" s="35">
        <v>0.52239999999999998</v>
      </c>
      <c r="N128" s="35">
        <v>0</v>
      </c>
      <c r="O128" s="35">
        <v>5</v>
      </c>
      <c r="P128" s="35">
        <v>5</v>
      </c>
    </row>
    <row r="129" spans="1:16">
      <c r="A129" s="35">
        <v>738</v>
      </c>
      <c r="B129" s="36">
        <v>40577</v>
      </c>
      <c r="C129" s="35">
        <v>1</v>
      </c>
      <c r="D129" s="35">
        <v>0</v>
      </c>
      <c r="E129" s="35">
        <v>2</v>
      </c>
      <c r="F129" s="35">
        <v>2</v>
      </c>
      <c r="G129" s="35" t="b">
        <v>0</v>
      </c>
      <c r="H129" s="35">
        <v>4</v>
      </c>
      <c r="I129" s="35">
        <v>1</v>
      </c>
      <c r="J129" s="35">
        <v>0.18</v>
      </c>
      <c r="K129" s="35">
        <v>0.16669999999999999</v>
      </c>
      <c r="L129" s="35">
        <v>0.43</v>
      </c>
      <c r="M129" s="35">
        <v>0.25369999999999998</v>
      </c>
      <c r="N129" s="35">
        <v>0</v>
      </c>
      <c r="O129" s="35">
        <v>2</v>
      </c>
      <c r="P129" s="35">
        <v>2</v>
      </c>
    </row>
    <row r="130" spans="1:16">
      <c r="A130" s="35">
        <v>739</v>
      </c>
      <c r="B130" s="36">
        <v>40577</v>
      </c>
      <c r="C130" s="35">
        <v>1</v>
      </c>
      <c r="D130" s="35">
        <v>0</v>
      </c>
      <c r="E130" s="35">
        <v>2</v>
      </c>
      <c r="F130" s="35">
        <v>3</v>
      </c>
      <c r="G130" s="35" t="b">
        <v>0</v>
      </c>
      <c r="H130" s="35">
        <v>4</v>
      </c>
      <c r="I130" s="35">
        <v>1</v>
      </c>
      <c r="J130" s="35">
        <v>0.18</v>
      </c>
      <c r="K130" s="35">
        <v>0.16669999999999999</v>
      </c>
      <c r="L130" s="35">
        <v>0.43</v>
      </c>
      <c r="M130" s="35">
        <v>0.25369999999999998</v>
      </c>
      <c r="N130" s="35">
        <v>0</v>
      </c>
      <c r="O130" s="35">
        <v>1</v>
      </c>
      <c r="P130" s="35">
        <v>1</v>
      </c>
    </row>
    <row r="131" spans="1:16">
      <c r="A131" s="35">
        <v>740</v>
      </c>
      <c r="B131" s="36">
        <v>40577</v>
      </c>
      <c r="C131" s="35">
        <v>1</v>
      </c>
      <c r="D131" s="35">
        <v>0</v>
      </c>
      <c r="E131" s="35">
        <v>2</v>
      </c>
      <c r="F131" s="35">
        <v>5</v>
      </c>
      <c r="G131" s="35" t="b">
        <v>0</v>
      </c>
      <c r="H131" s="35">
        <v>4</v>
      </c>
      <c r="I131" s="35">
        <v>1</v>
      </c>
      <c r="J131" s="35">
        <v>0.16</v>
      </c>
      <c r="K131" s="35">
        <v>0.13639999999999999</v>
      </c>
      <c r="L131" s="35">
        <v>0.5</v>
      </c>
      <c r="M131" s="35">
        <v>0.29849999999999999</v>
      </c>
      <c r="N131" s="35">
        <v>0</v>
      </c>
      <c r="O131" s="35">
        <v>2</v>
      </c>
      <c r="P131" s="35">
        <v>2</v>
      </c>
    </row>
    <row r="132" spans="1:16">
      <c r="A132" s="35">
        <v>741</v>
      </c>
      <c r="B132" s="36">
        <v>40577</v>
      </c>
      <c r="C132" s="35">
        <v>1</v>
      </c>
      <c r="D132" s="35">
        <v>0</v>
      </c>
      <c r="E132" s="35">
        <v>2</v>
      </c>
      <c r="F132" s="35">
        <v>6</v>
      </c>
      <c r="G132" s="35" t="b">
        <v>0</v>
      </c>
      <c r="H132" s="35">
        <v>4</v>
      </c>
      <c r="I132" s="35">
        <v>1</v>
      </c>
      <c r="J132" s="35">
        <v>0.16</v>
      </c>
      <c r="K132" s="35">
        <v>0.13639999999999999</v>
      </c>
      <c r="L132" s="35">
        <v>0.43</v>
      </c>
      <c r="M132" s="35">
        <v>0.35820000000000002</v>
      </c>
      <c r="N132" s="35">
        <v>0</v>
      </c>
      <c r="O132" s="35">
        <v>39</v>
      </c>
      <c r="P132" s="35">
        <v>39</v>
      </c>
    </row>
    <row r="133" spans="1:16">
      <c r="A133" s="35">
        <v>742</v>
      </c>
      <c r="B133" s="36">
        <v>40577</v>
      </c>
      <c r="C133" s="35">
        <v>1</v>
      </c>
      <c r="D133" s="35">
        <v>0</v>
      </c>
      <c r="E133" s="35">
        <v>2</v>
      </c>
      <c r="F133" s="35">
        <v>7</v>
      </c>
      <c r="G133" s="35" t="b">
        <v>0</v>
      </c>
      <c r="H133" s="35">
        <v>4</v>
      </c>
      <c r="I133" s="35">
        <v>1</v>
      </c>
      <c r="J133" s="35">
        <v>0.14000000000000001</v>
      </c>
      <c r="K133" s="35">
        <v>0.1212</v>
      </c>
      <c r="L133" s="35">
        <v>0.5</v>
      </c>
      <c r="M133" s="35">
        <v>0.32840000000000003</v>
      </c>
      <c r="N133" s="35">
        <v>1</v>
      </c>
      <c r="O133" s="35">
        <v>86</v>
      </c>
      <c r="P133" s="35">
        <v>87</v>
      </c>
    </row>
    <row r="134" spans="1:16">
      <c r="A134" s="35">
        <v>743</v>
      </c>
      <c r="B134" s="36">
        <v>40577</v>
      </c>
      <c r="C134" s="35">
        <v>1</v>
      </c>
      <c r="D134" s="35">
        <v>0</v>
      </c>
      <c r="E134" s="35">
        <v>2</v>
      </c>
      <c r="F134" s="35">
        <v>8</v>
      </c>
      <c r="G134" s="35" t="b">
        <v>0</v>
      </c>
      <c r="H134" s="35">
        <v>4</v>
      </c>
      <c r="I134" s="35">
        <v>1</v>
      </c>
      <c r="J134" s="35">
        <v>0.14000000000000001</v>
      </c>
      <c r="K134" s="35">
        <v>0.1212</v>
      </c>
      <c r="L134" s="35">
        <v>0.5</v>
      </c>
      <c r="M134" s="35">
        <v>0.35820000000000002</v>
      </c>
      <c r="N134" s="35">
        <v>4</v>
      </c>
      <c r="O134" s="35">
        <v>184</v>
      </c>
      <c r="P134" s="35">
        <v>188</v>
      </c>
    </row>
    <row r="135" spans="1:16">
      <c r="A135" s="35">
        <v>744</v>
      </c>
      <c r="B135" s="36">
        <v>40577</v>
      </c>
      <c r="C135" s="35">
        <v>1</v>
      </c>
      <c r="D135" s="35">
        <v>0</v>
      </c>
      <c r="E135" s="35">
        <v>2</v>
      </c>
      <c r="F135" s="35">
        <v>9</v>
      </c>
      <c r="G135" s="35" t="b">
        <v>0</v>
      </c>
      <c r="H135" s="35">
        <v>4</v>
      </c>
      <c r="I135" s="35">
        <v>1</v>
      </c>
      <c r="J135" s="35">
        <v>0.16</v>
      </c>
      <c r="K135" s="35">
        <v>0.13639999999999999</v>
      </c>
      <c r="L135" s="35">
        <v>0.47</v>
      </c>
      <c r="M135" s="35">
        <v>0.29849999999999999</v>
      </c>
      <c r="N135" s="35">
        <v>6</v>
      </c>
      <c r="O135" s="35">
        <v>127</v>
      </c>
      <c r="P135" s="35">
        <v>133</v>
      </c>
    </row>
    <row r="136" spans="1:16">
      <c r="A136" s="35">
        <v>745</v>
      </c>
      <c r="B136" s="36">
        <v>40577</v>
      </c>
      <c r="C136" s="35">
        <v>1</v>
      </c>
      <c r="D136" s="35">
        <v>0</v>
      </c>
      <c r="E136" s="35">
        <v>2</v>
      </c>
      <c r="F136" s="35">
        <v>10</v>
      </c>
      <c r="G136" s="35" t="b">
        <v>0</v>
      </c>
      <c r="H136" s="35">
        <v>4</v>
      </c>
      <c r="I136" s="35">
        <v>1</v>
      </c>
      <c r="J136" s="35">
        <v>0.18</v>
      </c>
      <c r="K136" s="35">
        <v>0.1515</v>
      </c>
      <c r="L136" s="35">
        <v>0.43</v>
      </c>
      <c r="M136" s="35">
        <v>0.32840000000000003</v>
      </c>
      <c r="N136" s="35">
        <v>2</v>
      </c>
      <c r="O136" s="35">
        <v>50</v>
      </c>
      <c r="P136" s="35">
        <v>52</v>
      </c>
    </row>
    <row r="137" spans="1:16">
      <c r="A137" s="35">
        <v>746</v>
      </c>
      <c r="B137" s="36">
        <v>40577</v>
      </c>
      <c r="C137" s="35">
        <v>1</v>
      </c>
      <c r="D137" s="35">
        <v>0</v>
      </c>
      <c r="E137" s="35">
        <v>2</v>
      </c>
      <c r="F137" s="35">
        <v>11</v>
      </c>
      <c r="G137" s="35" t="b">
        <v>0</v>
      </c>
      <c r="H137" s="35">
        <v>4</v>
      </c>
      <c r="I137" s="35">
        <v>1</v>
      </c>
      <c r="J137" s="35">
        <v>0.18</v>
      </c>
      <c r="K137" s="35">
        <v>0.13639999999999999</v>
      </c>
      <c r="L137" s="35">
        <v>0.43</v>
      </c>
      <c r="M137" s="35">
        <v>0.44779999999999998</v>
      </c>
      <c r="N137" s="35">
        <v>9</v>
      </c>
      <c r="O137" s="35">
        <v>55</v>
      </c>
      <c r="P137" s="35">
        <v>64</v>
      </c>
    </row>
    <row r="138" spans="1:16">
      <c r="A138" s="35">
        <v>747</v>
      </c>
      <c r="B138" s="36">
        <v>40577</v>
      </c>
      <c r="C138" s="35">
        <v>1</v>
      </c>
      <c r="D138" s="35">
        <v>0</v>
      </c>
      <c r="E138" s="35">
        <v>2</v>
      </c>
      <c r="F138" s="35">
        <v>12</v>
      </c>
      <c r="G138" s="35" t="b">
        <v>0</v>
      </c>
      <c r="H138" s="35">
        <v>4</v>
      </c>
      <c r="I138" s="35">
        <v>1</v>
      </c>
      <c r="J138" s="35">
        <v>0.2</v>
      </c>
      <c r="K138" s="35">
        <v>0.18179999999999999</v>
      </c>
      <c r="L138" s="35">
        <v>0.4</v>
      </c>
      <c r="M138" s="35">
        <v>0.35820000000000002</v>
      </c>
      <c r="N138" s="35">
        <v>2</v>
      </c>
      <c r="O138" s="35">
        <v>67</v>
      </c>
      <c r="P138" s="35">
        <v>69</v>
      </c>
    </row>
    <row r="139" spans="1:16">
      <c r="A139" s="35">
        <v>748</v>
      </c>
      <c r="B139" s="36">
        <v>40577</v>
      </c>
      <c r="C139" s="35">
        <v>1</v>
      </c>
      <c r="D139" s="35">
        <v>0</v>
      </c>
      <c r="E139" s="35">
        <v>2</v>
      </c>
      <c r="F139" s="35">
        <v>13</v>
      </c>
      <c r="G139" s="35" t="b">
        <v>0</v>
      </c>
      <c r="H139" s="35">
        <v>4</v>
      </c>
      <c r="I139" s="35">
        <v>1</v>
      </c>
      <c r="J139" s="35">
        <v>0.2</v>
      </c>
      <c r="K139" s="35">
        <v>0.16669999999999999</v>
      </c>
      <c r="L139" s="35">
        <v>0.4</v>
      </c>
      <c r="M139" s="35">
        <v>0.41789999999999999</v>
      </c>
      <c r="N139" s="35">
        <v>4</v>
      </c>
      <c r="O139" s="35">
        <v>47</v>
      </c>
      <c r="P139" s="35">
        <v>51</v>
      </c>
    </row>
    <row r="140" spans="1:16">
      <c r="A140" s="35">
        <v>749</v>
      </c>
      <c r="B140" s="36">
        <v>40577</v>
      </c>
      <c r="C140" s="35">
        <v>1</v>
      </c>
      <c r="D140" s="35">
        <v>0</v>
      </c>
      <c r="E140" s="35">
        <v>2</v>
      </c>
      <c r="F140" s="35">
        <v>14</v>
      </c>
      <c r="G140" s="35" t="b">
        <v>0</v>
      </c>
      <c r="H140" s="35">
        <v>4</v>
      </c>
      <c r="I140" s="35">
        <v>1</v>
      </c>
      <c r="J140" s="35">
        <v>0.22</v>
      </c>
      <c r="K140" s="35">
        <v>0.19700000000000001</v>
      </c>
      <c r="L140" s="35">
        <v>0.37</v>
      </c>
      <c r="M140" s="35">
        <v>0.3881</v>
      </c>
      <c r="N140" s="35">
        <v>4</v>
      </c>
      <c r="O140" s="35">
        <v>43</v>
      </c>
      <c r="P140" s="35">
        <v>47</v>
      </c>
    </row>
    <row r="141" spans="1:16">
      <c r="A141" s="35">
        <v>750</v>
      </c>
      <c r="B141" s="36">
        <v>40577</v>
      </c>
      <c r="C141" s="35">
        <v>1</v>
      </c>
      <c r="D141" s="35">
        <v>0</v>
      </c>
      <c r="E141" s="35">
        <v>2</v>
      </c>
      <c r="F141" s="35">
        <v>15</v>
      </c>
      <c r="G141" s="35" t="b">
        <v>0</v>
      </c>
      <c r="H141" s="35">
        <v>4</v>
      </c>
      <c r="I141" s="35">
        <v>1</v>
      </c>
      <c r="J141" s="35">
        <v>0.22</v>
      </c>
      <c r="K141" s="35">
        <v>0.19700000000000001</v>
      </c>
      <c r="L141" s="35">
        <v>0.37</v>
      </c>
      <c r="M141" s="35">
        <v>0.32840000000000003</v>
      </c>
      <c r="N141" s="35">
        <v>4</v>
      </c>
      <c r="O141" s="35">
        <v>56</v>
      </c>
      <c r="P141" s="35">
        <v>60</v>
      </c>
    </row>
    <row r="142" spans="1:16">
      <c r="A142" s="35">
        <v>751</v>
      </c>
      <c r="B142" s="36">
        <v>40577</v>
      </c>
      <c r="C142" s="35">
        <v>1</v>
      </c>
      <c r="D142" s="35">
        <v>0</v>
      </c>
      <c r="E142" s="35">
        <v>2</v>
      </c>
      <c r="F142" s="35">
        <v>16</v>
      </c>
      <c r="G142" s="35" t="b">
        <v>0</v>
      </c>
      <c r="H142" s="35">
        <v>4</v>
      </c>
      <c r="I142" s="35">
        <v>1</v>
      </c>
      <c r="J142" s="35">
        <v>0.22</v>
      </c>
      <c r="K142" s="35">
        <v>0.21210000000000001</v>
      </c>
      <c r="L142" s="35">
        <v>0.37</v>
      </c>
      <c r="M142" s="35">
        <v>0.25369999999999998</v>
      </c>
      <c r="N142" s="35">
        <v>5</v>
      </c>
      <c r="O142" s="35">
        <v>73</v>
      </c>
      <c r="P142" s="35">
        <v>78</v>
      </c>
    </row>
    <row r="143" spans="1:16">
      <c r="A143" s="35">
        <v>752</v>
      </c>
      <c r="B143" s="36">
        <v>40577</v>
      </c>
      <c r="C143" s="35">
        <v>1</v>
      </c>
      <c r="D143" s="35">
        <v>0</v>
      </c>
      <c r="E143" s="35">
        <v>2</v>
      </c>
      <c r="F143" s="35">
        <v>17</v>
      </c>
      <c r="G143" s="35" t="b">
        <v>0</v>
      </c>
      <c r="H143" s="35">
        <v>4</v>
      </c>
      <c r="I143" s="35">
        <v>1</v>
      </c>
      <c r="J143" s="35">
        <v>0.2</v>
      </c>
      <c r="K143" s="35">
        <v>0.19700000000000001</v>
      </c>
      <c r="L143" s="35">
        <v>0.4</v>
      </c>
      <c r="M143" s="35">
        <v>0.19400000000000001</v>
      </c>
      <c r="N143" s="35">
        <v>5</v>
      </c>
      <c r="O143" s="35">
        <v>170</v>
      </c>
      <c r="P143" s="35">
        <v>175</v>
      </c>
    </row>
    <row r="144" spans="1:16">
      <c r="A144" s="35">
        <v>753</v>
      </c>
      <c r="B144" s="36">
        <v>40577</v>
      </c>
      <c r="C144" s="35">
        <v>1</v>
      </c>
      <c r="D144" s="35">
        <v>0</v>
      </c>
      <c r="E144" s="35">
        <v>2</v>
      </c>
      <c r="F144" s="35">
        <v>18</v>
      </c>
      <c r="G144" s="35" t="b">
        <v>0</v>
      </c>
      <c r="H144" s="35">
        <v>4</v>
      </c>
      <c r="I144" s="35">
        <v>1</v>
      </c>
      <c r="J144" s="35">
        <v>0.2</v>
      </c>
      <c r="K144" s="35">
        <v>0.21210000000000001</v>
      </c>
      <c r="L144" s="35">
        <v>0.4</v>
      </c>
      <c r="M144" s="35">
        <v>0.16420000000000001</v>
      </c>
      <c r="N144" s="35">
        <v>2</v>
      </c>
      <c r="O144" s="35">
        <v>145</v>
      </c>
      <c r="P144" s="35">
        <v>147</v>
      </c>
    </row>
    <row r="145" spans="1:16">
      <c r="A145" s="35">
        <v>754</v>
      </c>
      <c r="B145" s="36">
        <v>40577</v>
      </c>
      <c r="C145" s="35">
        <v>1</v>
      </c>
      <c r="D145" s="35">
        <v>0</v>
      </c>
      <c r="E145" s="35">
        <v>2</v>
      </c>
      <c r="F145" s="35">
        <v>19</v>
      </c>
      <c r="G145" s="35" t="b">
        <v>0</v>
      </c>
      <c r="H145" s="35">
        <v>4</v>
      </c>
      <c r="I145" s="35">
        <v>1</v>
      </c>
      <c r="J145" s="35">
        <v>0.2</v>
      </c>
      <c r="K145" s="35">
        <v>0.2576</v>
      </c>
      <c r="L145" s="35">
        <v>0.4</v>
      </c>
      <c r="M145" s="35">
        <v>0</v>
      </c>
      <c r="N145" s="35">
        <v>4</v>
      </c>
      <c r="O145" s="35">
        <v>92</v>
      </c>
      <c r="P145" s="35">
        <v>96</v>
      </c>
    </row>
    <row r="146" spans="1:16">
      <c r="A146" s="35">
        <v>755</v>
      </c>
      <c r="B146" s="36">
        <v>40577</v>
      </c>
      <c r="C146" s="35">
        <v>1</v>
      </c>
      <c r="D146" s="35">
        <v>0</v>
      </c>
      <c r="E146" s="35">
        <v>2</v>
      </c>
      <c r="F146" s="35">
        <v>20</v>
      </c>
      <c r="G146" s="35" t="b">
        <v>0</v>
      </c>
      <c r="H146" s="35">
        <v>4</v>
      </c>
      <c r="I146" s="35">
        <v>1</v>
      </c>
      <c r="J146" s="35">
        <v>0.2</v>
      </c>
      <c r="K146" s="35">
        <v>0.2273</v>
      </c>
      <c r="L146" s="35">
        <v>0.47</v>
      </c>
      <c r="M146" s="35">
        <v>8.9599999999999999E-2</v>
      </c>
      <c r="N146" s="35">
        <v>1</v>
      </c>
      <c r="O146" s="35">
        <v>108</v>
      </c>
      <c r="P146" s="35">
        <v>109</v>
      </c>
    </row>
    <row r="147" spans="1:16">
      <c r="A147" s="35">
        <v>756</v>
      </c>
      <c r="B147" s="36">
        <v>40577</v>
      </c>
      <c r="C147" s="35">
        <v>1</v>
      </c>
      <c r="D147" s="35">
        <v>0</v>
      </c>
      <c r="E147" s="35">
        <v>2</v>
      </c>
      <c r="F147" s="35">
        <v>21</v>
      </c>
      <c r="G147" s="35" t="b">
        <v>0</v>
      </c>
      <c r="H147" s="35">
        <v>4</v>
      </c>
      <c r="I147" s="35">
        <v>1</v>
      </c>
      <c r="J147" s="35">
        <v>0.18</v>
      </c>
      <c r="K147" s="35">
        <v>0.21210000000000001</v>
      </c>
      <c r="L147" s="35">
        <v>0.55000000000000004</v>
      </c>
      <c r="M147" s="35">
        <v>0.1045</v>
      </c>
      <c r="N147" s="35">
        <v>1</v>
      </c>
      <c r="O147" s="35">
        <v>53</v>
      </c>
      <c r="P147" s="35">
        <v>54</v>
      </c>
    </row>
    <row r="148" spans="1:16">
      <c r="A148" s="35">
        <v>757</v>
      </c>
      <c r="B148" s="36">
        <v>40577</v>
      </c>
      <c r="C148" s="35">
        <v>1</v>
      </c>
      <c r="D148" s="35">
        <v>0</v>
      </c>
      <c r="E148" s="35">
        <v>2</v>
      </c>
      <c r="F148" s="35">
        <v>22</v>
      </c>
      <c r="G148" s="35" t="b">
        <v>0</v>
      </c>
      <c r="H148" s="35">
        <v>4</v>
      </c>
      <c r="I148" s="35">
        <v>1</v>
      </c>
      <c r="J148" s="35">
        <v>0.18</v>
      </c>
      <c r="K148" s="35">
        <v>0.21210000000000001</v>
      </c>
      <c r="L148" s="35">
        <v>0.51</v>
      </c>
      <c r="M148" s="35">
        <v>8.9599999999999999E-2</v>
      </c>
      <c r="N148" s="35">
        <v>2</v>
      </c>
      <c r="O148" s="35">
        <v>39</v>
      </c>
      <c r="P148" s="35">
        <v>41</v>
      </c>
    </row>
    <row r="149" spans="1:16">
      <c r="A149" s="35">
        <v>758</v>
      </c>
      <c r="B149" s="36">
        <v>40577</v>
      </c>
      <c r="C149" s="35">
        <v>1</v>
      </c>
      <c r="D149" s="35">
        <v>0</v>
      </c>
      <c r="E149" s="35">
        <v>2</v>
      </c>
      <c r="F149" s="35">
        <v>23</v>
      </c>
      <c r="G149" s="35" t="b">
        <v>0</v>
      </c>
      <c r="H149" s="35">
        <v>4</v>
      </c>
      <c r="I149" s="35">
        <v>1</v>
      </c>
      <c r="J149" s="35">
        <v>0.2</v>
      </c>
      <c r="K149" s="35">
        <v>0.2273</v>
      </c>
      <c r="L149" s="35">
        <v>0.47</v>
      </c>
      <c r="M149" s="35">
        <v>0.1045</v>
      </c>
      <c r="N149" s="35">
        <v>4</v>
      </c>
      <c r="O149" s="35">
        <v>34</v>
      </c>
      <c r="P149" s="35">
        <v>38</v>
      </c>
    </row>
    <row r="150" spans="1:16">
      <c r="A150" s="35">
        <v>759</v>
      </c>
      <c r="B150" s="36">
        <v>40578</v>
      </c>
      <c r="C150" s="35">
        <v>1</v>
      </c>
      <c r="D150" s="35">
        <v>0</v>
      </c>
      <c r="E150" s="35">
        <v>2</v>
      </c>
      <c r="F150" s="35">
        <v>0</v>
      </c>
      <c r="G150" s="35" t="b">
        <v>0</v>
      </c>
      <c r="H150" s="35">
        <v>5</v>
      </c>
      <c r="I150" s="35">
        <v>2</v>
      </c>
      <c r="J150" s="35">
        <v>0.2</v>
      </c>
      <c r="K150" s="35">
        <v>0.2576</v>
      </c>
      <c r="L150" s="35">
        <v>0.44</v>
      </c>
      <c r="M150" s="35">
        <v>0</v>
      </c>
      <c r="N150" s="35">
        <v>3</v>
      </c>
      <c r="O150" s="35">
        <v>10</v>
      </c>
      <c r="P150" s="35">
        <v>13</v>
      </c>
    </row>
    <row r="151" spans="1:16">
      <c r="A151" s="35">
        <v>760</v>
      </c>
      <c r="B151" s="36">
        <v>40578</v>
      </c>
      <c r="C151" s="35">
        <v>1</v>
      </c>
      <c r="D151" s="35">
        <v>0</v>
      </c>
      <c r="E151" s="35">
        <v>2</v>
      </c>
      <c r="F151" s="35">
        <v>1</v>
      </c>
      <c r="G151" s="35" t="b">
        <v>0</v>
      </c>
      <c r="H151" s="35">
        <v>5</v>
      </c>
      <c r="I151" s="35">
        <v>2</v>
      </c>
      <c r="J151" s="35">
        <v>0.16</v>
      </c>
      <c r="K151" s="35">
        <v>0.2273</v>
      </c>
      <c r="L151" s="35">
        <v>0.59</v>
      </c>
      <c r="M151" s="35">
        <v>0</v>
      </c>
      <c r="N151" s="35">
        <v>0</v>
      </c>
      <c r="O151" s="35">
        <v>7</v>
      </c>
      <c r="P151" s="35">
        <v>7</v>
      </c>
    </row>
    <row r="152" spans="1:16">
      <c r="A152" s="35">
        <v>761</v>
      </c>
      <c r="B152" s="36">
        <v>40578</v>
      </c>
      <c r="C152" s="35">
        <v>1</v>
      </c>
      <c r="D152" s="35">
        <v>0</v>
      </c>
      <c r="E152" s="35">
        <v>2</v>
      </c>
      <c r="F152" s="35">
        <v>2</v>
      </c>
      <c r="G152" s="35" t="b">
        <v>0</v>
      </c>
      <c r="H152" s="35">
        <v>5</v>
      </c>
      <c r="I152" s="35">
        <v>2</v>
      </c>
      <c r="J152" s="35">
        <v>0.14000000000000001</v>
      </c>
      <c r="K152" s="35">
        <v>0.16669999999999999</v>
      </c>
      <c r="L152" s="35">
        <v>0.63</v>
      </c>
      <c r="M152" s="35">
        <v>0.1045</v>
      </c>
      <c r="N152" s="35">
        <v>0</v>
      </c>
      <c r="O152" s="35">
        <v>1</v>
      </c>
      <c r="P152" s="35">
        <v>1</v>
      </c>
    </row>
    <row r="153" spans="1:16">
      <c r="A153" s="35">
        <v>762</v>
      </c>
      <c r="B153" s="36">
        <v>40578</v>
      </c>
      <c r="C153" s="35">
        <v>1</v>
      </c>
      <c r="D153" s="35">
        <v>0</v>
      </c>
      <c r="E153" s="35">
        <v>2</v>
      </c>
      <c r="F153" s="35">
        <v>3</v>
      </c>
      <c r="G153" s="35" t="b">
        <v>0</v>
      </c>
      <c r="H153" s="35">
        <v>5</v>
      </c>
      <c r="I153" s="35">
        <v>2</v>
      </c>
      <c r="J153" s="35">
        <v>0.14000000000000001</v>
      </c>
      <c r="K153" s="35">
        <v>0.16669999999999999</v>
      </c>
      <c r="L153" s="35">
        <v>0.63</v>
      </c>
      <c r="M153" s="35">
        <v>0.1045</v>
      </c>
      <c r="N153" s="35">
        <v>0</v>
      </c>
      <c r="O153" s="35">
        <v>1</v>
      </c>
      <c r="P153" s="35">
        <v>1</v>
      </c>
    </row>
    <row r="154" spans="1:16">
      <c r="A154" s="35">
        <v>763</v>
      </c>
      <c r="B154" s="36">
        <v>40578</v>
      </c>
      <c r="C154" s="35">
        <v>1</v>
      </c>
      <c r="D154" s="35">
        <v>0</v>
      </c>
      <c r="E154" s="35">
        <v>2</v>
      </c>
      <c r="F154" s="35">
        <v>5</v>
      </c>
      <c r="G154" s="35" t="b">
        <v>0</v>
      </c>
      <c r="H154" s="35">
        <v>5</v>
      </c>
      <c r="I154" s="35">
        <v>2</v>
      </c>
      <c r="J154" s="35">
        <v>0.14000000000000001</v>
      </c>
      <c r="K154" s="35">
        <v>0.1515</v>
      </c>
      <c r="L154" s="35">
        <v>0.63</v>
      </c>
      <c r="M154" s="35">
        <v>0.1343</v>
      </c>
      <c r="N154" s="35">
        <v>0</v>
      </c>
      <c r="O154" s="35">
        <v>7</v>
      </c>
      <c r="P154" s="35">
        <v>7</v>
      </c>
    </row>
    <row r="155" spans="1:16">
      <c r="A155" s="35">
        <v>764</v>
      </c>
      <c r="B155" s="36">
        <v>40578</v>
      </c>
      <c r="C155" s="35">
        <v>1</v>
      </c>
      <c r="D155" s="35">
        <v>0</v>
      </c>
      <c r="E155" s="35">
        <v>2</v>
      </c>
      <c r="F155" s="35">
        <v>6</v>
      </c>
      <c r="G155" s="35" t="b">
        <v>0</v>
      </c>
      <c r="H155" s="35">
        <v>5</v>
      </c>
      <c r="I155" s="35">
        <v>2</v>
      </c>
      <c r="J155" s="35">
        <v>0.16</v>
      </c>
      <c r="K155" s="35">
        <v>0.2273</v>
      </c>
      <c r="L155" s="35">
        <v>0.55000000000000004</v>
      </c>
      <c r="M155" s="35">
        <v>0</v>
      </c>
      <c r="N155" s="35">
        <v>2</v>
      </c>
      <c r="O155" s="35">
        <v>26</v>
      </c>
      <c r="P155" s="35">
        <v>28</v>
      </c>
    </row>
    <row r="156" spans="1:16">
      <c r="A156" s="35">
        <v>765</v>
      </c>
      <c r="B156" s="36">
        <v>40578</v>
      </c>
      <c r="C156" s="35">
        <v>1</v>
      </c>
      <c r="D156" s="35">
        <v>0</v>
      </c>
      <c r="E156" s="35">
        <v>2</v>
      </c>
      <c r="F156" s="35">
        <v>7</v>
      </c>
      <c r="G156" s="35" t="b">
        <v>0</v>
      </c>
      <c r="H156" s="35">
        <v>5</v>
      </c>
      <c r="I156" s="35">
        <v>1</v>
      </c>
      <c r="J156" s="35">
        <v>0.14000000000000001</v>
      </c>
      <c r="K156" s="35">
        <v>0.21210000000000001</v>
      </c>
      <c r="L156" s="35">
        <v>0.59</v>
      </c>
      <c r="M156" s="35">
        <v>0</v>
      </c>
      <c r="N156" s="35">
        <v>0</v>
      </c>
      <c r="O156" s="35">
        <v>87</v>
      </c>
      <c r="P156" s="35">
        <v>87</v>
      </c>
    </row>
    <row r="157" spans="1:16">
      <c r="A157" s="35">
        <v>766</v>
      </c>
      <c r="B157" s="36">
        <v>40578</v>
      </c>
      <c r="C157" s="35">
        <v>1</v>
      </c>
      <c r="D157" s="35">
        <v>0</v>
      </c>
      <c r="E157" s="35">
        <v>2</v>
      </c>
      <c r="F157" s="35">
        <v>8</v>
      </c>
      <c r="G157" s="35" t="b">
        <v>0</v>
      </c>
      <c r="H157" s="35">
        <v>5</v>
      </c>
      <c r="I157" s="35">
        <v>1</v>
      </c>
      <c r="J157" s="35">
        <v>0.14000000000000001</v>
      </c>
      <c r="K157" s="35">
        <v>0.1515</v>
      </c>
      <c r="L157" s="35">
        <v>0.74</v>
      </c>
      <c r="M157" s="35">
        <v>0.1343</v>
      </c>
      <c r="N157" s="35">
        <v>3</v>
      </c>
      <c r="O157" s="35">
        <v>217</v>
      </c>
      <c r="P157" s="35">
        <v>220</v>
      </c>
    </row>
    <row r="158" spans="1:16">
      <c r="A158" s="35">
        <v>767</v>
      </c>
      <c r="B158" s="36">
        <v>40578</v>
      </c>
      <c r="C158" s="35">
        <v>1</v>
      </c>
      <c r="D158" s="35">
        <v>0</v>
      </c>
      <c r="E158" s="35">
        <v>2</v>
      </c>
      <c r="F158" s="35">
        <v>9</v>
      </c>
      <c r="G158" s="35" t="b">
        <v>0</v>
      </c>
      <c r="H158" s="35">
        <v>5</v>
      </c>
      <c r="I158" s="35">
        <v>2</v>
      </c>
      <c r="J158" s="35">
        <v>0.16</v>
      </c>
      <c r="K158" s="35">
        <v>0.18179999999999999</v>
      </c>
      <c r="L158" s="35">
        <v>0.8</v>
      </c>
      <c r="M158" s="35">
        <v>0.1343</v>
      </c>
      <c r="N158" s="35">
        <v>3</v>
      </c>
      <c r="O158" s="35">
        <v>124</v>
      </c>
      <c r="P158" s="35">
        <v>127</v>
      </c>
    </row>
    <row r="159" spans="1:16">
      <c r="A159" s="35">
        <v>768</v>
      </c>
      <c r="B159" s="36">
        <v>40578</v>
      </c>
      <c r="C159" s="35">
        <v>1</v>
      </c>
      <c r="D159" s="35">
        <v>0</v>
      </c>
      <c r="E159" s="35">
        <v>2</v>
      </c>
      <c r="F159" s="35">
        <v>10</v>
      </c>
      <c r="G159" s="35" t="b">
        <v>0</v>
      </c>
      <c r="H159" s="35">
        <v>5</v>
      </c>
      <c r="I159" s="35">
        <v>2</v>
      </c>
      <c r="J159" s="35">
        <v>0.2</v>
      </c>
      <c r="K159" s="35">
        <v>0.21210000000000001</v>
      </c>
      <c r="L159" s="35">
        <v>0.51</v>
      </c>
      <c r="M159" s="35">
        <v>0.1343</v>
      </c>
      <c r="N159" s="35">
        <v>5</v>
      </c>
      <c r="O159" s="35">
        <v>46</v>
      </c>
      <c r="P159" s="35">
        <v>51</v>
      </c>
    </row>
    <row r="160" spans="1:16">
      <c r="A160" s="35">
        <v>769</v>
      </c>
      <c r="B160" s="36">
        <v>40578</v>
      </c>
      <c r="C160" s="35">
        <v>1</v>
      </c>
      <c r="D160" s="35">
        <v>0</v>
      </c>
      <c r="E160" s="35">
        <v>2</v>
      </c>
      <c r="F160" s="35">
        <v>11</v>
      </c>
      <c r="G160" s="35" t="b">
        <v>0</v>
      </c>
      <c r="H160" s="35">
        <v>5</v>
      </c>
      <c r="I160" s="35">
        <v>1</v>
      </c>
      <c r="J160" s="35">
        <v>0.22</v>
      </c>
      <c r="K160" s="35">
        <v>0.2273</v>
      </c>
      <c r="L160" s="35">
        <v>0.51</v>
      </c>
      <c r="M160" s="35">
        <v>0.16420000000000001</v>
      </c>
      <c r="N160" s="35">
        <v>3</v>
      </c>
      <c r="O160" s="35">
        <v>61</v>
      </c>
      <c r="P160" s="35">
        <v>64</v>
      </c>
    </row>
    <row r="161" spans="1:16">
      <c r="A161" s="35">
        <v>770</v>
      </c>
      <c r="B161" s="36">
        <v>40578</v>
      </c>
      <c r="C161" s="35">
        <v>1</v>
      </c>
      <c r="D161" s="35">
        <v>0</v>
      </c>
      <c r="E161" s="35">
        <v>2</v>
      </c>
      <c r="F161" s="35">
        <v>12</v>
      </c>
      <c r="G161" s="35" t="b">
        <v>0</v>
      </c>
      <c r="H161" s="35">
        <v>5</v>
      </c>
      <c r="I161" s="35">
        <v>2</v>
      </c>
      <c r="J161" s="35">
        <v>0.24</v>
      </c>
      <c r="K161" s="35">
        <v>0.2424</v>
      </c>
      <c r="L161" s="35">
        <v>0.48</v>
      </c>
      <c r="M161" s="35">
        <v>0.16420000000000001</v>
      </c>
      <c r="N161" s="35">
        <v>8</v>
      </c>
      <c r="O161" s="35">
        <v>78</v>
      </c>
      <c r="P161" s="35">
        <v>86</v>
      </c>
    </row>
    <row r="162" spans="1:16">
      <c r="A162" s="35">
        <v>771</v>
      </c>
      <c r="B162" s="36">
        <v>40578</v>
      </c>
      <c r="C162" s="35">
        <v>1</v>
      </c>
      <c r="D162" s="35">
        <v>0</v>
      </c>
      <c r="E162" s="35">
        <v>2</v>
      </c>
      <c r="F162" s="35">
        <v>13</v>
      </c>
      <c r="G162" s="35" t="b">
        <v>0</v>
      </c>
      <c r="H162" s="35">
        <v>5</v>
      </c>
      <c r="I162" s="35">
        <v>2</v>
      </c>
      <c r="J162" s="35">
        <v>0.26</v>
      </c>
      <c r="K162" s="35">
        <v>0.2576</v>
      </c>
      <c r="L162" s="35">
        <v>0.5</v>
      </c>
      <c r="M162" s="35">
        <v>0.22389999999999999</v>
      </c>
      <c r="N162" s="35">
        <v>9</v>
      </c>
      <c r="O162" s="35">
        <v>73</v>
      </c>
      <c r="P162" s="35">
        <v>82</v>
      </c>
    </row>
    <row r="163" spans="1:16">
      <c r="A163" s="35">
        <v>772</v>
      </c>
      <c r="B163" s="36">
        <v>40578</v>
      </c>
      <c r="C163" s="35">
        <v>1</v>
      </c>
      <c r="D163" s="35">
        <v>0</v>
      </c>
      <c r="E163" s="35">
        <v>2</v>
      </c>
      <c r="F163" s="35">
        <v>14</v>
      </c>
      <c r="G163" s="35" t="b">
        <v>0</v>
      </c>
      <c r="H163" s="35">
        <v>5</v>
      </c>
      <c r="I163" s="35">
        <v>2</v>
      </c>
      <c r="J163" s="35">
        <v>0.28000000000000003</v>
      </c>
      <c r="K163" s="35">
        <v>0.2727</v>
      </c>
      <c r="L163" s="35">
        <v>0.45</v>
      </c>
      <c r="M163" s="35">
        <v>0.16420000000000001</v>
      </c>
      <c r="N163" s="35">
        <v>15</v>
      </c>
      <c r="O163" s="35">
        <v>76</v>
      </c>
      <c r="P163" s="35">
        <v>91</v>
      </c>
    </row>
    <row r="164" spans="1:16">
      <c r="A164" s="35">
        <v>773</v>
      </c>
      <c r="B164" s="36">
        <v>40578</v>
      </c>
      <c r="C164" s="35">
        <v>1</v>
      </c>
      <c r="D164" s="35">
        <v>0</v>
      </c>
      <c r="E164" s="35">
        <v>2</v>
      </c>
      <c r="F164" s="35">
        <v>15</v>
      </c>
      <c r="G164" s="35" t="b">
        <v>0</v>
      </c>
      <c r="H164" s="35">
        <v>5</v>
      </c>
      <c r="I164" s="35">
        <v>2</v>
      </c>
      <c r="J164" s="35">
        <v>0.28000000000000003</v>
      </c>
      <c r="K164" s="35">
        <v>0.2727</v>
      </c>
      <c r="L164" s="35">
        <v>0.48</v>
      </c>
      <c r="M164" s="35">
        <v>0.25369999999999998</v>
      </c>
      <c r="N164" s="35">
        <v>9</v>
      </c>
      <c r="O164" s="35">
        <v>81</v>
      </c>
      <c r="P164" s="35">
        <v>90</v>
      </c>
    </row>
    <row r="165" spans="1:16">
      <c r="A165" s="35">
        <v>774</v>
      </c>
      <c r="B165" s="36">
        <v>40578</v>
      </c>
      <c r="C165" s="35">
        <v>1</v>
      </c>
      <c r="D165" s="35">
        <v>0</v>
      </c>
      <c r="E165" s="35">
        <v>2</v>
      </c>
      <c r="F165" s="35">
        <v>16</v>
      </c>
      <c r="G165" s="35" t="b">
        <v>0</v>
      </c>
      <c r="H165" s="35">
        <v>5</v>
      </c>
      <c r="I165" s="35">
        <v>2</v>
      </c>
      <c r="J165" s="35">
        <v>0.3</v>
      </c>
      <c r="K165" s="35">
        <v>0.28789999999999999</v>
      </c>
      <c r="L165" s="35">
        <v>0.42</v>
      </c>
      <c r="M165" s="35">
        <v>0.22389999999999999</v>
      </c>
      <c r="N165" s="35">
        <v>8</v>
      </c>
      <c r="O165" s="35">
        <v>91</v>
      </c>
      <c r="P165" s="35">
        <v>99</v>
      </c>
    </row>
    <row r="166" spans="1:16">
      <c r="A166" s="35">
        <v>775</v>
      </c>
      <c r="B166" s="36">
        <v>40578</v>
      </c>
      <c r="C166" s="35">
        <v>1</v>
      </c>
      <c r="D166" s="35">
        <v>0</v>
      </c>
      <c r="E166" s="35">
        <v>2</v>
      </c>
      <c r="F166" s="35">
        <v>17</v>
      </c>
      <c r="G166" s="35" t="b">
        <v>0</v>
      </c>
      <c r="H166" s="35">
        <v>5</v>
      </c>
      <c r="I166" s="35">
        <v>2</v>
      </c>
      <c r="J166" s="35">
        <v>0.26</v>
      </c>
      <c r="K166" s="35">
        <v>0.2727</v>
      </c>
      <c r="L166" s="35">
        <v>0.56000000000000005</v>
      </c>
      <c r="M166" s="35">
        <v>0.1343</v>
      </c>
      <c r="N166" s="35">
        <v>10</v>
      </c>
      <c r="O166" s="35">
        <v>195</v>
      </c>
      <c r="P166" s="35">
        <v>205</v>
      </c>
    </row>
    <row r="167" spans="1:16">
      <c r="A167" s="35">
        <v>776</v>
      </c>
      <c r="B167" s="36">
        <v>40578</v>
      </c>
      <c r="C167" s="35">
        <v>1</v>
      </c>
      <c r="D167" s="35">
        <v>0</v>
      </c>
      <c r="E167" s="35">
        <v>2</v>
      </c>
      <c r="F167" s="35">
        <v>18</v>
      </c>
      <c r="G167" s="35" t="b">
        <v>0</v>
      </c>
      <c r="H167" s="35">
        <v>5</v>
      </c>
      <c r="I167" s="35">
        <v>2</v>
      </c>
      <c r="J167" s="35">
        <v>0.24</v>
      </c>
      <c r="K167" s="35">
        <v>0.2576</v>
      </c>
      <c r="L167" s="35">
        <v>0.6</v>
      </c>
      <c r="M167" s="35">
        <v>0.1045</v>
      </c>
      <c r="N167" s="35">
        <v>3</v>
      </c>
      <c r="O167" s="35">
        <v>152</v>
      </c>
      <c r="P167" s="35">
        <v>155</v>
      </c>
    </row>
    <row r="168" spans="1:16">
      <c r="A168" s="35">
        <v>777</v>
      </c>
      <c r="B168" s="36">
        <v>40578</v>
      </c>
      <c r="C168" s="35">
        <v>1</v>
      </c>
      <c r="D168" s="35">
        <v>0</v>
      </c>
      <c r="E168" s="35">
        <v>2</v>
      </c>
      <c r="F168" s="35">
        <v>19</v>
      </c>
      <c r="G168" s="35" t="b">
        <v>0</v>
      </c>
      <c r="H168" s="35">
        <v>5</v>
      </c>
      <c r="I168" s="35">
        <v>2</v>
      </c>
      <c r="J168" s="35">
        <v>0.24</v>
      </c>
      <c r="K168" s="35">
        <v>0.2424</v>
      </c>
      <c r="L168" s="35">
        <v>0.65</v>
      </c>
      <c r="M168" s="35">
        <v>0.1343</v>
      </c>
      <c r="N168" s="35">
        <v>1</v>
      </c>
      <c r="O168" s="35">
        <v>102</v>
      </c>
      <c r="P168" s="35">
        <v>103</v>
      </c>
    </row>
    <row r="169" spans="1:16">
      <c r="A169" s="35">
        <v>778</v>
      </c>
      <c r="B169" s="36">
        <v>40578</v>
      </c>
      <c r="C169" s="35">
        <v>1</v>
      </c>
      <c r="D169" s="35">
        <v>0</v>
      </c>
      <c r="E169" s="35">
        <v>2</v>
      </c>
      <c r="F169" s="35">
        <v>20</v>
      </c>
      <c r="G169" s="35" t="b">
        <v>0</v>
      </c>
      <c r="H169" s="35">
        <v>5</v>
      </c>
      <c r="I169" s="35">
        <v>2</v>
      </c>
      <c r="J169" s="35">
        <v>0.24</v>
      </c>
      <c r="K169" s="35">
        <v>0.2424</v>
      </c>
      <c r="L169" s="35">
        <v>0.65</v>
      </c>
      <c r="M169" s="35">
        <v>0.16420000000000001</v>
      </c>
      <c r="N169" s="35">
        <v>2</v>
      </c>
      <c r="O169" s="35">
        <v>69</v>
      </c>
      <c r="P169" s="35">
        <v>71</v>
      </c>
    </row>
    <row r="170" spans="1:16">
      <c r="A170" s="35">
        <v>779</v>
      </c>
      <c r="B170" s="36">
        <v>40578</v>
      </c>
      <c r="C170" s="35">
        <v>1</v>
      </c>
      <c r="D170" s="35">
        <v>0</v>
      </c>
      <c r="E170" s="35">
        <v>2</v>
      </c>
      <c r="F170" s="35">
        <v>21</v>
      </c>
      <c r="G170" s="35" t="b">
        <v>0</v>
      </c>
      <c r="H170" s="35">
        <v>5</v>
      </c>
      <c r="I170" s="35">
        <v>2</v>
      </c>
      <c r="J170" s="35">
        <v>0.24</v>
      </c>
      <c r="K170" s="35">
        <v>0.2424</v>
      </c>
      <c r="L170" s="35">
        <v>0.7</v>
      </c>
      <c r="M170" s="35">
        <v>0.16420000000000001</v>
      </c>
      <c r="N170" s="35">
        <v>2</v>
      </c>
      <c r="O170" s="35">
        <v>41</v>
      </c>
      <c r="P170" s="35">
        <v>43</v>
      </c>
    </row>
    <row r="171" spans="1:16">
      <c r="A171" s="35">
        <v>780</v>
      </c>
      <c r="B171" s="36">
        <v>40578</v>
      </c>
      <c r="C171" s="35">
        <v>1</v>
      </c>
      <c r="D171" s="35">
        <v>0</v>
      </c>
      <c r="E171" s="35">
        <v>2</v>
      </c>
      <c r="F171" s="35">
        <v>22</v>
      </c>
      <c r="G171" s="35" t="b">
        <v>0</v>
      </c>
      <c r="H171" s="35">
        <v>5</v>
      </c>
      <c r="I171" s="35">
        <v>2</v>
      </c>
      <c r="J171" s="35">
        <v>0.24</v>
      </c>
      <c r="K171" s="35">
        <v>0.2424</v>
      </c>
      <c r="L171" s="35">
        <v>0.65</v>
      </c>
      <c r="M171" s="35">
        <v>0.16420000000000001</v>
      </c>
      <c r="N171" s="35">
        <v>1</v>
      </c>
      <c r="O171" s="35">
        <v>45</v>
      </c>
      <c r="P171" s="35">
        <v>46</v>
      </c>
    </row>
    <row r="172" spans="1:16">
      <c r="A172" s="35">
        <v>781</v>
      </c>
      <c r="B172" s="36">
        <v>40578</v>
      </c>
      <c r="C172" s="35">
        <v>1</v>
      </c>
      <c r="D172" s="35">
        <v>0</v>
      </c>
      <c r="E172" s="35">
        <v>2</v>
      </c>
      <c r="F172" s="35">
        <v>23</v>
      </c>
      <c r="G172" s="35" t="b">
        <v>0</v>
      </c>
      <c r="H172" s="35">
        <v>5</v>
      </c>
      <c r="I172" s="35">
        <v>2</v>
      </c>
      <c r="J172" s="35">
        <v>0.24</v>
      </c>
      <c r="K172" s="35">
        <v>0.2424</v>
      </c>
      <c r="L172" s="35">
        <v>0.7</v>
      </c>
      <c r="M172" s="35">
        <v>0.1343</v>
      </c>
      <c r="N172" s="35">
        <v>1</v>
      </c>
      <c r="O172" s="35">
        <v>30</v>
      </c>
      <c r="P172" s="35">
        <v>31</v>
      </c>
    </row>
    <row r="173" spans="1:16">
      <c r="A173" s="35">
        <v>782</v>
      </c>
      <c r="B173" s="36">
        <v>40579</v>
      </c>
      <c r="C173" s="35">
        <v>1</v>
      </c>
      <c r="D173" s="35">
        <v>0</v>
      </c>
      <c r="E173" s="35">
        <v>2</v>
      </c>
      <c r="F173" s="35">
        <v>0</v>
      </c>
      <c r="G173" s="35" t="b">
        <v>0</v>
      </c>
      <c r="H173" s="35">
        <v>6</v>
      </c>
      <c r="I173" s="35">
        <v>2</v>
      </c>
      <c r="J173" s="35">
        <v>0.24</v>
      </c>
      <c r="K173" s="35">
        <v>0.2424</v>
      </c>
      <c r="L173" s="35">
        <v>0.7</v>
      </c>
      <c r="M173" s="35">
        <v>0.16420000000000001</v>
      </c>
      <c r="N173" s="35">
        <v>3</v>
      </c>
      <c r="O173" s="35">
        <v>36</v>
      </c>
      <c r="P173" s="35">
        <v>39</v>
      </c>
    </row>
    <row r="174" spans="1:16">
      <c r="A174" s="35">
        <v>783</v>
      </c>
      <c r="B174" s="36">
        <v>40579</v>
      </c>
      <c r="C174" s="35">
        <v>1</v>
      </c>
      <c r="D174" s="35">
        <v>0</v>
      </c>
      <c r="E174" s="35">
        <v>2</v>
      </c>
      <c r="F174" s="35">
        <v>1</v>
      </c>
      <c r="G174" s="35" t="b">
        <v>0</v>
      </c>
      <c r="H174" s="35">
        <v>6</v>
      </c>
      <c r="I174" s="35">
        <v>2</v>
      </c>
      <c r="J174" s="35">
        <v>0.24</v>
      </c>
      <c r="K174" s="35">
        <v>0.2424</v>
      </c>
      <c r="L174" s="35">
        <v>0.65</v>
      </c>
      <c r="M174" s="35">
        <v>0.16420000000000001</v>
      </c>
      <c r="N174" s="35">
        <v>1</v>
      </c>
      <c r="O174" s="35">
        <v>17</v>
      </c>
      <c r="P174" s="35">
        <v>18</v>
      </c>
    </row>
    <row r="175" spans="1:16">
      <c r="A175" s="35">
        <v>784</v>
      </c>
      <c r="B175" s="36">
        <v>40579</v>
      </c>
      <c r="C175" s="35">
        <v>1</v>
      </c>
      <c r="D175" s="35">
        <v>0</v>
      </c>
      <c r="E175" s="35">
        <v>2</v>
      </c>
      <c r="F175" s="35">
        <v>2</v>
      </c>
      <c r="G175" s="35" t="b">
        <v>0</v>
      </c>
      <c r="H175" s="35">
        <v>6</v>
      </c>
      <c r="I175" s="35">
        <v>2</v>
      </c>
      <c r="J175" s="35">
        <v>0.24</v>
      </c>
      <c r="K175" s="35">
        <v>0.2424</v>
      </c>
      <c r="L175" s="35">
        <v>0.75</v>
      </c>
      <c r="M175" s="35">
        <v>0.16420000000000001</v>
      </c>
      <c r="N175" s="35">
        <v>5</v>
      </c>
      <c r="O175" s="35">
        <v>12</v>
      </c>
      <c r="P175" s="35">
        <v>17</v>
      </c>
    </row>
    <row r="176" spans="1:16">
      <c r="A176" s="35">
        <v>785</v>
      </c>
      <c r="B176" s="36">
        <v>40579</v>
      </c>
      <c r="C176" s="35">
        <v>1</v>
      </c>
      <c r="D176" s="35">
        <v>0</v>
      </c>
      <c r="E176" s="35">
        <v>2</v>
      </c>
      <c r="F176" s="35">
        <v>3</v>
      </c>
      <c r="G176" s="35" t="b">
        <v>0</v>
      </c>
      <c r="H176" s="35">
        <v>6</v>
      </c>
      <c r="I176" s="35">
        <v>2</v>
      </c>
      <c r="J176" s="35">
        <v>0.24</v>
      </c>
      <c r="K176" s="35">
        <v>0.2424</v>
      </c>
      <c r="L176" s="35">
        <v>0.75</v>
      </c>
      <c r="M176" s="35">
        <v>0.16420000000000001</v>
      </c>
      <c r="N176" s="35">
        <v>1</v>
      </c>
      <c r="O176" s="35">
        <v>10</v>
      </c>
      <c r="P176" s="35">
        <v>11</v>
      </c>
    </row>
    <row r="177" spans="1:16">
      <c r="A177" s="35">
        <v>786</v>
      </c>
      <c r="B177" s="36">
        <v>40579</v>
      </c>
      <c r="C177" s="35">
        <v>1</v>
      </c>
      <c r="D177" s="35">
        <v>0</v>
      </c>
      <c r="E177" s="35">
        <v>2</v>
      </c>
      <c r="F177" s="35">
        <v>4</v>
      </c>
      <c r="G177" s="35" t="b">
        <v>0</v>
      </c>
      <c r="H177" s="35">
        <v>6</v>
      </c>
      <c r="I177" s="35">
        <v>3</v>
      </c>
      <c r="J177" s="35">
        <v>0.22</v>
      </c>
      <c r="K177" s="35">
        <v>0.2273</v>
      </c>
      <c r="L177" s="35">
        <v>0.93</v>
      </c>
      <c r="M177" s="35">
        <v>0.1343</v>
      </c>
      <c r="N177" s="35">
        <v>0</v>
      </c>
      <c r="O177" s="35">
        <v>8</v>
      </c>
      <c r="P177" s="35">
        <v>8</v>
      </c>
    </row>
    <row r="178" spans="1:16">
      <c r="A178" s="35">
        <v>787</v>
      </c>
      <c r="B178" s="36">
        <v>40579</v>
      </c>
      <c r="C178" s="35">
        <v>1</v>
      </c>
      <c r="D178" s="35">
        <v>0</v>
      </c>
      <c r="E178" s="35">
        <v>2</v>
      </c>
      <c r="F178" s="35">
        <v>5</v>
      </c>
      <c r="G178" s="35" t="b">
        <v>0</v>
      </c>
      <c r="H178" s="35">
        <v>6</v>
      </c>
      <c r="I178" s="35">
        <v>3</v>
      </c>
      <c r="J178" s="35">
        <v>0.2</v>
      </c>
      <c r="K178" s="35">
        <v>0.2273</v>
      </c>
      <c r="L178" s="35">
        <v>1</v>
      </c>
      <c r="M178" s="35">
        <v>8.9599999999999999E-2</v>
      </c>
      <c r="N178" s="35">
        <v>0</v>
      </c>
      <c r="O178" s="35">
        <v>9</v>
      </c>
      <c r="P178" s="35">
        <v>9</v>
      </c>
    </row>
    <row r="179" spans="1:16">
      <c r="A179" s="35">
        <v>788</v>
      </c>
      <c r="B179" s="36">
        <v>40579</v>
      </c>
      <c r="C179" s="35">
        <v>1</v>
      </c>
      <c r="D179" s="35">
        <v>0</v>
      </c>
      <c r="E179" s="35">
        <v>2</v>
      </c>
      <c r="F179" s="35">
        <v>6</v>
      </c>
      <c r="G179" s="35" t="b">
        <v>0</v>
      </c>
      <c r="H179" s="35">
        <v>6</v>
      </c>
      <c r="I179" s="35">
        <v>3</v>
      </c>
      <c r="J179" s="35">
        <v>0.2</v>
      </c>
      <c r="K179" s="35">
        <v>0.2576</v>
      </c>
      <c r="L179" s="35">
        <v>1</v>
      </c>
      <c r="M179" s="35">
        <v>0</v>
      </c>
      <c r="N179" s="35">
        <v>0</v>
      </c>
      <c r="O179" s="35">
        <v>4</v>
      </c>
      <c r="P179" s="35">
        <v>4</v>
      </c>
    </row>
    <row r="180" spans="1:16">
      <c r="A180" s="35">
        <v>789</v>
      </c>
      <c r="B180" s="36">
        <v>40579</v>
      </c>
      <c r="C180" s="35">
        <v>1</v>
      </c>
      <c r="D180" s="35">
        <v>0</v>
      </c>
      <c r="E180" s="35">
        <v>2</v>
      </c>
      <c r="F180" s="35">
        <v>7</v>
      </c>
      <c r="G180" s="35" t="b">
        <v>0</v>
      </c>
      <c r="H180" s="35">
        <v>6</v>
      </c>
      <c r="I180" s="35">
        <v>3</v>
      </c>
      <c r="J180" s="35">
        <v>0.22</v>
      </c>
      <c r="K180" s="35">
        <v>0.2576</v>
      </c>
      <c r="L180" s="35">
        <v>0.93</v>
      </c>
      <c r="M180" s="35">
        <v>8.9599999999999999E-2</v>
      </c>
      <c r="N180" s="35">
        <v>0</v>
      </c>
      <c r="O180" s="35">
        <v>4</v>
      </c>
      <c r="P180" s="35">
        <v>4</v>
      </c>
    </row>
    <row r="181" spans="1:16">
      <c r="A181" s="35">
        <v>790</v>
      </c>
      <c r="B181" s="36">
        <v>40579</v>
      </c>
      <c r="C181" s="35">
        <v>1</v>
      </c>
      <c r="D181" s="35">
        <v>0</v>
      </c>
      <c r="E181" s="35">
        <v>2</v>
      </c>
      <c r="F181" s="35">
        <v>8</v>
      </c>
      <c r="G181" s="35" t="b">
        <v>0</v>
      </c>
      <c r="H181" s="35">
        <v>6</v>
      </c>
      <c r="I181" s="35">
        <v>3</v>
      </c>
      <c r="J181" s="35">
        <v>0.2</v>
      </c>
      <c r="K181" s="35">
        <v>0.2273</v>
      </c>
      <c r="L181" s="35">
        <v>1</v>
      </c>
      <c r="M181" s="35">
        <v>8.9599999999999999E-2</v>
      </c>
      <c r="N181" s="35">
        <v>0</v>
      </c>
      <c r="O181" s="35">
        <v>10</v>
      </c>
      <c r="P181" s="35">
        <v>10</v>
      </c>
    </row>
    <row r="182" spans="1:16">
      <c r="A182" s="35">
        <v>791</v>
      </c>
      <c r="B182" s="36">
        <v>40579</v>
      </c>
      <c r="C182" s="35">
        <v>1</v>
      </c>
      <c r="D182" s="35">
        <v>0</v>
      </c>
      <c r="E182" s="35">
        <v>2</v>
      </c>
      <c r="F182" s="35">
        <v>9</v>
      </c>
      <c r="G182" s="35" t="b">
        <v>0</v>
      </c>
      <c r="H182" s="35">
        <v>6</v>
      </c>
      <c r="I182" s="35">
        <v>3</v>
      </c>
      <c r="J182" s="35">
        <v>0.2</v>
      </c>
      <c r="K182" s="35">
        <v>0.2273</v>
      </c>
      <c r="L182" s="35">
        <v>1</v>
      </c>
      <c r="M182" s="35">
        <v>8.9599999999999999E-2</v>
      </c>
      <c r="N182" s="35">
        <v>3</v>
      </c>
      <c r="O182" s="35">
        <v>17</v>
      </c>
      <c r="P182" s="35">
        <v>20</v>
      </c>
    </row>
    <row r="183" spans="1:16">
      <c r="A183" s="35">
        <v>792</v>
      </c>
      <c r="B183" s="36">
        <v>40579</v>
      </c>
      <c r="C183" s="35">
        <v>1</v>
      </c>
      <c r="D183" s="35">
        <v>0</v>
      </c>
      <c r="E183" s="35">
        <v>2</v>
      </c>
      <c r="F183" s="35">
        <v>10</v>
      </c>
      <c r="G183" s="35" t="b">
        <v>0</v>
      </c>
      <c r="H183" s="35">
        <v>6</v>
      </c>
      <c r="I183" s="35">
        <v>3</v>
      </c>
      <c r="J183" s="35">
        <v>0.2</v>
      </c>
      <c r="K183" s="35">
        <v>0.21210000000000001</v>
      </c>
      <c r="L183" s="35">
        <v>1</v>
      </c>
      <c r="M183" s="35">
        <v>0.1343</v>
      </c>
      <c r="N183" s="35">
        <v>3</v>
      </c>
      <c r="O183" s="35">
        <v>31</v>
      </c>
      <c r="P183" s="35">
        <v>34</v>
      </c>
    </row>
    <row r="184" spans="1:16">
      <c r="A184" s="35">
        <v>793</v>
      </c>
      <c r="B184" s="36">
        <v>40579</v>
      </c>
      <c r="C184" s="35">
        <v>1</v>
      </c>
      <c r="D184" s="35">
        <v>0</v>
      </c>
      <c r="E184" s="35">
        <v>2</v>
      </c>
      <c r="F184" s="35">
        <v>11</v>
      </c>
      <c r="G184" s="35" t="b">
        <v>0</v>
      </c>
      <c r="H184" s="35">
        <v>6</v>
      </c>
      <c r="I184" s="35">
        <v>3</v>
      </c>
      <c r="J184" s="35">
        <v>0.22</v>
      </c>
      <c r="K184" s="35">
        <v>0.2273</v>
      </c>
      <c r="L184" s="35">
        <v>1</v>
      </c>
      <c r="M184" s="35">
        <v>0.1343</v>
      </c>
      <c r="N184" s="35">
        <v>1</v>
      </c>
      <c r="O184" s="35">
        <v>46</v>
      </c>
      <c r="P184" s="35">
        <v>47</v>
      </c>
    </row>
    <row r="185" spans="1:16">
      <c r="A185" s="35">
        <v>794</v>
      </c>
      <c r="B185" s="36">
        <v>40579</v>
      </c>
      <c r="C185" s="35">
        <v>1</v>
      </c>
      <c r="D185" s="35">
        <v>0</v>
      </c>
      <c r="E185" s="35">
        <v>2</v>
      </c>
      <c r="F185" s="35">
        <v>12</v>
      </c>
      <c r="G185" s="35" t="b">
        <v>0</v>
      </c>
      <c r="H185" s="35">
        <v>6</v>
      </c>
      <c r="I185" s="35">
        <v>3</v>
      </c>
      <c r="J185" s="35">
        <v>0.22</v>
      </c>
      <c r="K185" s="35">
        <v>0.2273</v>
      </c>
      <c r="L185" s="35">
        <v>1</v>
      </c>
      <c r="M185" s="35">
        <v>0.16420000000000001</v>
      </c>
      <c r="N185" s="35">
        <v>10</v>
      </c>
      <c r="O185" s="35">
        <v>42</v>
      </c>
      <c r="P185" s="35">
        <v>52</v>
      </c>
    </row>
    <row r="186" spans="1:16">
      <c r="A186" s="35">
        <v>795</v>
      </c>
      <c r="B186" s="36">
        <v>40579</v>
      </c>
      <c r="C186" s="35">
        <v>1</v>
      </c>
      <c r="D186" s="35">
        <v>0</v>
      </c>
      <c r="E186" s="35">
        <v>2</v>
      </c>
      <c r="F186" s="35">
        <v>13</v>
      </c>
      <c r="G186" s="35" t="b">
        <v>0</v>
      </c>
      <c r="H186" s="35">
        <v>6</v>
      </c>
      <c r="I186" s="35">
        <v>3</v>
      </c>
      <c r="J186" s="35">
        <v>0.22</v>
      </c>
      <c r="K186" s="35">
        <v>0.2273</v>
      </c>
      <c r="L186" s="35">
        <v>1</v>
      </c>
      <c r="M186" s="35">
        <v>0.16420000000000001</v>
      </c>
      <c r="N186" s="35">
        <v>10</v>
      </c>
      <c r="O186" s="35">
        <v>62</v>
      </c>
      <c r="P186" s="35">
        <v>72</v>
      </c>
    </row>
    <row r="187" spans="1:16">
      <c r="A187" s="35">
        <v>796</v>
      </c>
      <c r="B187" s="36">
        <v>40579</v>
      </c>
      <c r="C187" s="35">
        <v>1</v>
      </c>
      <c r="D187" s="35">
        <v>0</v>
      </c>
      <c r="E187" s="35">
        <v>2</v>
      </c>
      <c r="F187" s="35">
        <v>14</v>
      </c>
      <c r="G187" s="35" t="b">
        <v>0</v>
      </c>
      <c r="H187" s="35">
        <v>6</v>
      </c>
      <c r="I187" s="35">
        <v>3</v>
      </c>
      <c r="J187" s="35">
        <v>0.22</v>
      </c>
      <c r="K187" s="35">
        <v>0.2727</v>
      </c>
      <c r="L187" s="35">
        <v>1</v>
      </c>
      <c r="M187" s="35">
        <v>0</v>
      </c>
      <c r="N187" s="35">
        <v>5</v>
      </c>
      <c r="O187" s="35">
        <v>50</v>
      </c>
      <c r="P187" s="35">
        <v>55</v>
      </c>
    </row>
    <row r="188" spans="1:16">
      <c r="A188" s="35">
        <v>797</v>
      </c>
      <c r="B188" s="36">
        <v>40579</v>
      </c>
      <c r="C188" s="35">
        <v>1</v>
      </c>
      <c r="D188" s="35">
        <v>0</v>
      </c>
      <c r="E188" s="35">
        <v>2</v>
      </c>
      <c r="F188" s="35">
        <v>15</v>
      </c>
      <c r="G188" s="35" t="b">
        <v>0</v>
      </c>
      <c r="H188" s="35">
        <v>6</v>
      </c>
      <c r="I188" s="35">
        <v>3</v>
      </c>
      <c r="J188" s="35">
        <v>0.22</v>
      </c>
      <c r="K188" s="35">
        <v>0.2727</v>
      </c>
      <c r="L188" s="35">
        <v>1</v>
      </c>
      <c r="M188" s="35">
        <v>0</v>
      </c>
      <c r="N188" s="35">
        <v>11</v>
      </c>
      <c r="O188" s="35">
        <v>49</v>
      </c>
      <c r="P188" s="35">
        <v>60</v>
      </c>
    </row>
    <row r="189" spans="1:16">
      <c r="A189" s="35">
        <v>798</v>
      </c>
      <c r="B189" s="36">
        <v>40579</v>
      </c>
      <c r="C189" s="35">
        <v>1</v>
      </c>
      <c r="D189" s="35">
        <v>0</v>
      </c>
      <c r="E189" s="35">
        <v>2</v>
      </c>
      <c r="F189" s="35">
        <v>16</v>
      </c>
      <c r="G189" s="35" t="b">
        <v>0</v>
      </c>
      <c r="H189" s="35">
        <v>6</v>
      </c>
      <c r="I189" s="35">
        <v>3</v>
      </c>
      <c r="J189" s="35">
        <v>0.22</v>
      </c>
      <c r="K189" s="35">
        <v>0.2273</v>
      </c>
      <c r="L189" s="35">
        <v>1</v>
      </c>
      <c r="M189" s="35">
        <v>0.1343</v>
      </c>
      <c r="N189" s="35">
        <v>8</v>
      </c>
      <c r="O189" s="35">
        <v>63</v>
      </c>
      <c r="P189" s="35">
        <v>71</v>
      </c>
    </row>
    <row r="190" spans="1:16">
      <c r="A190" s="35">
        <v>799</v>
      </c>
      <c r="B190" s="36">
        <v>40579</v>
      </c>
      <c r="C190" s="35">
        <v>1</v>
      </c>
      <c r="D190" s="35">
        <v>0</v>
      </c>
      <c r="E190" s="35">
        <v>2</v>
      </c>
      <c r="F190" s="35">
        <v>17</v>
      </c>
      <c r="G190" s="35" t="b">
        <v>0</v>
      </c>
      <c r="H190" s="35">
        <v>6</v>
      </c>
      <c r="I190" s="35">
        <v>2</v>
      </c>
      <c r="J190" s="35">
        <v>0.24</v>
      </c>
      <c r="K190" s="35">
        <v>0.21210000000000001</v>
      </c>
      <c r="L190" s="35">
        <v>1</v>
      </c>
      <c r="M190" s="35">
        <v>0.28360000000000002</v>
      </c>
      <c r="N190" s="35">
        <v>14</v>
      </c>
      <c r="O190" s="35">
        <v>64</v>
      </c>
      <c r="P190" s="35">
        <v>78</v>
      </c>
    </row>
    <row r="191" spans="1:16">
      <c r="A191" s="35">
        <v>800</v>
      </c>
      <c r="B191" s="36">
        <v>40579</v>
      </c>
      <c r="C191" s="35">
        <v>1</v>
      </c>
      <c r="D191" s="35">
        <v>0</v>
      </c>
      <c r="E191" s="35">
        <v>2</v>
      </c>
      <c r="F191" s="35">
        <v>18</v>
      </c>
      <c r="G191" s="35" t="b">
        <v>0</v>
      </c>
      <c r="H191" s="35">
        <v>6</v>
      </c>
      <c r="I191" s="35">
        <v>2</v>
      </c>
      <c r="J191" s="35">
        <v>0.28000000000000003</v>
      </c>
      <c r="K191" s="35">
        <v>0.2424</v>
      </c>
      <c r="L191" s="35">
        <v>0.93</v>
      </c>
      <c r="M191" s="35">
        <v>0.44779999999999998</v>
      </c>
      <c r="N191" s="35">
        <v>2</v>
      </c>
      <c r="O191" s="35">
        <v>81</v>
      </c>
      <c r="P191" s="35">
        <v>83</v>
      </c>
    </row>
    <row r="192" spans="1:16">
      <c r="A192" s="35">
        <v>801</v>
      </c>
      <c r="B192" s="36">
        <v>40579</v>
      </c>
      <c r="C192" s="35">
        <v>1</v>
      </c>
      <c r="D192" s="35">
        <v>0</v>
      </c>
      <c r="E192" s="35">
        <v>2</v>
      </c>
      <c r="F192" s="35">
        <v>19</v>
      </c>
      <c r="G192" s="35" t="b">
        <v>0</v>
      </c>
      <c r="H192" s="35">
        <v>6</v>
      </c>
      <c r="I192" s="35">
        <v>2</v>
      </c>
      <c r="J192" s="35">
        <v>0.28000000000000003</v>
      </c>
      <c r="K192" s="35">
        <v>0.2424</v>
      </c>
      <c r="L192" s="35">
        <v>0.93</v>
      </c>
      <c r="M192" s="35">
        <v>0.44779999999999998</v>
      </c>
      <c r="N192" s="35">
        <v>6</v>
      </c>
      <c r="O192" s="35">
        <v>78</v>
      </c>
      <c r="P192" s="35">
        <v>84</v>
      </c>
    </row>
    <row r="193" spans="1:16">
      <c r="A193" s="35">
        <v>802</v>
      </c>
      <c r="B193" s="36">
        <v>40579</v>
      </c>
      <c r="C193" s="35">
        <v>1</v>
      </c>
      <c r="D193" s="35">
        <v>0</v>
      </c>
      <c r="E193" s="35">
        <v>2</v>
      </c>
      <c r="F193" s="35">
        <v>20</v>
      </c>
      <c r="G193" s="35" t="b">
        <v>0</v>
      </c>
      <c r="H193" s="35">
        <v>6</v>
      </c>
      <c r="I193" s="35">
        <v>1</v>
      </c>
      <c r="J193" s="35">
        <v>0.3</v>
      </c>
      <c r="K193" s="35">
        <v>0.28789999999999999</v>
      </c>
      <c r="L193" s="35">
        <v>0.87</v>
      </c>
      <c r="M193" s="35">
        <v>0.25369999999999998</v>
      </c>
      <c r="N193" s="35">
        <v>5</v>
      </c>
      <c r="O193" s="35">
        <v>64</v>
      </c>
      <c r="P193" s="35">
        <v>69</v>
      </c>
    </row>
    <row r="194" spans="1:16">
      <c r="A194" s="35">
        <v>803</v>
      </c>
      <c r="B194" s="36">
        <v>40579</v>
      </c>
      <c r="C194" s="35">
        <v>1</v>
      </c>
      <c r="D194" s="35">
        <v>0</v>
      </c>
      <c r="E194" s="35">
        <v>2</v>
      </c>
      <c r="F194" s="35">
        <v>21</v>
      </c>
      <c r="G194" s="35" t="b">
        <v>0</v>
      </c>
      <c r="H194" s="35">
        <v>6</v>
      </c>
      <c r="I194" s="35">
        <v>1</v>
      </c>
      <c r="J194" s="35">
        <v>0.26</v>
      </c>
      <c r="K194" s="35">
        <v>0.2576</v>
      </c>
      <c r="L194" s="35">
        <v>1</v>
      </c>
      <c r="M194" s="35">
        <v>0.19400000000000001</v>
      </c>
      <c r="N194" s="35">
        <v>3</v>
      </c>
      <c r="O194" s="35">
        <v>53</v>
      </c>
      <c r="P194" s="35">
        <v>56</v>
      </c>
    </row>
    <row r="195" spans="1:16">
      <c r="A195" s="35">
        <v>804</v>
      </c>
      <c r="B195" s="36">
        <v>40579</v>
      </c>
      <c r="C195" s="35">
        <v>1</v>
      </c>
      <c r="D195" s="35">
        <v>0</v>
      </c>
      <c r="E195" s="35">
        <v>2</v>
      </c>
      <c r="F195" s="35">
        <v>22</v>
      </c>
      <c r="G195" s="35" t="b">
        <v>0</v>
      </c>
      <c r="H195" s="35">
        <v>6</v>
      </c>
      <c r="I195" s="35">
        <v>1</v>
      </c>
      <c r="J195" s="35">
        <v>0.26</v>
      </c>
      <c r="K195" s="35">
        <v>0.2727</v>
      </c>
      <c r="L195" s="35">
        <v>0.93</v>
      </c>
      <c r="M195" s="35">
        <v>0.1343</v>
      </c>
      <c r="N195" s="35">
        <v>2</v>
      </c>
      <c r="O195" s="35">
        <v>43</v>
      </c>
      <c r="P195" s="35">
        <v>45</v>
      </c>
    </row>
    <row r="196" spans="1:16">
      <c r="A196" s="35">
        <v>805</v>
      </c>
      <c r="B196" s="36">
        <v>40579</v>
      </c>
      <c r="C196" s="35">
        <v>1</v>
      </c>
      <c r="D196" s="35">
        <v>0</v>
      </c>
      <c r="E196" s="35">
        <v>2</v>
      </c>
      <c r="F196" s="35">
        <v>23</v>
      </c>
      <c r="G196" s="35" t="b">
        <v>0</v>
      </c>
      <c r="H196" s="35">
        <v>6</v>
      </c>
      <c r="I196" s="35">
        <v>1</v>
      </c>
      <c r="J196" s="35">
        <v>0.26</v>
      </c>
      <c r="K196" s="35">
        <v>0.2576</v>
      </c>
      <c r="L196" s="35">
        <v>0.93</v>
      </c>
      <c r="M196" s="35">
        <v>0.22389999999999999</v>
      </c>
      <c r="N196" s="35">
        <v>7</v>
      </c>
      <c r="O196" s="35">
        <v>52</v>
      </c>
      <c r="P196" s="35">
        <v>59</v>
      </c>
    </row>
    <row r="197" spans="1:16">
      <c r="A197" s="35">
        <v>806</v>
      </c>
      <c r="B197" s="36">
        <v>40580</v>
      </c>
      <c r="C197" s="35">
        <v>1</v>
      </c>
      <c r="D197" s="35">
        <v>0</v>
      </c>
      <c r="E197" s="35">
        <v>2</v>
      </c>
      <c r="F197" s="35">
        <v>0</v>
      </c>
      <c r="G197" s="35" t="b">
        <v>0</v>
      </c>
      <c r="H197" s="35">
        <v>0</v>
      </c>
      <c r="I197" s="35">
        <v>1</v>
      </c>
      <c r="J197" s="35">
        <v>0.26</v>
      </c>
      <c r="K197" s="35">
        <v>0.2576</v>
      </c>
      <c r="L197" s="35">
        <v>0.7</v>
      </c>
      <c r="M197" s="35">
        <v>0.19400000000000001</v>
      </c>
      <c r="N197" s="35">
        <v>2</v>
      </c>
      <c r="O197" s="35">
        <v>37</v>
      </c>
      <c r="P197" s="35">
        <v>39</v>
      </c>
    </row>
    <row r="198" spans="1:16">
      <c r="A198" s="35">
        <v>807</v>
      </c>
      <c r="B198" s="36">
        <v>40580</v>
      </c>
      <c r="C198" s="35">
        <v>1</v>
      </c>
      <c r="D198" s="35">
        <v>0</v>
      </c>
      <c r="E198" s="35">
        <v>2</v>
      </c>
      <c r="F198" s="35">
        <v>1</v>
      </c>
      <c r="G198" s="35" t="b">
        <v>0</v>
      </c>
      <c r="H198" s="35">
        <v>0</v>
      </c>
      <c r="I198" s="35">
        <v>1</v>
      </c>
      <c r="J198" s="35">
        <v>0.26</v>
      </c>
      <c r="K198" s="35">
        <v>0.2273</v>
      </c>
      <c r="L198" s="35">
        <v>0.65</v>
      </c>
      <c r="M198" s="35">
        <v>0.41789999999999999</v>
      </c>
      <c r="N198" s="35">
        <v>4</v>
      </c>
      <c r="O198" s="35">
        <v>40</v>
      </c>
      <c r="P198" s="35">
        <v>44</v>
      </c>
    </row>
    <row r="199" spans="1:16">
      <c r="A199" s="35">
        <v>808</v>
      </c>
      <c r="B199" s="36">
        <v>40580</v>
      </c>
      <c r="C199" s="35">
        <v>1</v>
      </c>
      <c r="D199" s="35">
        <v>0</v>
      </c>
      <c r="E199" s="35">
        <v>2</v>
      </c>
      <c r="F199" s="35">
        <v>2</v>
      </c>
      <c r="G199" s="35" t="b">
        <v>0</v>
      </c>
      <c r="H199" s="35">
        <v>0</v>
      </c>
      <c r="I199" s="35">
        <v>1</v>
      </c>
      <c r="J199" s="35">
        <v>0.26</v>
      </c>
      <c r="K199" s="35">
        <v>0.2273</v>
      </c>
      <c r="L199" s="35">
        <v>0.6</v>
      </c>
      <c r="M199" s="35">
        <v>0.32840000000000003</v>
      </c>
      <c r="N199" s="35">
        <v>0</v>
      </c>
      <c r="O199" s="35">
        <v>20</v>
      </c>
      <c r="P199" s="35">
        <v>20</v>
      </c>
    </row>
    <row r="200" spans="1:16">
      <c r="A200" s="35">
        <v>809</v>
      </c>
      <c r="B200" s="36">
        <v>40580</v>
      </c>
      <c r="C200" s="35">
        <v>1</v>
      </c>
      <c r="D200" s="35">
        <v>0</v>
      </c>
      <c r="E200" s="35">
        <v>2</v>
      </c>
      <c r="F200" s="35">
        <v>3</v>
      </c>
      <c r="G200" s="35" t="b">
        <v>0</v>
      </c>
      <c r="H200" s="35">
        <v>0</v>
      </c>
      <c r="I200" s="35">
        <v>1</v>
      </c>
      <c r="J200" s="35">
        <v>0.26</v>
      </c>
      <c r="K200" s="35">
        <v>0.28789999999999999</v>
      </c>
      <c r="L200" s="35">
        <v>0.6</v>
      </c>
      <c r="M200" s="35">
        <v>8.9599999999999999E-2</v>
      </c>
      <c r="N200" s="35">
        <v>3</v>
      </c>
      <c r="O200" s="35">
        <v>10</v>
      </c>
      <c r="P200" s="35">
        <v>13</v>
      </c>
    </row>
    <row r="201" spans="1:16">
      <c r="A201" s="35">
        <v>810</v>
      </c>
      <c r="B201" s="36">
        <v>40580</v>
      </c>
      <c r="C201" s="35">
        <v>1</v>
      </c>
      <c r="D201" s="35">
        <v>0</v>
      </c>
      <c r="E201" s="35">
        <v>2</v>
      </c>
      <c r="F201" s="35">
        <v>4</v>
      </c>
      <c r="G201" s="35" t="b">
        <v>0</v>
      </c>
      <c r="H201" s="35">
        <v>0</v>
      </c>
      <c r="I201" s="35">
        <v>1</v>
      </c>
      <c r="J201" s="35">
        <v>0.26</v>
      </c>
      <c r="K201" s="35">
        <v>0.2273</v>
      </c>
      <c r="L201" s="35">
        <v>0.6</v>
      </c>
      <c r="M201" s="35">
        <v>0.35820000000000002</v>
      </c>
      <c r="N201" s="35">
        <v>0</v>
      </c>
      <c r="O201" s="35">
        <v>2</v>
      </c>
      <c r="P201" s="35">
        <v>2</v>
      </c>
    </row>
    <row r="202" spans="1:16">
      <c r="A202" s="35">
        <v>811</v>
      </c>
      <c r="B202" s="36">
        <v>40580</v>
      </c>
      <c r="C202" s="35">
        <v>1</v>
      </c>
      <c r="D202" s="35">
        <v>0</v>
      </c>
      <c r="E202" s="35">
        <v>2</v>
      </c>
      <c r="F202" s="35">
        <v>5</v>
      </c>
      <c r="G202" s="35" t="b">
        <v>0</v>
      </c>
      <c r="H202" s="35">
        <v>0</v>
      </c>
      <c r="I202" s="35">
        <v>1</v>
      </c>
      <c r="J202" s="35">
        <v>0.26</v>
      </c>
      <c r="K202" s="35">
        <v>0.2576</v>
      </c>
      <c r="L202" s="35">
        <v>0.6</v>
      </c>
      <c r="M202" s="35">
        <v>0.22389999999999999</v>
      </c>
      <c r="N202" s="35">
        <v>0</v>
      </c>
      <c r="O202" s="35">
        <v>1</v>
      </c>
      <c r="P202" s="35">
        <v>1</v>
      </c>
    </row>
    <row r="203" spans="1:16">
      <c r="A203" s="35">
        <v>812</v>
      </c>
      <c r="B203" s="36">
        <v>40580</v>
      </c>
      <c r="C203" s="35">
        <v>1</v>
      </c>
      <c r="D203" s="35">
        <v>0</v>
      </c>
      <c r="E203" s="35">
        <v>2</v>
      </c>
      <c r="F203" s="35">
        <v>6</v>
      </c>
      <c r="G203" s="35" t="b">
        <v>0</v>
      </c>
      <c r="H203" s="35">
        <v>0</v>
      </c>
      <c r="I203" s="35">
        <v>1</v>
      </c>
      <c r="J203" s="35">
        <v>0.26</v>
      </c>
      <c r="K203" s="35">
        <v>0.2576</v>
      </c>
      <c r="L203" s="35">
        <v>0.6</v>
      </c>
      <c r="M203" s="35">
        <v>0.22389999999999999</v>
      </c>
      <c r="N203" s="35">
        <v>0</v>
      </c>
      <c r="O203" s="35">
        <v>1</v>
      </c>
      <c r="P203" s="35">
        <v>1</v>
      </c>
    </row>
    <row r="204" spans="1:16">
      <c r="A204" s="35">
        <v>813</v>
      </c>
      <c r="B204" s="36">
        <v>40580</v>
      </c>
      <c r="C204" s="35">
        <v>1</v>
      </c>
      <c r="D204" s="35">
        <v>0</v>
      </c>
      <c r="E204" s="35">
        <v>2</v>
      </c>
      <c r="F204" s="35">
        <v>7</v>
      </c>
      <c r="G204" s="35" t="b">
        <v>0</v>
      </c>
      <c r="H204" s="35">
        <v>0</v>
      </c>
      <c r="I204" s="35">
        <v>1</v>
      </c>
      <c r="J204" s="35">
        <v>0.24</v>
      </c>
      <c r="K204" s="35">
        <v>0.2424</v>
      </c>
      <c r="L204" s="35">
        <v>0.65</v>
      </c>
      <c r="M204" s="35">
        <v>0.16420000000000001</v>
      </c>
      <c r="N204" s="35">
        <v>0</v>
      </c>
      <c r="O204" s="35">
        <v>8</v>
      </c>
      <c r="P204" s="35">
        <v>8</v>
      </c>
    </row>
    <row r="205" spans="1:16">
      <c r="A205" s="35">
        <v>814</v>
      </c>
      <c r="B205" s="36">
        <v>40580</v>
      </c>
      <c r="C205" s="35">
        <v>1</v>
      </c>
      <c r="D205" s="35">
        <v>0</v>
      </c>
      <c r="E205" s="35">
        <v>2</v>
      </c>
      <c r="F205" s="35">
        <v>8</v>
      </c>
      <c r="G205" s="35" t="b">
        <v>0</v>
      </c>
      <c r="H205" s="35">
        <v>0</v>
      </c>
      <c r="I205" s="35">
        <v>1</v>
      </c>
      <c r="J205" s="35">
        <v>0.24</v>
      </c>
      <c r="K205" s="35">
        <v>0.2576</v>
      </c>
      <c r="L205" s="35">
        <v>0.65</v>
      </c>
      <c r="M205" s="35">
        <v>0.1045</v>
      </c>
      <c r="N205" s="35">
        <v>2</v>
      </c>
      <c r="O205" s="35">
        <v>21</v>
      </c>
      <c r="P205" s="35">
        <v>23</v>
      </c>
    </row>
    <row r="206" spans="1:16">
      <c r="A206" s="35">
        <v>815</v>
      </c>
      <c r="B206" s="36">
        <v>40580</v>
      </c>
      <c r="C206" s="35">
        <v>1</v>
      </c>
      <c r="D206" s="35">
        <v>0</v>
      </c>
      <c r="E206" s="35">
        <v>2</v>
      </c>
      <c r="F206" s="35">
        <v>9</v>
      </c>
      <c r="G206" s="35" t="b">
        <v>0</v>
      </c>
      <c r="H206" s="35">
        <v>0</v>
      </c>
      <c r="I206" s="35">
        <v>1</v>
      </c>
      <c r="J206" s="35">
        <v>0.28000000000000003</v>
      </c>
      <c r="K206" s="35">
        <v>0.28789999999999999</v>
      </c>
      <c r="L206" s="35">
        <v>0.56000000000000005</v>
      </c>
      <c r="M206" s="35">
        <v>0.1045</v>
      </c>
      <c r="N206" s="35">
        <v>7</v>
      </c>
      <c r="O206" s="35">
        <v>38</v>
      </c>
      <c r="P206" s="35">
        <v>45</v>
      </c>
    </row>
    <row r="207" spans="1:16">
      <c r="A207" s="35">
        <v>816</v>
      </c>
      <c r="B207" s="36">
        <v>40580</v>
      </c>
      <c r="C207" s="35">
        <v>1</v>
      </c>
      <c r="D207" s="35">
        <v>0</v>
      </c>
      <c r="E207" s="35">
        <v>2</v>
      </c>
      <c r="F207" s="35">
        <v>10</v>
      </c>
      <c r="G207" s="35" t="b">
        <v>0</v>
      </c>
      <c r="H207" s="35">
        <v>0</v>
      </c>
      <c r="I207" s="35">
        <v>1</v>
      </c>
      <c r="J207" s="35">
        <v>0.3</v>
      </c>
      <c r="K207" s="35">
        <v>0.28789999999999999</v>
      </c>
      <c r="L207" s="35">
        <v>0.52</v>
      </c>
      <c r="M207" s="35">
        <v>0.25369999999999998</v>
      </c>
      <c r="N207" s="35">
        <v>15</v>
      </c>
      <c r="O207" s="35">
        <v>74</v>
      </c>
      <c r="P207" s="35">
        <v>89</v>
      </c>
    </row>
    <row r="208" spans="1:16">
      <c r="A208" s="35">
        <v>817</v>
      </c>
      <c r="B208" s="36">
        <v>40580</v>
      </c>
      <c r="C208" s="35">
        <v>1</v>
      </c>
      <c r="D208" s="35">
        <v>0</v>
      </c>
      <c r="E208" s="35">
        <v>2</v>
      </c>
      <c r="F208" s="35">
        <v>11</v>
      </c>
      <c r="G208" s="35" t="b">
        <v>0</v>
      </c>
      <c r="H208" s="35">
        <v>0</v>
      </c>
      <c r="I208" s="35">
        <v>1</v>
      </c>
      <c r="J208" s="35">
        <v>0.32</v>
      </c>
      <c r="K208" s="35">
        <v>0.30299999999999999</v>
      </c>
      <c r="L208" s="35">
        <v>0.49</v>
      </c>
      <c r="M208" s="35">
        <v>0.25369999999999998</v>
      </c>
      <c r="N208" s="35">
        <v>28</v>
      </c>
      <c r="O208" s="35">
        <v>89</v>
      </c>
      <c r="P208" s="35">
        <v>117</v>
      </c>
    </row>
    <row r="209" spans="1:16">
      <c r="A209" s="35">
        <v>818</v>
      </c>
      <c r="B209" s="36">
        <v>40580</v>
      </c>
      <c r="C209" s="35">
        <v>1</v>
      </c>
      <c r="D209" s="35">
        <v>0</v>
      </c>
      <c r="E209" s="35">
        <v>2</v>
      </c>
      <c r="F209" s="35">
        <v>12</v>
      </c>
      <c r="G209" s="35" t="b">
        <v>0</v>
      </c>
      <c r="H209" s="35">
        <v>0</v>
      </c>
      <c r="I209" s="35">
        <v>1</v>
      </c>
      <c r="J209" s="35">
        <v>0.34</v>
      </c>
      <c r="K209" s="35">
        <v>0.33329999999999999</v>
      </c>
      <c r="L209" s="35">
        <v>0.46</v>
      </c>
      <c r="M209" s="35">
        <v>0</v>
      </c>
      <c r="N209" s="35">
        <v>48</v>
      </c>
      <c r="O209" s="35">
        <v>126</v>
      </c>
      <c r="P209" s="35">
        <v>174</v>
      </c>
    </row>
    <row r="210" spans="1:16">
      <c r="A210" s="35">
        <v>819</v>
      </c>
      <c r="B210" s="36">
        <v>40580</v>
      </c>
      <c r="C210" s="35">
        <v>1</v>
      </c>
      <c r="D210" s="35">
        <v>0</v>
      </c>
      <c r="E210" s="35">
        <v>2</v>
      </c>
      <c r="F210" s="35">
        <v>13</v>
      </c>
      <c r="G210" s="35" t="b">
        <v>0</v>
      </c>
      <c r="H210" s="35">
        <v>0</v>
      </c>
      <c r="I210" s="35">
        <v>1</v>
      </c>
      <c r="J210" s="35">
        <v>0.34</v>
      </c>
      <c r="K210" s="35">
        <v>0.36359999999999998</v>
      </c>
      <c r="L210" s="35">
        <v>0.46</v>
      </c>
      <c r="M210" s="35">
        <v>0</v>
      </c>
      <c r="N210" s="35">
        <v>47</v>
      </c>
      <c r="O210" s="35">
        <v>135</v>
      </c>
      <c r="P210" s="35">
        <v>182</v>
      </c>
    </row>
    <row r="211" spans="1:16">
      <c r="A211" s="35">
        <v>820</v>
      </c>
      <c r="B211" s="36">
        <v>40580</v>
      </c>
      <c r="C211" s="35">
        <v>1</v>
      </c>
      <c r="D211" s="35">
        <v>0</v>
      </c>
      <c r="E211" s="35">
        <v>2</v>
      </c>
      <c r="F211" s="35">
        <v>14</v>
      </c>
      <c r="G211" s="35" t="b">
        <v>0</v>
      </c>
      <c r="H211" s="35">
        <v>0</v>
      </c>
      <c r="I211" s="35">
        <v>1</v>
      </c>
      <c r="J211" s="35">
        <v>0.34</v>
      </c>
      <c r="K211" s="35">
        <v>0.34849999999999998</v>
      </c>
      <c r="L211" s="35">
        <v>0.46</v>
      </c>
      <c r="M211" s="35">
        <v>8.9599999999999999E-2</v>
      </c>
      <c r="N211" s="35">
        <v>47</v>
      </c>
      <c r="O211" s="35">
        <v>114</v>
      </c>
      <c r="P211" s="35">
        <v>161</v>
      </c>
    </row>
    <row r="212" spans="1:16">
      <c r="A212" s="35">
        <v>821</v>
      </c>
      <c r="B212" s="36">
        <v>40580</v>
      </c>
      <c r="C212" s="35">
        <v>1</v>
      </c>
      <c r="D212" s="35">
        <v>0</v>
      </c>
      <c r="E212" s="35">
        <v>2</v>
      </c>
      <c r="F212" s="35">
        <v>15</v>
      </c>
      <c r="G212" s="35" t="b">
        <v>0</v>
      </c>
      <c r="H212" s="35">
        <v>0</v>
      </c>
      <c r="I212" s="35">
        <v>1</v>
      </c>
      <c r="J212" s="35">
        <v>0.34</v>
      </c>
      <c r="K212" s="35">
        <v>0.34849999999999998</v>
      </c>
      <c r="L212" s="35">
        <v>0.46</v>
      </c>
      <c r="M212" s="35">
        <v>8.9599999999999999E-2</v>
      </c>
      <c r="N212" s="35">
        <v>52</v>
      </c>
      <c r="O212" s="35">
        <v>130</v>
      </c>
      <c r="P212" s="35">
        <v>182</v>
      </c>
    </row>
    <row r="213" spans="1:16">
      <c r="A213" s="35">
        <v>822</v>
      </c>
      <c r="B213" s="36">
        <v>40580</v>
      </c>
      <c r="C213" s="35">
        <v>1</v>
      </c>
      <c r="D213" s="35">
        <v>0</v>
      </c>
      <c r="E213" s="35">
        <v>2</v>
      </c>
      <c r="F213" s="35">
        <v>16</v>
      </c>
      <c r="G213" s="35" t="b">
        <v>0</v>
      </c>
      <c r="H213" s="35">
        <v>0</v>
      </c>
      <c r="I213" s="35">
        <v>1</v>
      </c>
      <c r="J213" s="35">
        <v>0.34</v>
      </c>
      <c r="K213" s="35">
        <v>0.34849999999999998</v>
      </c>
      <c r="L213" s="35">
        <v>0.49</v>
      </c>
      <c r="M213" s="35">
        <v>0.1045</v>
      </c>
      <c r="N213" s="35">
        <v>42</v>
      </c>
      <c r="O213" s="35">
        <v>115</v>
      </c>
      <c r="P213" s="35">
        <v>157</v>
      </c>
    </row>
    <row r="214" spans="1:16">
      <c r="A214" s="35">
        <v>823</v>
      </c>
      <c r="B214" s="36">
        <v>40580</v>
      </c>
      <c r="C214" s="35">
        <v>1</v>
      </c>
      <c r="D214" s="35">
        <v>0</v>
      </c>
      <c r="E214" s="35">
        <v>2</v>
      </c>
      <c r="F214" s="35">
        <v>17</v>
      </c>
      <c r="G214" s="35" t="b">
        <v>0</v>
      </c>
      <c r="H214" s="35">
        <v>0</v>
      </c>
      <c r="I214" s="35">
        <v>1</v>
      </c>
      <c r="J214" s="35">
        <v>0.34</v>
      </c>
      <c r="K214" s="35">
        <v>0.36359999999999998</v>
      </c>
      <c r="L214" s="35">
        <v>0.46</v>
      </c>
      <c r="M214" s="35">
        <v>0</v>
      </c>
      <c r="N214" s="35">
        <v>24</v>
      </c>
      <c r="O214" s="35">
        <v>97</v>
      </c>
      <c r="P214" s="35">
        <v>121</v>
      </c>
    </row>
    <row r="215" spans="1:16">
      <c r="A215" s="35">
        <v>824</v>
      </c>
      <c r="B215" s="36">
        <v>40580</v>
      </c>
      <c r="C215" s="35">
        <v>1</v>
      </c>
      <c r="D215" s="35">
        <v>0</v>
      </c>
      <c r="E215" s="35">
        <v>2</v>
      </c>
      <c r="F215" s="35">
        <v>18</v>
      </c>
      <c r="G215" s="35" t="b">
        <v>0</v>
      </c>
      <c r="H215" s="35">
        <v>0</v>
      </c>
      <c r="I215" s="35">
        <v>1</v>
      </c>
      <c r="J215" s="35">
        <v>0.3</v>
      </c>
      <c r="K215" s="35">
        <v>0.30299999999999999</v>
      </c>
      <c r="L215" s="35">
        <v>0.56000000000000005</v>
      </c>
      <c r="M215" s="35">
        <v>0.16420000000000001</v>
      </c>
      <c r="N215" s="35">
        <v>13</v>
      </c>
      <c r="O215" s="35">
        <v>65</v>
      </c>
      <c r="P215" s="35">
        <v>78</v>
      </c>
    </row>
    <row r="216" spans="1:16">
      <c r="A216" s="35">
        <v>825</v>
      </c>
      <c r="B216" s="36">
        <v>40580</v>
      </c>
      <c r="C216" s="35">
        <v>1</v>
      </c>
      <c r="D216" s="35">
        <v>0</v>
      </c>
      <c r="E216" s="35">
        <v>2</v>
      </c>
      <c r="F216" s="35">
        <v>19</v>
      </c>
      <c r="G216" s="35" t="b">
        <v>0</v>
      </c>
      <c r="H216" s="35">
        <v>0</v>
      </c>
      <c r="I216" s="35">
        <v>1</v>
      </c>
      <c r="J216" s="35">
        <v>0.28000000000000003</v>
      </c>
      <c r="K216" s="35">
        <v>0.28789999999999999</v>
      </c>
      <c r="L216" s="35">
        <v>0.61</v>
      </c>
      <c r="M216" s="35">
        <v>0.1343</v>
      </c>
      <c r="N216" s="35">
        <v>1</v>
      </c>
      <c r="O216" s="35">
        <v>20</v>
      </c>
      <c r="P216" s="35">
        <v>21</v>
      </c>
    </row>
    <row r="217" spans="1:16">
      <c r="A217" s="35">
        <v>826</v>
      </c>
      <c r="B217" s="36">
        <v>40580</v>
      </c>
      <c r="C217" s="35">
        <v>1</v>
      </c>
      <c r="D217" s="35">
        <v>0</v>
      </c>
      <c r="E217" s="35">
        <v>2</v>
      </c>
      <c r="F217" s="35">
        <v>20</v>
      </c>
      <c r="G217" s="35" t="b">
        <v>0</v>
      </c>
      <c r="H217" s="35">
        <v>0</v>
      </c>
      <c r="I217" s="35">
        <v>1</v>
      </c>
      <c r="J217" s="35">
        <v>0.28000000000000003</v>
      </c>
      <c r="K217" s="35">
        <v>0.28789999999999999</v>
      </c>
      <c r="L217" s="35">
        <v>0.61</v>
      </c>
      <c r="M217" s="35">
        <v>0.1045</v>
      </c>
      <c r="N217" s="35">
        <v>5</v>
      </c>
      <c r="O217" s="35">
        <v>21</v>
      </c>
      <c r="P217" s="35">
        <v>26</v>
      </c>
    </row>
    <row r="218" spans="1:16">
      <c r="A218" s="35">
        <v>827</v>
      </c>
      <c r="B218" s="36">
        <v>40580</v>
      </c>
      <c r="C218" s="35">
        <v>1</v>
      </c>
      <c r="D218" s="35">
        <v>0</v>
      </c>
      <c r="E218" s="35">
        <v>2</v>
      </c>
      <c r="F218" s="35">
        <v>21</v>
      </c>
      <c r="G218" s="35" t="b">
        <v>0</v>
      </c>
      <c r="H218" s="35">
        <v>0</v>
      </c>
      <c r="I218" s="35">
        <v>1</v>
      </c>
      <c r="J218" s="35">
        <v>0.26</v>
      </c>
      <c r="K218" s="35">
        <v>0.30299999999999999</v>
      </c>
      <c r="L218" s="35">
        <v>0.6</v>
      </c>
      <c r="M218" s="35">
        <v>0</v>
      </c>
      <c r="N218" s="35">
        <v>5</v>
      </c>
      <c r="O218" s="35">
        <v>22</v>
      </c>
      <c r="P218" s="35">
        <v>27</v>
      </c>
    </row>
    <row r="219" spans="1:16">
      <c r="A219" s="35">
        <v>828</v>
      </c>
      <c r="B219" s="36">
        <v>40580</v>
      </c>
      <c r="C219" s="35">
        <v>1</v>
      </c>
      <c r="D219" s="35">
        <v>0</v>
      </c>
      <c r="E219" s="35">
        <v>2</v>
      </c>
      <c r="F219" s="35">
        <v>22</v>
      </c>
      <c r="G219" s="35" t="b">
        <v>0</v>
      </c>
      <c r="H219" s="35">
        <v>0</v>
      </c>
      <c r="I219" s="35">
        <v>1</v>
      </c>
      <c r="J219" s="35">
        <v>0.26</v>
      </c>
      <c r="K219" s="35">
        <v>0.30299999999999999</v>
      </c>
      <c r="L219" s="35">
        <v>0.6</v>
      </c>
      <c r="M219" s="35">
        <v>0</v>
      </c>
      <c r="N219" s="35">
        <v>5</v>
      </c>
      <c r="O219" s="35">
        <v>57</v>
      </c>
      <c r="P219" s="35">
        <v>62</v>
      </c>
    </row>
    <row r="220" spans="1:16">
      <c r="A220" s="35">
        <v>829</v>
      </c>
      <c r="B220" s="36">
        <v>40580</v>
      </c>
      <c r="C220" s="35">
        <v>1</v>
      </c>
      <c r="D220" s="35">
        <v>0</v>
      </c>
      <c r="E220" s="35">
        <v>2</v>
      </c>
      <c r="F220" s="35">
        <v>23</v>
      </c>
      <c r="G220" s="35" t="b">
        <v>0</v>
      </c>
      <c r="H220" s="35">
        <v>0</v>
      </c>
      <c r="I220" s="35">
        <v>1</v>
      </c>
      <c r="J220" s="35">
        <v>0.24</v>
      </c>
      <c r="K220" s="35">
        <v>0.28789999999999999</v>
      </c>
      <c r="L220" s="35">
        <v>0.65</v>
      </c>
      <c r="M220" s="35">
        <v>0</v>
      </c>
      <c r="N220" s="35">
        <v>4</v>
      </c>
      <c r="O220" s="35">
        <v>26</v>
      </c>
      <c r="P220" s="35">
        <v>30</v>
      </c>
    </row>
    <row r="221" spans="1:16">
      <c r="A221" s="35">
        <v>830</v>
      </c>
      <c r="B221" s="36">
        <v>40581</v>
      </c>
      <c r="C221" s="35">
        <v>1</v>
      </c>
      <c r="D221" s="35">
        <v>0</v>
      </c>
      <c r="E221" s="35">
        <v>2</v>
      </c>
      <c r="F221" s="35">
        <v>0</v>
      </c>
      <c r="G221" s="35" t="b">
        <v>0</v>
      </c>
      <c r="H221" s="35">
        <v>1</v>
      </c>
      <c r="I221" s="35">
        <v>1</v>
      </c>
      <c r="J221" s="35">
        <v>0.24</v>
      </c>
      <c r="K221" s="35">
        <v>0.28789999999999999</v>
      </c>
      <c r="L221" s="35">
        <v>0.65</v>
      </c>
      <c r="M221" s="35">
        <v>0</v>
      </c>
      <c r="N221" s="35">
        <v>1</v>
      </c>
      <c r="O221" s="35">
        <v>14</v>
      </c>
      <c r="P221" s="35">
        <v>15</v>
      </c>
    </row>
    <row r="222" spans="1:16">
      <c r="A222" s="35">
        <v>831</v>
      </c>
      <c r="B222" s="36">
        <v>40581</v>
      </c>
      <c r="C222" s="35">
        <v>1</v>
      </c>
      <c r="D222" s="35">
        <v>0</v>
      </c>
      <c r="E222" s="35">
        <v>2</v>
      </c>
      <c r="F222" s="35">
        <v>1</v>
      </c>
      <c r="G222" s="35" t="b">
        <v>0</v>
      </c>
      <c r="H222" s="35">
        <v>1</v>
      </c>
      <c r="I222" s="35">
        <v>1</v>
      </c>
      <c r="J222" s="35">
        <v>0.22</v>
      </c>
      <c r="K222" s="35">
        <v>0.2727</v>
      </c>
      <c r="L222" s="35">
        <v>0.75</v>
      </c>
      <c r="M222" s="35">
        <v>0</v>
      </c>
      <c r="N222" s="35">
        <v>1</v>
      </c>
      <c r="O222" s="35">
        <v>4</v>
      </c>
      <c r="P222" s="35">
        <v>5</v>
      </c>
    </row>
    <row r="223" spans="1:16">
      <c r="A223" s="35">
        <v>832</v>
      </c>
      <c r="B223" s="36">
        <v>40581</v>
      </c>
      <c r="C223" s="35">
        <v>1</v>
      </c>
      <c r="D223" s="35">
        <v>0</v>
      </c>
      <c r="E223" s="35">
        <v>2</v>
      </c>
      <c r="F223" s="35">
        <v>2</v>
      </c>
      <c r="G223" s="35" t="b">
        <v>0</v>
      </c>
      <c r="H223" s="35">
        <v>1</v>
      </c>
      <c r="I223" s="35">
        <v>1</v>
      </c>
      <c r="J223" s="35">
        <v>0.2</v>
      </c>
      <c r="K223" s="35">
        <v>0.2576</v>
      </c>
      <c r="L223" s="35">
        <v>0.8</v>
      </c>
      <c r="M223" s="35">
        <v>0</v>
      </c>
      <c r="N223" s="35">
        <v>0</v>
      </c>
      <c r="O223" s="35">
        <v>3</v>
      </c>
      <c r="P223" s="35">
        <v>3</v>
      </c>
    </row>
    <row r="224" spans="1:16">
      <c r="A224" s="35">
        <v>833</v>
      </c>
      <c r="B224" s="36">
        <v>40581</v>
      </c>
      <c r="C224" s="35">
        <v>1</v>
      </c>
      <c r="D224" s="35">
        <v>0</v>
      </c>
      <c r="E224" s="35">
        <v>2</v>
      </c>
      <c r="F224" s="35">
        <v>3</v>
      </c>
      <c r="G224" s="35" t="b">
        <v>0</v>
      </c>
      <c r="H224" s="35">
        <v>1</v>
      </c>
      <c r="I224" s="35">
        <v>1</v>
      </c>
      <c r="J224" s="35">
        <v>0.2</v>
      </c>
      <c r="K224" s="35">
        <v>0.2576</v>
      </c>
      <c r="L224" s="35">
        <v>0.86</v>
      </c>
      <c r="M224" s="35">
        <v>0</v>
      </c>
      <c r="N224" s="35">
        <v>0</v>
      </c>
      <c r="O224" s="35">
        <v>1</v>
      </c>
      <c r="P224" s="35">
        <v>1</v>
      </c>
    </row>
    <row r="225" spans="1:16">
      <c r="A225" s="35">
        <v>834</v>
      </c>
      <c r="B225" s="36">
        <v>40581</v>
      </c>
      <c r="C225" s="35">
        <v>1</v>
      </c>
      <c r="D225" s="35">
        <v>0</v>
      </c>
      <c r="E225" s="35">
        <v>2</v>
      </c>
      <c r="F225" s="35">
        <v>4</v>
      </c>
      <c r="G225" s="35" t="b">
        <v>0</v>
      </c>
      <c r="H225" s="35">
        <v>1</v>
      </c>
      <c r="I225" s="35">
        <v>1</v>
      </c>
      <c r="J225" s="35">
        <v>0.2</v>
      </c>
      <c r="K225" s="35">
        <v>0.2576</v>
      </c>
      <c r="L225" s="35">
        <v>0.86</v>
      </c>
      <c r="M225" s="35">
        <v>0</v>
      </c>
      <c r="N225" s="35">
        <v>1</v>
      </c>
      <c r="O225" s="35">
        <v>1</v>
      </c>
      <c r="P225" s="35">
        <v>2</v>
      </c>
    </row>
    <row r="226" spans="1:16">
      <c r="A226" s="35">
        <v>835</v>
      </c>
      <c r="B226" s="36">
        <v>40581</v>
      </c>
      <c r="C226" s="35">
        <v>1</v>
      </c>
      <c r="D226" s="35">
        <v>0</v>
      </c>
      <c r="E226" s="35">
        <v>2</v>
      </c>
      <c r="F226" s="35">
        <v>5</v>
      </c>
      <c r="G226" s="35" t="b">
        <v>0</v>
      </c>
      <c r="H226" s="35">
        <v>1</v>
      </c>
      <c r="I226" s="35">
        <v>1</v>
      </c>
      <c r="J226" s="35">
        <v>0.2</v>
      </c>
      <c r="K226" s="35">
        <v>0.2576</v>
      </c>
      <c r="L226" s="35">
        <v>0.86</v>
      </c>
      <c r="M226" s="35">
        <v>0</v>
      </c>
      <c r="N226" s="35">
        <v>1</v>
      </c>
      <c r="O226" s="35">
        <v>9</v>
      </c>
      <c r="P226" s="35">
        <v>10</v>
      </c>
    </row>
    <row r="227" spans="1:16">
      <c r="A227" s="35">
        <v>836</v>
      </c>
      <c r="B227" s="36">
        <v>40581</v>
      </c>
      <c r="C227" s="35">
        <v>1</v>
      </c>
      <c r="D227" s="35">
        <v>0</v>
      </c>
      <c r="E227" s="35">
        <v>2</v>
      </c>
      <c r="F227" s="35">
        <v>6</v>
      </c>
      <c r="G227" s="35" t="b">
        <v>0</v>
      </c>
      <c r="H227" s="35">
        <v>1</v>
      </c>
      <c r="I227" s="35">
        <v>1</v>
      </c>
      <c r="J227" s="35">
        <v>0.18</v>
      </c>
      <c r="K227" s="35">
        <v>0.2424</v>
      </c>
      <c r="L227" s="35">
        <v>0.93</v>
      </c>
      <c r="M227" s="35">
        <v>0</v>
      </c>
      <c r="N227" s="35">
        <v>1</v>
      </c>
      <c r="O227" s="35">
        <v>29</v>
      </c>
      <c r="P227" s="35">
        <v>30</v>
      </c>
    </row>
    <row r="228" spans="1:16">
      <c r="A228" s="35">
        <v>837</v>
      </c>
      <c r="B228" s="36">
        <v>40581</v>
      </c>
      <c r="C228" s="35">
        <v>1</v>
      </c>
      <c r="D228" s="35">
        <v>0</v>
      </c>
      <c r="E228" s="35">
        <v>2</v>
      </c>
      <c r="F228" s="35">
        <v>7</v>
      </c>
      <c r="G228" s="35" t="b">
        <v>0</v>
      </c>
      <c r="H228" s="35">
        <v>1</v>
      </c>
      <c r="I228" s="35">
        <v>1</v>
      </c>
      <c r="J228" s="35">
        <v>0.18</v>
      </c>
      <c r="K228" s="35">
        <v>0.2424</v>
      </c>
      <c r="L228" s="35">
        <v>0.86</v>
      </c>
      <c r="M228" s="35">
        <v>0</v>
      </c>
      <c r="N228" s="35">
        <v>6</v>
      </c>
      <c r="O228" s="35">
        <v>89</v>
      </c>
      <c r="P228" s="35">
        <v>95</v>
      </c>
    </row>
    <row r="229" spans="1:16">
      <c r="A229" s="35">
        <v>838</v>
      </c>
      <c r="B229" s="36">
        <v>40581</v>
      </c>
      <c r="C229" s="35">
        <v>1</v>
      </c>
      <c r="D229" s="35">
        <v>0</v>
      </c>
      <c r="E229" s="35">
        <v>2</v>
      </c>
      <c r="F229" s="35">
        <v>8</v>
      </c>
      <c r="G229" s="35" t="b">
        <v>0</v>
      </c>
      <c r="H229" s="35">
        <v>1</v>
      </c>
      <c r="I229" s="35">
        <v>2</v>
      </c>
      <c r="J229" s="35">
        <v>0.16</v>
      </c>
      <c r="K229" s="35">
        <v>0.2273</v>
      </c>
      <c r="L229" s="35">
        <v>1</v>
      </c>
      <c r="M229" s="35">
        <v>0</v>
      </c>
      <c r="N229" s="35">
        <v>7</v>
      </c>
      <c r="O229" s="35">
        <v>223</v>
      </c>
      <c r="P229" s="35">
        <v>230</v>
      </c>
    </row>
    <row r="230" spans="1:16">
      <c r="A230" s="35">
        <v>839</v>
      </c>
      <c r="B230" s="36">
        <v>40581</v>
      </c>
      <c r="C230" s="35">
        <v>1</v>
      </c>
      <c r="D230" s="35">
        <v>0</v>
      </c>
      <c r="E230" s="35">
        <v>2</v>
      </c>
      <c r="F230" s="35">
        <v>9</v>
      </c>
      <c r="G230" s="35" t="b">
        <v>0</v>
      </c>
      <c r="H230" s="35">
        <v>1</v>
      </c>
      <c r="I230" s="35">
        <v>1</v>
      </c>
      <c r="J230" s="35">
        <v>0.22</v>
      </c>
      <c r="K230" s="35">
        <v>0.2727</v>
      </c>
      <c r="L230" s="35">
        <v>0.8</v>
      </c>
      <c r="M230" s="35">
        <v>0</v>
      </c>
      <c r="N230" s="35">
        <v>3</v>
      </c>
      <c r="O230" s="35">
        <v>115</v>
      </c>
      <c r="P230" s="35">
        <v>118</v>
      </c>
    </row>
    <row r="231" spans="1:16">
      <c r="A231" s="35">
        <v>840</v>
      </c>
      <c r="B231" s="36">
        <v>40581</v>
      </c>
      <c r="C231" s="35">
        <v>1</v>
      </c>
      <c r="D231" s="35">
        <v>0</v>
      </c>
      <c r="E231" s="35">
        <v>2</v>
      </c>
      <c r="F231" s="35">
        <v>10</v>
      </c>
      <c r="G231" s="35" t="b">
        <v>0</v>
      </c>
      <c r="H231" s="35">
        <v>1</v>
      </c>
      <c r="I231" s="35">
        <v>1</v>
      </c>
      <c r="J231" s="35">
        <v>0.24</v>
      </c>
      <c r="K231" s="35">
        <v>0.2576</v>
      </c>
      <c r="L231" s="35">
        <v>0.75</v>
      </c>
      <c r="M231" s="35">
        <v>0.1045</v>
      </c>
      <c r="N231" s="35">
        <v>6</v>
      </c>
      <c r="O231" s="35">
        <v>49</v>
      </c>
      <c r="P231" s="35">
        <v>55</v>
      </c>
    </row>
    <row r="232" spans="1:16">
      <c r="A232" s="35">
        <v>841</v>
      </c>
      <c r="B232" s="36">
        <v>40581</v>
      </c>
      <c r="C232" s="35">
        <v>1</v>
      </c>
      <c r="D232" s="35">
        <v>0</v>
      </c>
      <c r="E232" s="35">
        <v>2</v>
      </c>
      <c r="F232" s="35">
        <v>11</v>
      </c>
      <c r="G232" s="35" t="b">
        <v>0</v>
      </c>
      <c r="H232" s="35">
        <v>1</v>
      </c>
      <c r="I232" s="35">
        <v>1</v>
      </c>
      <c r="J232" s="35">
        <v>0.3</v>
      </c>
      <c r="K232" s="35">
        <v>0.31819999999999998</v>
      </c>
      <c r="L232" s="35">
        <v>0.65</v>
      </c>
      <c r="M232" s="35">
        <v>8.9599999999999999E-2</v>
      </c>
      <c r="N232" s="35">
        <v>11</v>
      </c>
      <c r="O232" s="35">
        <v>36</v>
      </c>
      <c r="P232" s="35">
        <v>47</v>
      </c>
    </row>
    <row r="233" spans="1:16">
      <c r="A233" s="35">
        <v>842</v>
      </c>
      <c r="B233" s="36">
        <v>40581</v>
      </c>
      <c r="C233" s="35">
        <v>1</v>
      </c>
      <c r="D233" s="35">
        <v>0</v>
      </c>
      <c r="E233" s="35">
        <v>2</v>
      </c>
      <c r="F233" s="35">
        <v>12</v>
      </c>
      <c r="G233" s="35" t="b">
        <v>0</v>
      </c>
      <c r="H233" s="35">
        <v>1</v>
      </c>
      <c r="I233" s="35">
        <v>2</v>
      </c>
      <c r="J233" s="35">
        <v>0.32</v>
      </c>
      <c r="K233" s="35">
        <v>0.34849999999999998</v>
      </c>
      <c r="L233" s="35">
        <v>0.62</v>
      </c>
      <c r="M233" s="35">
        <v>0</v>
      </c>
      <c r="N233" s="35">
        <v>7</v>
      </c>
      <c r="O233" s="35">
        <v>59</v>
      </c>
      <c r="P233" s="35">
        <v>66</v>
      </c>
    </row>
    <row r="234" spans="1:16">
      <c r="A234" s="35">
        <v>843</v>
      </c>
      <c r="B234" s="36">
        <v>40581</v>
      </c>
      <c r="C234" s="35">
        <v>1</v>
      </c>
      <c r="D234" s="35">
        <v>0</v>
      </c>
      <c r="E234" s="35">
        <v>2</v>
      </c>
      <c r="F234" s="35">
        <v>13</v>
      </c>
      <c r="G234" s="35" t="b">
        <v>0</v>
      </c>
      <c r="H234" s="35">
        <v>1</v>
      </c>
      <c r="I234" s="35">
        <v>2</v>
      </c>
      <c r="J234" s="35">
        <v>0.36</v>
      </c>
      <c r="K234" s="35">
        <v>0.36359999999999998</v>
      </c>
      <c r="L234" s="35">
        <v>0.56999999999999995</v>
      </c>
      <c r="M234" s="35">
        <v>8.9599999999999999E-2</v>
      </c>
      <c r="N234" s="35">
        <v>10</v>
      </c>
      <c r="O234" s="35">
        <v>54</v>
      </c>
      <c r="P234" s="35">
        <v>64</v>
      </c>
    </row>
    <row r="235" spans="1:16">
      <c r="A235" s="35">
        <v>844</v>
      </c>
      <c r="B235" s="36">
        <v>40581</v>
      </c>
      <c r="C235" s="35">
        <v>1</v>
      </c>
      <c r="D235" s="35">
        <v>0</v>
      </c>
      <c r="E235" s="35">
        <v>2</v>
      </c>
      <c r="F235" s="35">
        <v>14</v>
      </c>
      <c r="G235" s="35" t="b">
        <v>0</v>
      </c>
      <c r="H235" s="35">
        <v>1</v>
      </c>
      <c r="I235" s="35">
        <v>2</v>
      </c>
      <c r="J235" s="35">
        <v>0.36</v>
      </c>
      <c r="K235" s="35">
        <v>0.36359999999999998</v>
      </c>
      <c r="L235" s="35">
        <v>0.56999999999999995</v>
      </c>
      <c r="M235" s="35">
        <v>8.9599999999999999E-2</v>
      </c>
      <c r="N235" s="35">
        <v>8</v>
      </c>
      <c r="O235" s="35">
        <v>52</v>
      </c>
      <c r="P235" s="35">
        <v>60</v>
      </c>
    </row>
    <row r="236" spans="1:16">
      <c r="A236" s="35">
        <v>845</v>
      </c>
      <c r="B236" s="36">
        <v>40581</v>
      </c>
      <c r="C236" s="35">
        <v>1</v>
      </c>
      <c r="D236" s="35">
        <v>0</v>
      </c>
      <c r="E236" s="35">
        <v>2</v>
      </c>
      <c r="F236" s="35">
        <v>15</v>
      </c>
      <c r="G236" s="35" t="b">
        <v>0</v>
      </c>
      <c r="H236" s="35">
        <v>1</v>
      </c>
      <c r="I236" s="35">
        <v>2</v>
      </c>
      <c r="J236" s="35">
        <v>0.38</v>
      </c>
      <c r="K236" s="35">
        <v>0.39389999999999997</v>
      </c>
      <c r="L236" s="35">
        <v>0.54</v>
      </c>
      <c r="M236" s="35">
        <v>8.9599999999999999E-2</v>
      </c>
      <c r="N236" s="35">
        <v>4</v>
      </c>
      <c r="O236" s="35">
        <v>46</v>
      </c>
      <c r="P236" s="35">
        <v>50</v>
      </c>
    </row>
    <row r="237" spans="1:16">
      <c r="A237" s="35">
        <v>846</v>
      </c>
      <c r="B237" s="36">
        <v>40581</v>
      </c>
      <c r="C237" s="35">
        <v>1</v>
      </c>
      <c r="D237" s="35">
        <v>0</v>
      </c>
      <c r="E237" s="35">
        <v>2</v>
      </c>
      <c r="F237" s="35">
        <v>16</v>
      </c>
      <c r="G237" s="35" t="b">
        <v>0</v>
      </c>
      <c r="H237" s="35">
        <v>1</v>
      </c>
      <c r="I237" s="35">
        <v>2</v>
      </c>
      <c r="J237" s="35">
        <v>0.36</v>
      </c>
      <c r="K237" s="35">
        <v>0.34849999999999998</v>
      </c>
      <c r="L237" s="35">
        <v>0.56999999999999995</v>
      </c>
      <c r="M237" s="35">
        <v>0.1343</v>
      </c>
      <c r="N237" s="35">
        <v>16</v>
      </c>
      <c r="O237" s="35">
        <v>98</v>
      </c>
      <c r="P237" s="35">
        <v>114</v>
      </c>
    </row>
    <row r="238" spans="1:16">
      <c r="A238" s="35">
        <v>847</v>
      </c>
      <c r="B238" s="36">
        <v>40581</v>
      </c>
      <c r="C238" s="35">
        <v>1</v>
      </c>
      <c r="D238" s="35">
        <v>0</v>
      </c>
      <c r="E238" s="35">
        <v>2</v>
      </c>
      <c r="F238" s="35">
        <v>17</v>
      </c>
      <c r="G238" s="35" t="b">
        <v>0</v>
      </c>
      <c r="H238" s="35">
        <v>1</v>
      </c>
      <c r="I238" s="35">
        <v>2</v>
      </c>
      <c r="J238" s="35">
        <v>0.32</v>
      </c>
      <c r="K238" s="35">
        <v>0.31819999999999998</v>
      </c>
      <c r="L238" s="35">
        <v>0.7</v>
      </c>
      <c r="M238" s="35">
        <v>0.16420000000000001</v>
      </c>
      <c r="N238" s="35">
        <v>9</v>
      </c>
      <c r="O238" s="35">
        <v>207</v>
      </c>
      <c r="P238" s="35">
        <v>216</v>
      </c>
    </row>
    <row r="239" spans="1:16">
      <c r="A239" s="35">
        <v>848</v>
      </c>
      <c r="B239" s="36">
        <v>40581</v>
      </c>
      <c r="C239" s="35">
        <v>1</v>
      </c>
      <c r="D239" s="35">
        <v>0</v>
      </c>
      <c r="E239" s="35">
        <v>2</v>
      </c>
      <c r="F239" s="35">
        <v>18</v>
      </c>
      <c r="G239" s="35" t="b">
        <v>0</v>
      </c>
      <c r="H239" s="35">
        <v>1</v>
      </c>
      <c r="I239" s="35">
        <v>2</v>
      </c>
      <c r="J239" s="35">
        <v>0.34</v>
      </c>
      <c r="K239" s="35">
        <v>0.33329999999999999</v>
      </c>
      <c r="L239" s="35">
        <v>0.66</v>
      </c>
      <c r="M239" s="35">
        <v>0.1343</v>
      </c>
      <c r="N239" s="35">
        <v>5</v>
      </c>
      <c r="O239" s="35">
        <v>170</v>
      </c>
      <c r="P239" s="35">
        <v>175</v>
      </c>
    </row>
    <row r="240" spans="1:16">
      <c r="A240" s="35">
        <v>849</v>
      </c>
      <c r="B240" s="36">
        <v>40581</v>
      </c>
      <c r="C240" s="35">
        <v>1</v>
      </c>
      <c r="D240" s="35">
        <v>0</v>
      </c>
      <c r="E240" s="35">
        <v>2</v>
      </c>
      <c r="F240" s="35">
        <v>19</v>
      </c>
      <c r="G240" s="35" t="b">
        <v>0</v>
      </c>
      <c r="H240" s="35">
        <v>1</v>
      </c>
      <c r="I240" s="35">
        <v>2</v>
      </c>
      <c r="J240" s="35">
        <v>0.32</v>
      </c>
      <c r="K240" s="35">
        <v>0.34849999999999998</v>
      </c>
      <c r="L240" s="35">
        <v>0.7</v>
      </c>
      <c r="M240" s="35">
        <v>0</v>
      </c>
      <c r="N240" s="35">
        <v>5</v>
      </c>
      <c r="O240" s="35">
        <v>123</v>
      </c>
      <c r="P240" s="35">
        <v>128</v>
      </c>
    </row>
    <row r="241" spans="1:16">
      <c r="A241" s="35">
        <v>850</v>
      </c>
      <c r="B241" s="36">
        <v>40581</v>
      </c>
      <c r="C241" s="35">
        <v>1</v>
      </c>
      <c r="D241" s="35">
        <v>0</v>
      </c>
      <c r="E241" s="35">
        <v>2</v>
      </c>
      <c r="F241" s="35">
        <v>20</v>
      </c>
      <c r="G241" s="35" t="b">
        <v>0</v>
      </c>
      <c r="H241" s="35">
        <v>1</v>
      </c>
      <c r="I241" s="35">
        <v>2</v>
      </c>
      <c r="J241" s="35">
        <v>0.32</v>
      </c>
      <c r="K241" s="35">
        <v>0.33329999999999999</v>
      </c>
      <c r="L241" s="35">
        <v>0.7</v>
      </c>
      <c r="M241" s="35">
        <v>0.1045</v>
      </c>
      <c r="N241" s="35">
        <v>6</v>
      </c>
      <c r="O241" s="35">
        <v>82</v>
      </c>
      <c r="P241" s="35">
        <v>88</v>
      </c>
    </row>
    <row r="242" spans="1:16">
      <c r="A242" s="35">
        <v>851</v>
      </c>
      <c r="B242" s="36">
        <v>40581</v>
      </c>
      <c r="C242" s="35">
        <v>1</v>
      </c>
      <c r="D242" s="35">
        <v>0</v>
      </c>
      <c r="E242" s="35">
        <v>2</v>
      </c>
      <c r="F242" s="35">
        <v>21</v>
      </c>
      <c r="G242" s="35" t="b">
        <v>0</v>
      </c>
      <c r="H242" s="35">
        <v>1</v>
      </c>
      <c r="I242" s="35">
        <v>1</v>
      </c>
      <c r="J242" s="35">
        <v>0.32</v>
      </c>
      <c r="K242" s="35">
        <v>0.34849999999999998</v>
      </c>
      <c r="L242" s="35">
        <v>0.7</v>
      </c>
      <c r="M242" s="35">
        <v>0</v>
      </c>
      <c r="N242" s="35">
        <v>3</v>
      </c>
      <c r="O242" s="35">
        <v>75</v>
      </c>
      <c r="P242" s="35">
        <v>78</v>
      </c>
    </row>
    <row r="243" spans="1:16">
      <c r="A243" s="35">
        <v>852</v>
      </c>
      <c r="B243" s="36">
        <v>40581</v>
      </c>
      <c r="C243" s="35">
        <v>1</v>
      </c>
      <c r="D243" s="35">
        <v>0</v>
      </c>
      <c r="E243" s="35">
        <v>2</v>
      </c>
      <c r="F243" s="35">
        <v>22</v>
      </c>
      <c r="G243" s="35" t="b">
        <v>0</v>
      </c>
      <c r="H243" s="35">
        <v>1</v>
      </c>
      <c r="I243" s="35">
        <v>1</v>
      </c>
      <c r="J243" s="35">
        <v>0.28000000000000003</v>
      </c>
      <c r="K243" s="35">
        <v>0.30299999999999999</v>
      </c>
      <c r="L243" s="35">
        <v>0.81</v>
      </c>
      <c r="M243" s="35">
        <v>8.9599999999999999E-2</v>
      </c>
      <c r="N243" s="35">
        <v>3</v>
      </c>
      <c r="O243" s="35">
        <v>34</v>
      </c>
      <c r="P243" s="35">
        <v>37</v>
      </c>
    </row>
    <row r="244" spans="1:16">
      <c r="A244" s="35">
        <v>853</v>
      </c>
      <c r="B244" s="36">
        <v>40581</v>
      </c>
      <c r="C244" s="35">
        <v>1</v>
      </c>
      <c r="D244" s="35">
        <v>0</v>
      </c>
      <c r="E244" s="35">
        <v>2</v>
      </c>
      <c r="F244" s="35">
        <v>23</v>
      </c>
      <c r="G244" s="35" t="b">
        <v>0</v>
      </c>
      <c r="H244" s="35">
        <v>1</v>
      </c>
      <c r="I244" s="35">
        <v>2</v>
      </c>
      <c r="J244" s="35">
        <v>0.3</v>
      </c>
      <c r="K244" s="35">
        <v>0.33329999999999999</v>
      </c>
      <c r="L244" s="35">
        <v>0.81</v>
      </c>
      <c r="M244" s="35">
        <v>0</v>
      </c>
      <c r="N244" s="35">
        <v>6</v>
      </c>
      <c r="O244" s="35">
        <v>19</v>
      </c>
      <c r="P244" s="35">
        <v>25</v>
      </c>
    </row>
    <row r="245" spans="1:16">
      <c r="A245" s="35">
        <v>854</v>
      </c>
      <c r="B245" s="36">
        <v>40582</v>
      </c>
      <c r="C245" s="35">
        <v>1</v>
      </c>
      <c r="D245" s="35">
        <v>0</v>
      </c>
      <c r="E245" s="35">
        <v>2</v>
      </c>
      <c r="F245" s="35">
        <v>0</v>
      </c>
      <c r="G245" s="35" t="b">
        <v>0</v>
      </c>
      <c r="H245" s="35">
        <v>2</v>
      </c>
      <c r="I245" s="35">
        <v>2</v>
      </c>
      <c r="J245" s="35">
        <v>0.28000000000000003</v>
      </c>
      <c r="K245" s="35">
        <v>0.31819999999999998</v>
      </c>
      <c r="L245" s="35">
        <v>0.87</v>
      </c>
      <c r="M245" s="35">
        <v>0</v>
      </c>
      <c r="N245" s="35">
        <v>4</v>
      </c>
      <c r="O245" s="35">
        <v>6</v>
      </c>
      <c r="P245" s="35">
        <v>10</v>
      </c>
    </row>
    <row r="246" spans="1:16">
      <c r="A246" s="35">
        <v>855</v>
      </c>
      <c r="B246" s="36">
        <v>40582</v>
      </c>
      <c r="C246" s="35">
        <v>1</v>
      </c>
      <c r="D246" s="35">
        <v>0</v>
      </c>
      <c r="E246" s="35">
        <v>2</v>
      </c>
      <c r="F246" s="35">
        <v>1</v>
      </c>
      <c r="G246" s="35" t="b">
        <v>0</v>
      </c>
      <c r="H246" s="35">
        <v>2</v>
      </c>
      <c r="I246" s="35">
        <v>2</v>
      </c>
      <c r="J246" s="35">
        <v>0.28000000000000003</v>
      </c>
      <c r="K246" s="35">
        <v>0.31819999999999998</v>
      </c>
      <c r="L246" s="35">
        <v>0.87</v>
      </c>
      <c r="M246" s="35">
        <v>0</v>
      </c>
      <c r="N246" s="35">
        <v>0</v>
      </c>
      <c r="O246" s="35">
        <v>4</v>
      </c>
      <c r="P246" s="35">
        <v>4</v>
      </c>
    </row>
    <row r="247" spans="1:16">
      <c r="A247" s="35">
        <v>856</v>
      </c>
      <c r="B247" s="36">
        <v>40582</v>
      </c>
      <c r="C247" s="35">
        <v>1</v>
      </c>
      <c r="D247" s="35">
        <v>0</v>
      </c>
      <c r="E247" s="35">
        <v>2</v>
      </c>
      <c r="F247" s="35">
        <v>2</v>
      </c>
      <c r="G247" s="35" t="b">
        <v>0</v>
      </c>
      <c r="H247" s="35">
        <v>2</v>
      </c>
      <c r="I247" s="35">
        <v>2</v>
      </c>
      <c r="J247" s="35">
        <v>0.26</v>
      </c>
      <c r="K247" s="35">
        <v>0.2727</v>
      </c>
      <c r="L247" s="35">
        <v>0.93</v>
      </c>
      <c r="M247" s="35">
        <v>0.1045</v>
      </c>
      <c r="N247" s="35">
        <v>1</v>
      </c>
      <c r="O247" s="35">
        <v>1</v>
      </c>
      <c r="P247" s="35">
        <v>2</v>
      </c>
    </row>
    <row r="248" spans="1:16">
      <c r="A248" s="35">
        <v>857</v>
      </c>
      <c r="B248" s="36">
        <v>40582</v>
      </c>
      <c r="C248" s="35">
        <v>1</v>
      </c>
      <c r="D248" s="35">
        <v>0</v>
      </c>
      <c r="E248" s="35">
        <v>2</v>
      </c>
      <c r="F248" s="35">
        <v>3</v>
      </c>
      <c r="G248" s="35" t="b">
        <v>0</v>
      </c>
      <c r="H248" s="35">
        <v>2</v>
      </c>
      <c r="I248" s="35">
        <v>3</v>
      </c>
      <c r="J248" s="35">
        <v>0.28000000000000003</v>
      </c>
      <c r="K248" s="35">
        <v>0.2727</v>
      </c>
      <c r="L248" s="35">
        <v>0.93</v>
      </c>
      <c r="M248" s="35">
        <v>0.16420000000000001</v>
      </c>
      <c r="N248" s="35">
        <v>0</v>
      </c>
      <c r="O248" s="35">
        <v>1</v>
      </c>
      <c r="P248" s="35">
        <v>1</v>
      </c>
    </row>
    <row r="249" spans="1:16">
      <c r="A249" s="35">
        <v>858</v>
      </c>
      <c r="B249" s="36">
        <v>40582</v>
      </c>
      <c r="C249" s="35">
        <v>1</v>
      </c>
      <c r="D249" s="35">
        <v>0</v>
      </c>
      <c r="E249" s="35">
        <v>2</v>
      </c>
      <c r="F249" s="35">
        <v>4</v>
      </c>
      <c r="G249" s="35" t="b">
        <v>0</v>
      </c>
      <c r="H249" s="35">
        <v>2</v>
      </c>
      <c r="I249" s="35">
        <v>1</v>
      </c>
      <c r="J249" s="35">
        <v>0.26</v>
      </c>
      <c r="K249" s="35">
        <v>0.2576</v>
      </c>
      <c r="L249" s="35">
        <v>0.93</v>
      </c>
      <c r="M249" s="35">
        <v>0.16420000000000001</v>
      </c>
      <c r="N249" s="35">
        <v>0</v>
      </c>
      <c r="O249" s="35">
        <v>3</v>
      </c>
      <c r="P249" s="35">
        <v>3</v>
      </c>
    </row>
    <row r="250" spans="1:16">
      <c r="A250" s="35">
        <v>859</v>
      </c>
      <c r="B250" s="36">
        <v>40582</v>
      </c>
      <c r="C250" s="35">
        <v>1</v>
      </c>
      <c r="D250" s="35">
        <v>0</v>
      </c>
      <c r="E250" s="35">
        <v>2</v>
      </c>
      <c r="F250" s="35">
        <v>5</v>
      </c>
      <c r="G250" s="35" t="b">
        <v>0</v>
      </c>
      <c r="H250" s="35">
        <v>2</v>
      </c>
      <c r="I250" s="35">
        <v>1</v>
      </c>
      <c r="J250" s="35">
        <v>0.26</v>
      </c>
      <c r="K250" s="35">
        <v>0.2273</v>
      </c>
      <c r="L250" s="35">
        <v>0.81</v>
      </c>
      <c r="M250" s="35">
        <v>0.32840000000000003</v>
      </c>
      <c r="N250" s="35">
        <v>0</v>
      </c>
      <c r="O250" s="35">
        <v>2</v>
      </c>
      <c r="P250" s="35">
        <v>2</v>
      </c>
    </row>
    <row r="251" spans="1:16">
      <c r="A251" s="35">
        <v>860</v>
      </c>
      <c r="B251" s="36">
        <v>40582</v>
      </c>
      <c r="C251" s="35">
        <v>1</v>
      </c>
      <c r="D251" s="35">
        <v>0</v>
      </c>
      <c r="E251" s="35">
        <v>2</v>
      </c>
      <c r="F251" s="35">
        <v>6</v>
      </c>
      <c r="G251" s="35" t="b">
        <v>0</v>
      </c>
      <c r="H251" s="35">
        <v>2</v>
      </c>
      <c r="I251" s="35">
        <v>1</v>
      </c>
      <c r="J251" s="35">
        <v>0.26</v>
      </c>
      <c r="K251" s="35">
        <v>0.2273</v>
      </c>
      <c r="L251" s="35">
        <v>0.7</v>
      </c>
      <c r="M251" s="35">
        <v>0.32840000000000003</v>
      </c>
      <c r="N251" s="35">
        <v>0</v>
      </c>
      <c r="O251" s="35">
        <v>39</v>
      </c>
      <c r="P251" s="35">
        <v>39</v>
      </c>
    </row>
    <row r="252" spans="1:16">
      <c r="A252" s="35">
        <v>861</v>
      </c>
      <c r="B252" s="36">
        <v>40582</v>
      </c>
      <c r="C252" s="35">
        <v>1</v>
      </c>
      <c r="D252" s="35">
        <v>0</v>
      </c>
      <c r="E252" s="35">
        <v>2</v>
      </c>
      <c r="F252" s="35">
        <v>7</v>
      </c>
      <c r="G252" s="35" t="b">
        <v>0</v>
      </c>
      <c r="H252" s="35">
        <v>2</v>
      </c>
      <c r="I252" s="35">
        <v>1</v>
      </c>
      <c r="J252" s="35">
        <v>0.24</v>
      </c>
      <c r="K252" s="35">
        <v>0.19700000000000001</v>
      </c>
      <c r="L252" s="35">
        <v>0.65</v>
      </c>
      <c r="M252" s="35">
        <v>0.41789999999999999</v>
      </c>
      <c r="N252" s="35">
        <v>3</v>
      </c>
      <c r="O252" s="35">
        <v>97</v>
      </c>
      <c r="P252" s="35">
        <v>100</v>
      </c>
    </row>
    <row r="253" spans="1:16">
      <c r="A253" s="35">
        <v>862</v>
      </c>
      <c r="B253" s="36">
        <v>40582</v>
      </c>
      <c r="C253" s="35">
        <v>1</v>
      </c>
      <c r="D253" s="35">
        <v>0</v>
      </c>
      <c r="E253" s="35">
        <v>2</v>
      </c>
      <c r="F253" s="35">
        <v>8</v>
      </c>
      <c r="G253" s="35" t="b">
        <v>0</v>
      </c>
      <c r="H253" s="35">
        <v>2</v>
      </c>
      <c r="I253" s="35">
        <v>1</v>
      </c>
      <c r="J253" s="35">
        <v>0.24</v>
      </c>
      <c r="K253" s="35">
        <v>0.19700000000000001</v>
      </c>
      <c r="L253" s="35">
        <v>0.56000000000000005</v>
      </c>
      <c r="M253" s="35">
        <v>0.49249999999999999</v>
      </c>
      <c r="N253" s="35">
        <v>7</v>
      </c>
      <c r="O253" s="35">
        <v>236</v>
      </c>
      <c r="P253" s="35">
        <v>243</v>
      </c>
    </row>
    <row r="254" spans="1:16">
      <c r="A254" s="35">
        <v>863</v>
      </c>
      <c r="B254" s="36">
        <v>40582</v>
      </c>
      <c r="C254" s="35">
        <v>1</v>
      </c>
      <c r="D254" s="35">
        <v>0</v>
      </c>
      <c r="E254" s="35">
        <v>2</v>
      </c>
      <c r="F254" s="35">
        <v>9</v>
      </c>
      <c r="G254" s="35" t="b">
        <v>0</v>
      </c>
      <c r="H254" s="35">
        <v>2</v>
      </c>
      <c r="I254" s="35">
        <v>1</v>
      </c>
      <c r="J254" s="35">
        <v>0.24</v>
      </c>
      <c r="K254" s="35">
        <v>0.19700000000000001</v>
      </c>
      <c r="L254" s="35">
        <v>0.52</v>
      </c>
      <c r="M254" s="35">
        <v>0.49249999999999999</v>
      </c>
      <c r="N254" s="35">
        <v>7</v>
      </c>
      <c r="O254" s="35">
        <v>128</v>
      </c>
      <c r="P254" s="35">
        <v>135</v>
      </c>
    </row>
    <row r="255" spans="1:16">
      <c r="A255" s="35">
        <v>864</v>
      </c>
      <c r="B255" s="36">
        <v>40582</v>
      </c>
      <c r="C255" s="35">
        <v>1</v>
      </c>
      <c r="D255" s="35">
        <v>0</v>
      </c>
      <c r="E255" s="35">
        <v>2</v>
      </c>
      <c r="F255" s="35">
        <v>10</v>
      </c>
      <c r="G255" s="35" t="b">
        <v>0</v>
      </c>
      <c r="H255" s="35">
        <v>2</v>
      </c>
      <c r="I255" s="35">
        <v>1</v>
      </c>
      <c r="J255" s="35">
        <v>0.22</v>
      </c>
      <c r="K255" s="35">
        <v>0.18179999999999999</v>
      </c>
      <c r="L255" s="35">
        <v>0.47</v>
      </c>
      <c r="M255" s="35">
        <v>0.55220000000000002</v>
      </c>
      <c r="N255" s="35">
        <v>4</v>
      </c>
      <c r="O255" s="35">
        <v>44</v>
      </c>
      <c r="P255" s="35">
        <v>48</v>
      </c>
    </row>
    <row r="256" spans="1:16">
      <c r="A256" s="35">
        <v>865</v>
      </c>
      <c r="B256" s="36">
        <v>40582</v>
      </c>
      <c r="C256" s="35">
        <v>1</v>
      </c>
      <c r="D256" s="35">
        <v>0</v>
      </c>
      <c r="E256" s="35">
        <v>2</v>
      </c>
      <c r="F256" s="35">
        <v>11</v>
      </c>
      <c r="G256" s="35" t="b">
        <v>0</v>
      </c>
      <c r="H256" s="35">
        <v>2</v>
      </c>
      <c r="I256" s="35">
        <v>1</v>
      </c>
      <c r="J256" s="35">
        <v>0.22</v>
      </c>
      <c r="K256" s="35">
        <v>0.18179999999999999</v>
      </c>
      <c r="L256" s="35">
        <v>0.47</v>
      </c>
      <c r="M256" s="35">
        <v>0.4627</v>
      </c>
      <c r="N256" s="35">
        <v>1</v>
      </c>
      <c r="O256" s="35">
        <v>49</v>
      </c>
      <c r="P256" s="35">
        <v>50</v>
      </c>
    </row>
    <row r="257" spans="1:16">
      <c r="A257" s="35">
        <v>866</v>
      </c>
      <c r="B257" s="36">
        <v>40582</v>
      </c>
      <c r="C257" s="35">
        <v>1</v>
      </c>
      <c r="D257" s="35">
        <v>0</v>
      </c>
      <c r="E257" s="35">
        <v>2</v>
      </c>
      <c r="F257" s="35">
        <v>12</v>
      </c>
      <c r="G257" s="35" t="b">
        <v>0</v>
      </c>
      <c r="H257" s="35">
        <v>2</v>
      </c>
      <c r="I257" s="35">
        <v>1</v>
      </c>
      <c r="J257" s="35">
        <v>0.24</v>
      </c>
      <c r="K257" s="35">
        <v>0.19700000000000001</v>
      </c>
      <c r="L257" s="35">
        <v>0.38</v>
      </c>
      <c r="M257" s="35">
        <v>0.49249999999999999</v>
      </c>
      <c r="N257" s="35">
        <v>2</v>
      </c>
      <c r="O257" s="35">
        <v>63</v>
      </c>
      <c r="P257" s="35">
        <v>65</v>
      </c>
    </row>
    <row r="258" spans="1:16">
      <c r="A258" s="35">
        <v>867</v>
      </c>
      <c r="B258" s="36">
        <v>40582</v>
      </c>
      <c r="C258" s="35">
        <v>1</v>
      </c>
      <c r="D258" s="35">
        <v>0</v>
      </c>
      <c r="E258" s="35">
        <v>2</v>
      </c>
      <c r="F258" s="35">
        <v>13</v>
      </c>
      <c r="G258" s="35" t="b">
        <v>0</v>
      </c>
      <c r="H258" s="35">
        <v>2</v>
      </c>
      <c r="I258" s="35">
        <v>2</v>
      </c>
      <c r="J258" s="35">
        <v>0.24</v>
      </c>
      <c r="K258" s="35">
        <v>0.19700000000000001</v>
      </c>
      <c r="L258" s="35">
        <v>0.32</v>
      </c>
      <c r="M258" s="35">
        <v>0.44779999999999998</v>
      </c>
      <c r="N258" s="35">
        <v>2</v>
      </c>
      <c r="O258" s="35">
        <v>48</v>
      </c>
      <c r="P258" s="35">
        <v>50</v>
      </c>
    </row>
    <row r="259" spans="1:16">
      <c r="A259" s="35">
        <v>868</v>
      </c>
      <c r="B259" s="36">
        <v>40582</v>
      </c>
      <c r="C259" s="35">
        <v>1</v>
      </c>
      <c r="D259" s="35">
        <v>0</v>
      </c>
      <c r="E259" s="35">
        <v>2</v>
      </c>
      <c r="F259" s="35">
        <v>14</v>
      </c>
      <c r="G259" s="35" t="b">
        <v>0</v>
      </c>
      <c r="H259" s="35">
        <v>2</v>
      </c>
      <c r="I259" s="35">
        <v>1</v>
      </c>
      <c r="J259" s="35">
        <v>0.22</v>
      </c>
      <c r="K259" s="35">
        <v>0.19700000000000001</v>
      </c>
      <c r="L259" s="35">
        <v>0.37</v>
      </c>
      <c r="M259" s="35">
        <v>0.41789999999999999</v>
      </c>
      <c r="N259" s="35">
        <v>3</v>
      </c>
      <c r="O259" s="35">
        <v>61</v>
      </c>
      <c r="P259" s="35">
        <v>64</v>
      </c>
    </row>
    <row r="260" spans="1:16">
      <c r="A260" s="35">
        <v>869</v>
      </c>
      <c r="B260" s="36">
        <v>40582</v>
      </c>
      <c r="C260" s="35">
        <v>1</v>
      </c>
      <c r="D260" s="35">
        <v>0</v>
      </c>
      <c r="E260" s="35">
        <v>2</v>
      </c>
      <c r="F260" s="35">
        <v>15</v>
      </c>
      <c r="G260" s="35" t="b">
        <v>0</v>
      </c>
      <c r="H260" s="35">
        <v>2</v>
      </c>
      <c r="I260" s="35">
        <v>1</v>
      </c>
      <c r="J260" s="35">
        <v>0.22</v>
      </c>
      <c r="K260" s="35">
        <v>0.19700000000000001</v>
      </c>
      <c r="L260" s="35">
        <v>0.35</v>
      </c>
      <c r="M260" s="35">
        <v>0.3881</v>
      </c>
      <c r="N260" s="35">
        <v>6</v>
      </c>
      <c r="O260" s="35">
        <v>45</v>
      </c>
      <c r="P260" s="35">
        <v>51</v>
      </c>
    </row>
    <row r="261" spans="1:16">
      <c r="A261" s="35">
        <v>870</v>
      </c>
      <c r="B261" s="36">
        <v>40582</v>
      </c>
      <c r="C261" s="35">
        <v>1</v>
      </c>
      <c r="D261" s="35">
        <v>0</v>
      </c>
      <c r="E261" s="35">
        <v>2</v>
      </c>
      <c r="F261" s="35">
        <v>16</v>
      </c>
      <c r="G261" s="35" t="b">
        <v>0</v>
      </c>
      <c r="H261" s="35">
        <v>2</v>
      </c>
      <c r="I261" s="35">
        <v>1</v>
      </c>
      <c r="J261" s="35">
        <v>0.22</v>
      </c>
      <c r="K261" s="35">
        <v>0.18179999999999999</v>
      </c>
      <c r="L261" s="35">
        <v>0.35</v>
      </c>
      <c r="M261" s="35">
        <v>0.52239999999999998</v>
      </c>
      <c r="N261" s="35">
        <v>4</v>
      </c>
      <c r="O261" s="35">
        <v>79</v>
      </c>
      <c r="P261" s="35">
        <v>83</v>
      </c>
    </row>
    <row r="262" spans="1:16">
      <c r="A262" s="35">
        <v>871</v>
      </c>
      <c r="B262" s="36">
        <v>40582</v>
      </c>
      <c r="C262" s="35">
        <v>1</v>
      </c>
      <c r="D262" s="35">
        <v>0</v>
      </c>
      <c r="E262" s="35">
        <v>2</v>
      </c>
      <c r="F262" s="35">
        <v>17</v>
      </c>
      <c r="G262" s="35" t="b">
        <v>0</v>
      </c>
      <c r="H262" s="35">
        <v>2</v>
      </c>
      <c r="I262" s="35">
        <v>1</v>
      </c>
      <c r="J262" s="35">
        <v>0.22</v>
      </c>
      <c r="K262" s="35">
        <v>0.18179999999999999</v>
      </c>
      <c r="L262" s="35">
        <v>0.32</v>
      </c>
      <c r="M262" s="35">
        <v>0.58209999999999995</v>
      </c>
      <c r="N262" s="35">
        <v>4</v>
      </c>
      <c r="O262" s="35">
        <v>172</v>
      </c>
      <c r="P262" s="35">
        <v>176</v>
      </c>
    </row>
    <row r="263" spans="1:16">
      <c r="A263" s="35">
        <v>872</v>
      </c>
      <c r="B263" s="36">
        <v>40582</v>
      </c>
      <c r="C263" s="35">
        <v>1</v>
      </c>
      <c r="D263" s="35">
        <v>0</v>
      </c>
      <c r="E263" s="35">
        <v>2</v>
      </c>
      <c r="F263" s="35">
        <v>18</v>
      </c>
      <c r="G263" s="35" t="b">
        <v>0</v>
      </c>
      <c r="H263" s="35">
        <v>2</v>
      </c>
      <c r="I263" s="35">
        <v>1</v>
      </c>
      <c r="J263" s="35">
        <v>0.2</v>
      </c>
      <c r="K263" s="35">
        <v>0.18179999999999999</v>
      </c>
      <c r="L263" s="35">
        <v>0.32</v>
      </c>
      <c r="M263" s="35">
        <v>0.3881</v>
      </c>
      <c r="N263" s="35">
        <v>1</v>
      </c>
      <c r="O263" s="35">
        <v>151</v>
      </c>
      <c r="P263" s="35">
        <v>152</v>
      </c>
    </row>
    <row r="264" spans="1:16">
      <c r="A264" s="35">
        <v>873</v>
      </c>
      <c r="B264" s="36">
        <v>40582</v>
      </c>
      <c r="C264" s="35">
        <v>1</v>
      </c>
      <c r="D264" s="35">
        <v>0</v>
      </c>
      <c r="E264" s="35">
        <v>2</v>
      </c>
      <c r="F264" s="35">
        <v>19</v>
      </c>
      <c r="G264" s="35" t="b">
        <v>0</v>
      </c>
      <c r="H264" s="35">
        <v>2</v>
      </c>
      <c r="I264" s="35">
        <v>1</v>
      </c>
      <c r="J264" s="35">
        <v>0.16</v>
      </c>
      <c r="K264" s="35">
        <v>0.1212</v>
      </c>
      <c r="L264" s="35">
        <v>0.4</v>
      </c>
      <c r="M264" s="35">
        <v>0.4627</v>
      </c>
      <c r="N264" s="35">
        <v>1</v>
      </c>
      <c r="O264" s="35">
        <v>100</v>
      </c>
      <c r="P264" s="35">
        <v>101</v>
      </c>
    </row>
    <row r="265" spans="1:16">
      <c r="A265" s="35">
        <v>874</v>
      </c>
      <c r="B265" s="36">
        <v>40582</v>
      </c>
      <c r="C265" s="35">
        <v>1</v>
      </c>
      <c r="D265" s="35">
        <v>0</v>
      </c>
      <c r="E265" s="35">
        <v>2</v>
      </c>
      <c r="F265" s="35">
        <v>20</v>
      </c>
      <c r="G265" s="35" t="b">
        <v>0</v>
      </c>
      <c r="H265" s="35">
        <v>2</v>
      </c>
      <c r="I265" s="35">
        <v>1</v>
      </c>
      <c r="J265" s="35">
        <v>0.16</v>
      </c>
      <c r="K265" s="35">
        <v>0.13639999999999999</v>
      </c>
      <c r="L265" s="35">
        <v>0.4</v>
      </c>
      <c r="M265" s="35">
        <v>0.32840000000000003</v>
      </c>
      <c r="N265" s="35">
        <v>3</v>
      </c>
      <c r="O265" s="35">
        <v>53</v>
      </c>
      <c r="P265" s="35">
        <v>56</v>
      </c>
    </row>
    <row r="266" spans="1:16">
      <c r="A266" s="35">
        <v>875</v>
      </c>
      <c r="B266" s="36">
        <v>40582</v>
      </c>
      <c r="C266" s="35">
        <v>1</v>
      </c>
      <c r="D266" s="35">
        <v>0</v>
      </c>
      <c r="E266" s="35">
        <v>2</v>
      </c>
      <c r="F266" s="35">
        <v>21</v>
      </c>
      <c r="G266" s="35" t="b">
        <v>0</v>
      </c>
      <c r="H266" s="35">
        <v>2</v>
      </c>
      <c r="I266" s="35">
        <v>1</v>
      </c>
      <c r="J266" s="35">
        <v>0.14000000000000001</v>
      </c>
      <c r="K266" s="35">
        <v>0.1061</v>
      </c>
      <c r="L266" s="35">
        <v>0.33</v>
      </c>
      <c r="M266" s="35">
        <v>0.4627</v>
      </c>
      <c r="N266" s="35">
        <v>8</v>
      </c>
      <c r="O266" s="35">
        <v>46</v>
      </c>
      <c r="P266" s="35">
        <v>54</v>
      </c>
    </row>
    <row r="267" spans="1:16">
      <c r="A267" s="35">
        <v>876</v>
      </c>
      <c r="B267" s="36">
        <v>40582</v>
      </c>
      <c r="C267" s="35">
        <v>1</v>
      </c>
      <c r="D267" s="35">
        <v>0</v>
      </c>
      <c r="E267" s="35">
        <v>2</v>
      </c>
      <c r="F267" s="35">
        <v>22</v>
      </c>
      <c r="G267" s="35" t="b">
        <v>0</v>
      </c>
      <c r="H267" s="35">
        <v>2</v>
      </c>
      <c r="I267" s="35">
        <v>1</v>
      </c>
      <c r="J267" s="35">
        <v>0.12</v>
      </c>
      <c r="K267" s="35">
        <v>0.1061</v>
      </c>
      <c r="L267" s="35">
        <v>0.33</v>
      </c>
      <c r="M267" s="35">
        <v>0.35820000000000002</v>
      </c>
      <c r="N267" s="35">
        <v>0</v>
      </c>
      <c r="O267" s="35">
        <v>29</v>
      </c>
      <c r="P267" s="35">
        <v>29</v>
      </c>
    </row>
    <row r="268" spans="1:16">
      <c r="A268" s="35">
        <v>877</v>
      </c>
      <c r="B268" s="36">
        <v>40582</v>
      </c>
      <c r="C268" s="35">
        <v>1</v>
      </c>
      <c r="D268" s="35">
        <v>0</v>
      </c>
      <c r="E268" s="35">
        <v>2</v>
      </c>
      <c r="F268" s="35">
        <v>23</v>
      </c>
      <c r="G268" s="35" t="b">
        <v>0</v>
      </c>
      <c r="H268" s="35">
        <v>2</v>
      </c>
      <c r="I268" s="35">
        <v>1</v>
      </c>
      <c r="J268" s="35">
        <v>0.12</v>
      </c>
      <c r="K268" s="35">
        <v>0.1061</v>
      </c>
      <c r="L268" s="35">
        <v>0.33</v>
      </c>
      <c r="M268" s="35">
        <v>0.32840000000000003</v>
      </c>
      <c r="N268" s="35">
        <v>3</v>
      </c>
      <c r="O268" s="35">
        <v>9</v>
      </c>
      <c r="P268" s="35">
        <v>12</v>
      </c>
    </row>
    <row r="269" spans="1:16">
      <c r="A269" s="35">
        <v>878</v>
      </c>
      <c r="B269" s="36">
        <v>40583</v>
      </c>
      <c r="C269" s="35">
        <v>1</v>
      </c>
      <c r="D269" s="35">
        <v>0</v>
      </c>
      <c r="E269" s="35">
        <v>2</v>
      </c>
      <c r="F269" s="35">
        <v>0</v>
      </c>
      <c r="G269" s="35" t="b">
        <v>0</v>
      </c>
      <c r="H269" s="35">
        <v>3</v>
      </c>
      <c r="I269" s="35">
        <v>1</v>
      </c>
      <c r="J269" s="35">
        <v>0.1</v>
      </c>
      <c r="K269" s="35">
        <v>7.5800000000000006E-2</v>
      </c>
      <c r="L269" s="35">
        <v>0.36</v>
      </c>
      <c r="M269" s="35">
        <v>0.35820000000000002</v>
      </c>
      <c r="N269" s="35">
        <v>0</v>
      </c>
      <c r="O269" s="35">
        <v>17</v>
      </c>
      <c r="P269" s="35">
        <v>17</v>
      </c>
    </row>
    <row r="270" spans="1:16">
      <c r="A270" s="35">
        <v>879</v>
      </c>
      <c r="B270" s="36">
        <v>40583</v>
      </c>
      <c r="C270" s="35">
        <v>1</v>
      </c>
      <c r="D270" s="35">
        <v>0</v>
      </c>
      <c r="E270" s="35">
        <v>2</v>
      </c>
      <c r="F270" s="35">
        <v>1</v>
      </c>
      <c r="G270" s="35" t="b">
        <v>0</v>
      </c>
      <c r="H270" s="35">
        <v>3</v>
      </c>
      <c r="I270" s="35">
        <v>1</v>
      </c>
      <c r="J270" s="35">
        <v>0.1</v>
      </c>
      <c r="K270" s="35">
        <v>0.1061</v>
      </c>
      <c r="L270" s="35">
        <v>0.36</v>
      </c>
      <c r="M270" s="35">
        <v>0.22389999999999999</v>
      </c>
      <c r="N270" s="35">
        <v>0</v>
      </c>
      <c r="O270" s="35">
        <v>7</v>
      </c>
      <c r="P270" s="35">
        <v>7</v>
      </c>
    </row>
    <row r="271" spans="1:16">
      <c r="A271" s="35">
        <v>880</v>
      </c>
      <c r="B271" s="36">
        <v>40583</v>
      </c>
      <c r="C271" s="35">
        <v>1</v>
      </c>
      <c r="D271" s="35">
        <v>0</v>
      </c>
      <c r="E271" s="35">
        <v>2</v>
      </c>
      <c r="F271" s="35">
        <v>2</v>
      </c>
      <c r="G271" s="35" t="b">
        <v>0</v>
      </c>
      <c r="H271" s="35">
        <v>3</v>
      </c>
      <c r="I271" s="35">
        <v>1</v>
      </c>
      <c r="J271" s="35">
        <v>0.08</v>
      </c>
      <c r="K271" s="35">
        <v>7.5800000000000006E-2</v>
      </c>
      <c r="L271" s="35">
        <v>0.38</v>
      </c>
      <c r="M271" s="35">
        <v>0.28360000000000002</v>
      </c>
      <c r="N271" s="35">
        <v>1</v>
      </c>
      <c r="O271" s="35">
        <v>2</v>
      </c>
      <c r="P271" s="35">
        <v>3</v>
      </c>
    </row>
    <row r="272" spans="1:16">
      <c r="A272" s="35">
        <v>881</v>
      </c>
      <c r="B272" s="36">
        <v>40583</v>
      </c>
      <c r="C272" s="35">
        <v>1</v>
      </c>
      <c r="D272" s="35">
        <v>0</v>
      </c>
      <c r="E272" s="35">
        <v>2</v>
      </c>
      <c r="F272" s="35">
        <v>3</v>
      </c>
      <c r="G272" s="35" t="b">
        <v>0</v>
      </c>
      <c r="H272" s="35">
        <v>3</v>
      </c>
      <c r="I272" s="35">
        <v>1</v>
      </c>
      <c r="J272" s="35">
        <v>0.06</v>
      </c>
      <c r="K272" s="35">
        <v>7.5800000000000006E-2</v>
      </c>
      <c r="L272" s="35">
        <v>0.45</v>
      </c>
      <c r="M272" s="35">
        <v>0.1343</v>
      </c>
      <c r="N272" s="35">
        <v>0</v>
      </c>
      <c r="O272" s="35">
        <v>2</v>
      </c>
      <c r="P272" s="35">
        <v>2</v>
      </c>
    </row>
    <row r="273" spans="1:16">
      <c r="A273" s="35">
        <v>882</v>
      </c>
      <c r="B273" s="36">
        <v>40583</v>
      </c>
      <c r="C273" s="35">
        <v>1</v>
      </c>
      <c r="D273" s="35">
        <v>0</v>
      </c>
      <c r="E273" s="35">
        <v>2</v>
      </c>
      <c r="F273" s="35">
        <v>5</v>
      </c>
      <c r="G273" s="35" t="b">
        <v>0</v>
      </c>
      <c r="H273" s="35">
        <v>3</v>
      </c>
      <c r="I273" s="35">
        <v>1</v>
      </c>
      <c r="J273" s="35">
        <v>0.06</v>
      </c>
      <c r="K273" s="35">
        <v>0.1061</v>
      </c>
      <c r="L273" s="35">
        <v>0.45</v>
      </c>
      <c r="M273" s="35">
        <v>0.1045</v>
      </c>
      <c r="N273" s="35">
        <v>0</v>
      </c>
      <c r="O273" s="35">
        <v>7</v>
      </c>
      <c r="P273" s="35">
        <v>7</v>
      </c>
    </row>
    <row r="274" spans="1:16">
      <c r="A274" s="35">
        <v>883</v>
      </c>
      <c r="B274" s="36">
        <v>40583</v>
      </c>
      <c r="C274" s="35">
        <v>1</v>
      </c>
      <c r="D274" s="35">
        <v>0</v>
      </c>
      <c r="E274" s="35">
        <v>2</v>
      </c>
      <c r="F274" s="35">
        <v>6</v>
      </c>
      <c r="G274" s="35" t="b">
        <v>0</v>
      </c>
      <c r="H274" s="35">
        <v>3</v>
      </c>
      <c r="I274" s="35">
        <v>1</v>
      </c>
      <c r="J274" s="35">
        <v>0.06</v>
      </c>
      <c r="K274" s="35">
        <v>0.1515</v>
      </c>
      <c r="L274" s="35">
        <v>0.45</v>
      </c>
      <c r="M274" s="35">
        <v>0</v>
      </c>
      <c r="N274" s="35">
        <v>0</v>
      </c>
      <c r="O274" s="35">
        <v>43</v>
      </c>
      <c r="P274" s="35">
        <v>43</v>
      </c>
    </row>
    <row r="275" spans="1:16">
      <c r="A275" s="35">
        <v>884</v>
      </c>
      <c r="B275" s="36">
        <v>40583</v>
      </c>
      <c r="C275" s="35">
        <v>1</v>
      </c>
      <c r="D275" s="35">
        <v>0</v>
      </c>
      <c r="E275" s="35">
        <v>2</v>
      </c>
      <c r="F275" s="35">
        <v>7</v>
      </c>
      <c r="G275" s="35" t="b">
        <v>0</v>
      </c>
      <c r="H275" s="35">
        <v>3</v>
      </c>
      <c r="I275" s="35">
        <v>1</v>
      </c>
      <c r="J275" s="35">
        <v>0.06</v>
      </c>
      <c r="K275" s="35">
        <v>0.1061</v>
      </c>
      <c r="L275" s="35">
        <v>0.49</v>
      </c>
      <c r="M275" s="35">
        <v>0.1045</v>
      </c>
      <c r="N275" s="35">
        <v>4</v>
      </c>
      <c r="O275" s="35">
        <v>95</v>
      </c>
      <c r="P275" s="35">
        <v>99</v>
      </c>
    </row>
    <row r="276" spans="1:16">
      <c r="A276" s="35">
        <v>885</v>
      </c>
      <c r="B276" s="36">
        <v>40583</v>
      </c>
      <c r="C276" s="35">
        <v>1</v>
      </c>
      <c r="D276" s="35">
        <v>0</v>
      </c>
      <c r="E276" s="35">
        <v>2</v>
      </c>
      <c r="F276" s="35">
        <v>8</v>
      </c>
      <c r="G276" s="35" t="b">
        <v>0</v>
      </c>
      <c r="H276" s="35">
        <v>3</v>
      </c>
      <c r="I276" s="35">
        <v>1</v>
      </c>
      <c r="J276" s="35">
        <v>0.1</v>
      </c>
      <c r="K276" s="35">
        <v>0.13639999999999999</v>
      </c>
      <c r="L276" s="35">
        <v>0.42</v>
      </c>
      <c r="M276" s="35">
        <v>0</v>
      </c>
      <c r="N276" s="35">
        <v>1</v>
      </c>
      <c r="O276" s="35">
        <v>198</v>
      </c>
      <c r="P276" s="35">
        <v>199</v>
      </c>
    </row>
    <row r="277" spans="1:16">
      <c r="A277" s="35">
        <v>886</v>
      </c>
      <c r="B277" s="36">
        <v>40583</v>
      </c>
      <c r="C277" s="35">
        <v>1</v>
      </c>
      <c r="D277" s="35">
        <v>0</v>
      </c>
      <c r="E277" s="35">
        <v>2</v>
      </c>
      <c r="F277" s="35">
        <v>9</v>
      </c>
      <c r="G277" s="35" t="b">
        <v>0</v>
      </c>
      <c r="H277" s="35">
        <v>3</v>
      </c>
      <c r="I277" s="35">
        <v>1</v>
      </c>
      <c r="J277" s="35">
        <v>0.12</v>
      </c>
      <c r="K277" s="35">
        <v>0.13639999999999999</v>
      </c>
      <c r="L277" s="35">
        <v>0.39</v>
      </c>
      <c r="M277" s="35">
        <v>0.16420000000000001</v>
      </c>
      <c r="N277" s="35">
        <v>4</v>
      </c>
      <c r="O277" s="35">
        <v>119</v>
      </c>
      <c r="P277" s="35">
        <v>123</v>
      </c>
    </row>
    <row r="278" spans="1:16">
      <c r="A278" s="35">
        <v>887</v>
      </c>
      <c r="B278" s="36">
        <v>40583</v>
      </c>
      <c r="C278" s="35">
        <v>1</v>
      </c>
      <c r="D278" s="35">
        <v>0</v>
      </c>
      <c r="E278" s="35">
        <v>2</v>
      </c>
      <c r="F278" s="35">
        <v>10</v>
      </c>
      <c r="G278" s="35" t="b">
        <v>0</v>
      </c>
      <c r="H278" s="35">
        <v>3</v>
      </c>
      <c r="I278" s="35">
        <v>1</v>
      </c>
      <c r="J278" s="35">
        <v>0.14000000000000001</v>
      </c>
      <c r="K278" s="35">
        <v>0.18179999999999999</v>
      </c>
      <c r="L278" s="35">
        <v>0.36</v>
      </c>
      <c r="M278" s="35">
        <v>0</v>
      </c>
      <c r="N278" s="35">
        <v>8</v>
      </c>
      <c r="O278" s="35">
        <v>51</v>
      </c>
      <c r="P278" s="35">
        <v>59</v>
      </c>
    </row>
    <row r="279" spans="1:16">
      <c r="A279" s="35">
        <v>888</v>
      </c>
      <c r="B279" s="36">
        <v>40583</v>
      </c>
      <c r="C279" s="35">
        <v>1</v>
      </c>
      <c r="D279" s="35">
        <v>0</v>
      </c>
      <c r="E279" s="35">
        <v>2</v>
      </c>
      <c r="F279" s="35">
        <v>11</v>
      </c>
      <c r="G279" s="35" t="b">
        <v>0</v>
      </c>
      <c r="H279" s="35">
        <v>3</v>
      </c>
      <c r="I279" s="35">
        <v>2</v>
      </c>
      <c r="J279" s="35">
        <v>0.14000000000000001</v>
      </c>
      <c r="K279" s="35">
        <v>0.1515</v>
      </c>
      <c r="L279" s="35">
        <v>0.43</v>
      </c>
      <c r="M279" s="35">
        <v>0.16420000000000001</v>
      </c>
      <c r="N279" s="35">
        <v>1</v>
      </c>
      <c r="O279" s="35">
        <v>40</v>
      </c>
      <c r="P279" s="35">
        <v>41</v>
      </c>
    </row>
    <row r="280" spans="1:16">
      <c r="A280" s="35">
        <v>889</v>
      </c>
      <c r="B280" s="36">
        <v>40583</v>
      </c>
      <c r="C280" s="35">
        <v>1</v>
      </c>
      <c r="D280" s="35">
        <v>0</v>
      </c>
      <c r="E280" s="35">
        <v>2</v>
      </c>
      <c r="F280" s="35">
        <v>12</v>
      </c>
      <c r="G280" s="35" t="b">
        <v>0</v>
      </c>
      <c r="H280" s="35">
        <v>3</v>
      </c>
      <c r="I280" s="35">
        <v>2</v>
      </c>
      <c r="J280" s="35">
        <v>0.18</v>
      </c>
      <c r="K280" s="35">
        <v>0.18179999999999999</v>
      </c>
      <c r="L280" s="35">
        <v>0.4</v>
      </c>
      <c r="M280" s="35">
        <v>0.22389999999999999</v>
      </c>
      <c r="N280" s="35">
        <v>4</v>
      </c>
      <c r="O280" s="35">
        <v>57</v>
      </c>
      <c r="P280" s="35">
        <v>61</v>
      </c>
    </row>
    <row r="281" spans="1:16">
      <c r="A281" s="35">
        <v>890</v>
      </c>
      <c r="B281" s="36">
        <v>40583</v>
      </c>
      <c r="C281" s="35">
        <v>1</v>
      </c>
      <c r="D281" s="35">
        <v>0</v>
      </c>
      <c r="E281" s="35">
        <v>2</v>
      </c>
      <c r="F281" s="35">
        <v>13</v>
      </c>
      <c r="G281" s="35" t="b">
        <v>0</v>
      </c>
      <c r="H281" s="35">
        <v>3</v>
      </c>
      <c r="I281" s="35">
        <v>1</v>
      </c>
      <c r="J281" s="35">
        <v>0.18</v>
      </c>
      <c r="K281" s="35">
        <v>0.16669999999999999</v>
      </c>
      <c r="L281" s="35">
        <v>0.4</v>
      </c>
      <c r="M281" s="35">
        <v>0.25369999999999998</v>
      </c>
      <c r="N281" s="35">
        <v>2</v>
      </c>
      <c r="O281" s="35">
        <v>67</v>
      </c>
      <c r="P281" s="35">
        <v>69</v>
      </c>
    </row>
    <row r="282" spans="1:16">
      <c r="A282" s="35">
        <v>891</v>
      </c>
      <c r="B282" s="36">
        <v>40583</v>
      </c>
      <c r="C282" s="35">
        <v>1</v>
      </c>
      <c r="D282" s="35">
        <v>0</v>
      </c>
      <c r="E282" s="35">
        <v>2</v>
      </c>
      <c r="F282" s="35">
        <v>14</v>
      </c>
      <c r="G282" s="35" t="b">
        <v>0</v>
      </c>
      <c r="H282" s="35">
        <v>3</v>
      </c>
      <c r="I282" s="35">
        <v>1</v>
      </c>
      <c r="J282" s="35">
        <v>0.2</v>
      </c>
      <c r="K282" s="35">
        <v>0.18179999999999999</v>
      </c>
      <c r="L282" s="35">
        <v>0.34</v>
      </c>
      <c r="M282" s="35">
        <v>0.29849999999999999</v>
      </c>
      <c r="N282" s="35">
        <v>2</v>
      </c>
      <c r="O282" s="35">
        <v>56</v>
      </c>
      <c r="P282" s="35">
        <v>58</v>
      </c>
    </row>
    <row r="283" spans="1:16">
      <c r="A283" s="35">
        <v>892</v>
      </c>
      <c r="B283" s="36">
        <v>40583</v>
      </c>
      <c r="C283" s="35">
        <v>1</v>
      </c>
      <c r="D283" s="35">
        <v>0</v>
      </c>
      <c r="E283" s="35">
        <v>2</v>
      </c>
      <c r="F283" s="35">
        <v>15</v>
      </c>
      <c r="G283" s="35" t="b">
        <v>0</v>
      </c>
      <c r="H283" s="35">
        <v>3</v>
      </c>
      <c r="I283" s="35">
        <v>2</v>
      </c>
      <c r="J283" s="35">
        <v>0.2</v>
      </c>
      <c r="K283" s="35">
        <v>0.18179999999999999</v>
      </c>
      <c r="L283" s="35">
        <v>0.34</v>
      </c>
      <c r="M283" s="35">
        <v>0.28360000000000002</v>
      </c>
      <c r="N283" s="35">
        <v>3</v>
      </c>
      <c r="O283" s="35">
        <v>61</v>
      </c>
      <c r="P283" s="35">
        <v>64</v>
      </c>
    </row>
    <row r="284" spans="1:16">
      <c r="A284" s="35">
        <v>893</v>
      </c>
      <c r="B284" s="36">
        <v>40583</v>
      </c>
      <c r="C284" s="35">
        <v>1</v>
      </c>
      <c r="D284" s="35">
        <v>0</v>
      </c>
      <c r="E284" s="35">
        <v>2</v>
      </c>
      <c r="F284" s="35">
        <v>16</v>
      </c>
      <c r="G284" s="35" t="b">
        <v>0</v>
      </c>
      <c r="H284" s="35">
        <v>3</v>
      </c>
      <c r="I284" s="35">
        <v>2</v>
      </c>
      <c r="J284" s="35">
        <v>0.2</v>
      </c>
      <c r="K284" s="35">
        <v>0.19700000000000001</v>
      </c>
      <c r="L284" s="35">
        <v>0.37</v>
      </c>
      <c r="M284" s="35">
        <v>0.25369999999999998</v>
      </c>
      <c r="N284" s="35">
        <v>7</v>
      </c>
      <c r="O284" s="35">
        <v>72</v>
      </c>
      <c r="P284" s="35">
        <v>79</v>
      </c>
    </row>
    <row r="285" spans="1:16">
      <c r="A285" s="35">
        <v>894</v>
      </c>
      <c r="B285" s="36">
        <v>40583</v>
      </c>
      <c r="C285" s="35">
        <v>1</v>
      </c>
      <c r="D285" s="35">
        <v>0</v>
      </c>
      <c r="E285" s="35">
        <v>2</v>
      </c>
      <c r="F285" s="35">
        <v>17</v>
      </c>
      <c r="G285" s="35" t="b">
        <v>0</v>
      </c>
      <c r="H285" s="35">
        <v>3</v>
      </c>
      <c r="I285" s="35">
        <v>2</v>
      </c>
      <c r="J285" s="35">
        <v>0.2</v>
      </c>
      <c r="K285" s="35">
        <v>0.19700000000000001</v>
      </c>
      <c r="L285" s="35">
        <v>0.34</v>
      </c>
      <c r="M285" s="35">
        <v>0.25369999999999998</v>
      </c>
      <c r="N285" s="35">
        <v>9</v>
      </c>
      <c r="O285" s="35">
        <v>157</v>
      </c>
      <c r="P285" s="35">
        <v>166</v>
      </c>
    </row>
    <row r="286" spans="1:16">
      <c r="A286" s="35">
        <v>895</v>
      </c>
      <c r="B286" s="36">
        <v>40583</v>
      </c>
      <c r="C286" s="35">
        <v>1</v>
      </c>
      <c r="D286" s="35">
        <v>0</v>
      </c>
      <c r="E286" s="35">
        <v>2</v>
      </c>
      <c r="F286" s="35">
        <v>18</v>
      </c>
      <c r="G286" s="35" t="b">
        <v>0</v>
      </c>
      <c r="H286" s="35">
        <v>3</v>
      </c>
      <c r="I286" s="35">
        <v>2</v>
      </c>
      <c r="J286" s="35">
        <v>0.18</v>
      </c>
      <c r="K286" s="35">
        <v>0.16669999999999999</v>
      </c>
      <c r="L286" s="35">
        <v>0.47</v>
      </c>
      <c r="M286" s="35">
        <v>0.29849999999999999</v>
      </c>
      <c r="N286" s="35">
        <v>2</v>
      </c>
      <c r="O286" s="35">
        <v>168</v>
      </c>
      <c r="P286" s="35">
        <v>170</v>
      </c>
    </row>
    <row r="287" spans="1:16">
      <c r="A287" s="35">
        <v>896</v>
      </c>
      <c r="B287" s="36">
        <v>40583</v>
      </c>
      <c r="C287" s="35">
        <v>1</v>
      </c>
      <c r="D287" s="35">
        <v>0</v>
      </c>
      <c r="E287" s="35">
        <v>2</v>
      </c>
      <c r="F287" s="35">
        <v>19</v>
      </c>
      <c r="G287" s="35" t="b">
        <v>0</v>
      </c>
      <c r="H287" s="35">
        <v>3</v>
      </c>
      <c r="I287" s="35">
        <v>3</v>
      </c>
      <c r="J287" s="35">
        <v>0.14000000000000001</v>
      </c>
      <c r="K287" s="35">
        <v>0.1212</v>
      </c>
      <c r="L287" s="35">
        <v>0.86</v>
      </c>
      <c r="M287" s="35">
        <v>0.25369999999999998</v>
      </c>
      <c r="N287" s="35">
        <v>1</v>
      </c>
      <c r="O287" s="35">
        <v>87</v>
      </c>
      <c r="P287" s="35">
        <v>88</v>
      </c>
    </row>
    <row r="288" spans="1:16">
      <c r="A288" s="35">
        <v>897</v>
      </c>
      <c r="B288" s="36">
        <v>40583</v>
      </c>
      <c r="C288" s="35">
        <v>1</v>
      </c>
      <c r="D288" s="35">
        <v>0</v>
      </c>
      <c r="E288" s="35">
        <v>2</v>
      </c>
      <c r="F288" s="35">
        <v>20</v>
      </c>
      <c r="G288" s="35" t="b">
        <v>0</v>
      </c>
      <c r="H288" s="35">
        <v>3</v>
      </c>
      <c r="I288" s="35">
        <v>3</v>
      </c>
      <c r="J288" s="35">
        <v>0.14000000000000001</v>
      </c>
      <c r="K288" s="35">
        <v>0.1515</v>
      </c>
      <c r="L288" s="35">
        <v>0.86</v>
      </c>
      <c r="M288" s="35">
        <v>0.16420000000000001</v>
      </c>
      <c r="N288" s="35">
        <v>0</v>
      </c>
      <c r="O288" s="35">
        <v>84</v>
      </c>
      <c r="P288" s="35">
        <v>84</v>
      </c>
    </row>
    <row r="289" spans="1:16">
      <c r="A289" s="35">
        <v>898</v>
      </c>
      <c r="B289" s="36">
        <v>40583</v>
      </c>
      <c r="C289" s="35">
        <v>1</v>
      </c>
      <c r="D289" s="35">
        <v>0</v>
      </c>
      <c r="E289" s="35">
        <v>2</v>
      </c>
      <c r="F289" s="35">
        <v>21</v>
      </c>
      <c r="G289" s="35" t="b">
        <v>0</v>
      </c>
      <c r="H289" s="35">
        <v>3</v>
      </c>
      <c r="I289" s="35">
        <v>2</v>
      </c>
      <c r="J289" s="35">
        <v>0.14000000000000001</v>
      </c>
      <c r="K289" s="35">
        <v>0.1515</v>
      </c>
      <c r="L289" s="35">
        <v>0.86</v>
      </c>
      <c r="M289" s="35">
        <v>0.16420000000000001</v>
      </c>
      <c r="N289" s="35">
        <v>0</v>
      </c>
      <c r="O289" s="35">
        <v>83</v>
      </c>
      <c r="P289" s="35">
        <v>83</v>
      </c>
    </row>
    <row r="290" spans="1:16">
      <c r="A290" s="35">
        <v>899</v>
      </c>
      <c r="B290" s="36">
        <v>40583</v>
      </c>
      <c r="C290" s="35">
        <v>1</v>
      </c>
      <c r="D290" s="35">
        <v>0</v>
      </c>
      <c r="E290" s="35">
        <v>2</v>
      </c>
      <c r="F290" s="35">
        <v>22</v>
      </c>
      <c r="G290" s="35" t="b">
        <v>0</v>
      </c>
      <c r="H290" s="35">
        <v>3</v>
      </c>
      <c r="I290" s="35">
        <v>3</v>
      </c>
      <c r="J290" s="35">
        <v>0.16</v>
      </c>
      <c r="K290" s="35">
        <v>0.16669999999999999</v>
      </c>
      <c r="L290" s="35">
        <v>0.8</v>
      </c>
      <c r="M290" s="35">
        <v>0.16420000000000001</v>
      </c>
      <c r="N290" s="35">
        <v>4</v>
      </c>
      <c r="O290" s="35">
        <v>42</v>
      </c>
      <c r="P290" s="35">
        <v>46</v>
      </c>
    </row>
    <row r="291" spans="1:16">
      <c r="A291" s="35">
        <v>900</v>
      </c>
      <c r="B291" s="36">
        <v>40583</v>
      </c>
      <c r="C291" s="35">
        <v>1</v>
      </c>
      <c r="D291" s="35">
        <v>0</v>
      </c>
      <c r="E291" s="35">
        <v>2</v>
      </c>
      <c r="F291" s="35">
        <v>23</v>
      </c>
      <c r="G291" s="35" t="b">
        <v>0</v>
      </c>
      <c r="H291" s="35">
        <v>3</v>
      </c>
      <c r="I291" s="35">
        <v>3</v>
      </c>
      <c r="J291" s="35">
        <v>0.16</v>
      </c>
      <c r="K291" s="35">
        <v>0.1515</v>
      </c>
      <c r="L291" s="35">
        <v>0.8</v>
      </c>
      <c r="M291" s="35">
        <v>0.19400000000000001</v>
      </c>
      <c r="N291" s="35">
        <v>0</v>
      </c>
      <c r="O291" s="35">
        <v>37</v>
      </c>
      <c r="P291" s="35">
        <v>37</v>
      </c>
    </row>
    <row r="292" spans="1:16">
      <c r="A292" s="35">
        <v>901</v>
      </c>
      <c r="B292" s="36">
        <v>40584</v>
      </c>
      <c r="C292" s="35">
        <v>1</v>
      </c>
      <c r="D292" s="35">
        <v>0</v>
      </c>
      <c r="E292" s="35">
        <v>2</v>
      </c>
      <c r="F292" s="35">
        <v>0</v>
      </c>
      <c r="G292" s="35" t="b">
        <v>0</v>
      </c>
      <c r="H292" s="35">
        <v>4</v>
      </c>
      <c r="I292" s="35">
        <v>3</v>
      </c>
      <c r="J292" s="35">
        <v>0.14000000000000001</v>
      </c>
      <c r="K292" s="35">
        <v>0.13639999999999999</v>
      </c>
      <c r="L292" s="35">
        <v>0.86</v>
      </c>
      <c r="M292" s="35">
        <v>0.19400000000000001</v>
      </c>
      <c r="N292" s="35">
        <v>0</v>
      </c>
      <c r="O292" s="35">
        <v>16</v>
      </c>
      <c r="P292" s="35">
        <v>16</v>
      </c>
    </row>
    <row r="293" spans="1:16">
      <c r="A293" s="35">
        <v>902</v>
      </c>
      <c r="B293" s="36">
        <v>40584</v>
      </c>
      <c r="C293" s="35">
        <v>1</v>
      </c>
      <c r="D293" s="35">
        <v>0</v>
      </c>
      <c r="E293" s="35">
        <v>2</v>
      </c>
      <c r="F293" s="35">
        <v>1</v>
      </c>
      <c r="G293" s="35" t="b">
        <v>0</v>
      </c>
      <c r="H293" s="35">
        <v>4</v>
      </c>
      <c r="I293" s="35">
        <v>3</v>
      </c>
      <c r="J293" s="35">
        <v>0.14000000000000001</v>
      </c>
      <c r="K293" s="35">
        <v>0.1515</v>
      </c>
      <c r="L293" s="35">
        <v>0.8</v>
      </c>
      <c r="M293" s="35">
        <v>0.1343</v>
      </c>
      <c r="N293" s="35">
        <v>0</v>
      </c>
      <c r="O293" s="35">
        <v>7</v>
      </c>
      <c r="P293" s="35">
        <v>7</v>
      </c>
    </row>
    <row r="294" spans="1:16">
      <c r="A294" s="35">
        <v>903</v>
      </c>
      <c r="B294" s="36">
        <v>40584</v>
      </c>
      <c r="C294" s="35">
        <v>1</v>
      </c>
      <c r="D294" s="35">
        <v>0</v>
      </c>
      <c r="E294" s="35">
        <v>2</v>
      </c>
      <c r="F294" s="35">
        <v>2</v>
      </c>
      <c r="G294" s="35" t="b">
        <v>0</v>
      </c>
      <c r="H294" s="35">
        <v>4</v>
      </c>
      <c r="I294" s="35">
        <v>3</v>
      </c>
      <c r="J294" s="35">
        <v>0.14000000000000001</v>
      </c>
      <c r="K294" s="35">
        <v>0.1515</v>
      </c>
      <c r="L294" s="35">
        <v>0.8</v>
      </c>
      <c r="M294" s="35">
        <v>0.1343</v>
      </c>
      <c r="N294" s="35">
        <v>0</v>
      </c>
      <c r="O294" s="35">
        <v>3</v>
      </c>
      <c r="P294" s="35">
        <v>3</v>
      </c>
    </row>
    <row r="295" spans="1:16">
      <c r="A295" s="35">
        <v>904</v>
      </c>
      <c r="B295" s="36">
        <v>40584</v>
      </c>
      <c r="C295" s="35">
        <v>1</v>
      </c>
      <c r="D295" s="35">
        <v>0</v>
      </c>
      <c r="E295" s="35">
        <v>2</v>
      </c>
      <c r="F295" s="35">
        <v>4</v>
      </c>
      <c r="G295" s="35" t="b">
        <v>0</v>
      </c>
      <c r="H295" s="35">
        <v>4</v>
      </c>
      <c r="I295" s="35">
        <v>2</v>
      </c>
      <c r="J295" s="35">
        <v>0.14000000000000001</v>
      </c>
      <c r="K295" s="35">
        <v>0.13639999999999999</v>
      </c>
      <c r="L295" s="35">
        <v>0.59</v>
      </c>
      <c r="M295" s="35">
        <v>0.22389999999999999</v>
      </c>
      <c r="N295" s="35">
        <v>0</v>
      </c>
      <c r="O295" s="35">
        <v>1</v>
      </c>
      <c r="P295" s="35">
        <v>1</v>
      </c>
    </row>
    <row r="296" spans="1:16">
      <c r="A296" s="35">
        <v>905</v>
      </c>
      <c r="B296" s="36">
        <v>40584</v>
      </c>
      <c r="C296" s="35">
        <v>1</v>
      </c>
      <c r="D296" s="35">
        <v>0</v>
      </c>
      <c r="E296" s="35">
        <v>2</v>
      </c>
      <c r="F296" s="35">
        <v>5</v>
      </c>
      <c r="G296" s="35" t="b">
        <v>0</v>
      </c>
      <c r="H296" s="35">
        <v>4</v>
      </c>
      <c r="I296" s="35">
        <v>2</v>
      </c>
      <c r="J296" s="35">
        <v>0.12</v>
      </c>
      <c r="K296" s="35">
        <v>0.1212</v>
      </c>
      <c r="L296" s="35">
        <v>0.5</v>
      </c>
      <c r="M296" s="35">
        <v>0.22389999999999999</v>
      </c>
      <c r="N296" s="35">
        <v>0</v>
      </c>
      <c r="O296" s="35">
        <v>6</v>
      </c>
      <c r="P296" s="35">
        <v>6</v>
      </c>
    </row>
    <row r="297" spans="1:16">
      <c r="A297" s="35">
        <v>906</v>
      </c>
      <c r="B297" s="36">
        <v>40584</v>
      </c>
      <c r="C297" s="35">
        <v>1</v>
      </c>
      <c r="D297" s="35">
        <v>0</v>
      </c>
      <c r="E297" s="35">
        <v>2</v>
      </c>
      <c r="F297" s="35">
        <v>6</v>
      </c>
      <c r="G297" s="35" t="b">
        <v>0</v>
      </c>
      <c r="H297" s="35">
        <v>4</v>
      </c>
      <c r="I297" s="35">
        <v>2</v>
      </c>
      <c r="J297" s="35">
        <v>0.12</v>
      </c>
      <c r="K297" s="35">
        <v>0.1212</v>
      </c>
      <c r="L297" s="35">
        <v>0.54</v>
      </c>
      <c r="M297" s="35">
        <v>0.28360000000000002</v>
      </c>
      <c r="N297" s="35">
        <v>0</v>
      </c>
      <c r="O297" s="35">
        <v>26</v>
      </c>
      <c r="P297" s="35">
        <v>26</v>
      </c>
    </row>
    <row r="298" spans="1:16">
      <c r="A298" s="35">
        <v>907</v>
      </c>
      <c r="B298" s="36">
        <v>40584</v>
      </c>
      <c r="C298" s="35">
        <v>1</v>
      </c>
      <c r="D298" s="35">
        <v>0</v>
      </c>
      <c r="E298" s="35">
        <v>2</v>
      </c>
      <c r="F298" s="35">
        <v>7</v>
      </c>
      <c r="G298" s="35" t="b">
        <v>0</v>
      </c>
      <c r="H298" s="35">
        <v>4</v>
      </c>
      <c r="I298" s="35">
        <v>1</v>
      </c>
      <c r="J298" s="35">
        <v>0.1</v>
      </c>
      <c r="K298" s="35">
        <v>7.5800000000000006E-2</v>
      </c>
      <c r="L298" s="35">
        <v>0.5</v>
      </c>
      <c r="M298" s="35">
        <v>0.41789999999999999</v>
      </c>
      <c r="N298" s="35">
        <v>0</v>
      </c>
      <c r="O298" s="35">
        <v>99</v>
      </c>
      <c r="P298" s="35">
        <v>99</v>
      </c>
    </row>
    <row r="299" spans="1:16">
      <c r="A299" s="35">
        <v>908</v>
      </c>
      <c r="B299" s="36">
        <v>40584</v>
      </c>
      <c r="C299" s="35">
        <v>1</v>
      </c>
      <c r="D299" s="35">
        <v>0</v>
      </c>
      <c r="E299" s="35">
        <v>2</v>
      </c>
      <c r="F299" s="35">
        <v>8</v>
      </c>
      <c r="G299" s="35" t="b">
        <v>0</v>
      </c>
      <c r="H299" s="35">
        <v>4</v>
      </c>
      <c r="I299" s="35">
        <v>1</v>
      </c>
      <c r="J299" s="35">
        <v>0.1</v>
      </c>
      <c r="K299" s="35">
        <v>7.5800000000000006E-2</v>
      </c>
      <c r="L299" s="35">
        <v>0.49</v>
      </c>
      <c r="M299" s="35">
        <v>0.32840000000000003</v>
      </c>
      <c r="N299" s="35">
        <v>5</v>
      </c>
      <c r="O299" s="35">
        <v>173</v>
      </c>
      <c r="P299" s="35">
        <v>178</v>
      </c>
    </row>
    <row r="300" spans="1:16">
      <c r="A300" s="35">
        <v>909</v>
      </c>
      <c r="B300" s="36">
        <v>40584</v>
      </c>
      <c r="C300" s="35">
        <v>1</v>
      </c>
      <c r="D300" s="35">
        <v>0</v>
      </c>
      <c r="E300" s="35">
        <v>2</v>
      </c>
      <c r="F300" s="35">
        <v>9</v>
      </c>
      <c r="G300" s="35" t="b">
        <v>0</v>
      </c>
      <c r="H300" s="35">
        <v>4</v>
      </c>
      <c r="I300" s="35">
        <v>1</v>
      </c>
      <c r="J300" s="35">
        <v>0.12</v>
      </c>
      <c r="K300" s="35">
        <v>0.1061</v>
      </c>
      <c r="L300" s="35">
        <v>0.42</v>
      </c>
      <c r="M300" s="35">
        <v>0.35820000000000002</v>
      </c>
      <c r="N300" s="35">
        <v>1</v>
      </c>
      <c r="O300" s="35">
        <v>121</v>
      </c>
      <c r="P300" s="35">
        <v>122</v>
      </c>
    </row>
    <row r="301" spans="1:16">
      <c r="A301" s="35">
        <v>910</v>
      </c>
      <c r="B301" s="36">
        <v>40584</v>
      </c>
      <c r="C301" s="35">
        <v>1</v>
      </c>
      <c r="D301" s="35">
        <v>0</v>
      </c>
      <c r="E301" s="35">
        <v>2</v>
      </c>
      <c r="F301" s="35">
        <v>10</v>
      </c>
      <c r="G301" s="35" t="b">
        <v>0</v>
      </c>
      <c r="H301" s="35">
        <v>4</v>
      </c>
      <c r="I301" s="35">
        <v>1</v>
      </c>
      <c r="J301" s="35">
        <v>0.12</v>
      </c>
      <c r="K301" s="35">
        <v>0.1061</v>
      </c>
      <c r="L301" s="35">
        <v>0.42</v>
      </c>
      <c r="M301" s="35">
        <v>0.29849999999999999</v>
      </c>
      <c r="N301" s="35">
        <v>1</v>
      </c>
      <c r="O301" s="35">
        <v>34</v>
      </c>
      <c r="P301" s="35">
        <v>35</v>
      </c>
    </row>
    <row r="302" spans="1:16">
      <c r="A302" s="35">
        <v>911</v>
      </c>
      <c r="B302" s="36">
        <v>40584</v>
      </c>
      <c r="C302" s="35">
        <v>1</v>
      </c>
      <c r="D302" s="35">
        <v>0</v>
      </c>
      <c r="E302" s="35">
        <v>2</v>
      </c>
      <c r="F302" s="35">
        <v>11</v>
      </c>
      <c r="G302" s="35" t="b">
        <v>0</v>
      </c>
      <c r="H302" s="35">
        <v>4</v>
      </c>
      <c r="I302" s="35">
        <v>1</v>
      </c>
      <c r="J302" s="35">
        <v>0.14000000000000001</v>
      </c>
      <c r="K302" s="35">
        <v>0.1212</v>
      </c>
      <c r="L302" s="35">
        <v>0.39</v>
      </c>
      <c r="M302" s="35">
        <v>0.35820000000000002</v>
      </c>
      <c r="N302" s="35">
        <v>1</v>
      </c>
      <c r="O302" s="35">
        <v>44</v>
      </c>
      <c r="P302" s="35">
        <v>45</v>
      </c>
    </row>
    <row r="303" spans="1:16">
      <c r="A303" s="35">
        <v>912</v>
      </c>
      <c r="B303" s="36">
        <v>40584</v>
      </c>
      <c r="C303" s="35">
        <v>1</v>
      </c>
      <c r="D303" s="35">
        <v>0</v>
      </c>
      <c r="E303" s="35">
        <v>2</v>
      </c>
      <c r="F303" s="35">
        <v>12</v>
      </c>
      <c r="G303" s="35" t="b">
        <v>0</v>
      </c>
      <c r="H303" s="35">
        <v>4</v>
      </c>
      <c r="I303" s="35">
        <v>1</v>
      </c>
      <c r="J303" s="35">
        <v>0.16</v>
      </c>
      <c r="K303" s="35">
        <v>0.13639999999999999</v>
      </c>
      <c r="L303" s="35">
        <v>0.34</v>
      </c>
      <c r="M303" s="35">
        <v>0.3881</v>
      </c>
      <c r="N303" s="35">
        <v>4</v>
      </c>
      <c r="O303" s="35">
        <v>65</v>
      </c>
      <c r="P303" s="35">
        <v>69</v>
      </c>
    </row>
    <row r="304" spans="1:16">
      <c r="A304" s="35">
        <v>913</v>
      </c>
      <c r="B304" s="36">
        <v>40584</v>
      </c>
      <c r="C304" s="35">
        <v>1</v>
      </c>
      <c r="D304" s="35">
        <v>0</v>
      </c>
      <c r="E304" s="35">
        <v>2</v>
      </c>
      <c r="F304" s="35">
        <v>13</v>
      </c>
      <c r="G304" s="35" t="b">
        <v>0</v>
      </c>
      <c r="H304" s="35">
        <v>4</v>
      </c>
      <c r="I304" s="35">
        <v>1</v>
      </c>
      <c r="J304" s="35">
        <v>0.18</v>
      </c>
      <c r="K304" s="35">
        <v>0.16669999999999999</v>
      </c>
      <c r="L304" s="35">
        <v>0.28999999999999998</v>
      </c>
      <c r="M304" s="35">
        <v>0.29849999999999999</v>
      </c>
      <c r="N304" s="35">
        <v>3</v>
      </c>
      <c r="O304" s="35">
        <v>59</v>
      </c>
      <c r="P304" s="35">
        <v>62</v>
      </c>
    </row>
    <row r="305" spans="1:16">
      <c r="A305" s="35">
        <v>914</v>
      </c>
      <c r="B305" s="36">
        <v>40584</v>
      </c>
      <c r="C305" s="35">
        <v>1</v>
      </c>
      <c r="D305" s="35">
        <v>0</v>
      </c>
      <c r="E305" s="35">
        <v>2</v>
      </c>
      <c r="F305" s="35">
        <v>14</v>
      </c>
      <c r="G305" s="35" t="b">
        <v>0</v>
      </c>
      <c r="H305" s="35">
        <v>4</v>
      </c>
      <c r="I305" s="35">
        <v>1</v>
      </c>
      <c r="J305" s="35">
        <v>0.2</v>
      </c>
      <c r="K305" s="35">
        <v>0.18179999999999999</v>
      </c>
      <c r="L305" s="35">
        <v>0.27</v>
      </c>
      <c r="M305" s="35">
        <v>0.28360000000000002</v>
      </c>
      <c r="N305" s="35">
        <v>6</v>
      </c>
      <c r="O305" s="35">
        <v>42</v>
      </c>
      <c r="P305" s="35">
        <v>48</v>
      </c>
    </row>
    <row r="306" spans="1:16">
      <c r="A306" s="35">
        <v>915</v>
      </c>
      <c r="B306" s="36">
        <v>40584</v>
      </c>
      <c r="C306" s="35">
        <v>1</v>
      </c>
      <c r="D306" s="35">
        <v>0</v>
      </c>
      <c r="E306" s="35">
        <v>2</v>
      </c>
      <c r="F306" s="35">
        <v>15</v>
      </c>
      <c r="G306" s="35" t="b">
        <v>0</v>
      </c>
      <c r="H306" s="35">
        <v>4</v>
      </c>
      <c r="I306" s="35">
        <v>1</v>
      </c>
      <c r="J306" s="35">
        <v>0.2</v>
      </c>
      <c r="K306" s="35">
        <v>0.19700000000000001</v>
      </c>
      <c r="L306" s="35">
        <v>0.25</v>
      </c>
      <c r="M306" s="35">
        <v>0.25369999999999998</v>
      </c>
      <c r="N306" s="35">
        <v>0</v>
      </c>
      <c r="O306" s="35">
        <v>50</v>
      </c>
      <c r="P306" s="35">
        <v>50</v>
      </c>
    </row>
    <row r="307" spans="1:16">
      <c r="A307" s="35">
        <v>916</v>
      </c>
      <c r="B307" s="36">
        <v>40584</v>
      </c>
      <c r="C307" s="35">
        <v>1</v>
      </c>
      <c r="D307" s="35">
        <v>0</v>
      </c>
      <c r="E307" s="35">
        <v>2</v>
      </c>
      <c r="F307" s="35">
        <v>16</v>
      </c>
      <c r="G307" s="35" t="b">
        <v>0</v>
      </c>
      <c r="H307" s="35">
        <v>4</v>
      </c>
      <c r="I307" s="35">
        <v>1</v>
      </c>
      <c r="J307" s="35">
        <v>0.2</v>
      </c>
      <c r="K307" s="35">
        <v>0.18179999999999999</v>
      </c>
      <c r="L307" s="35">
        <v>0.27</v>
      </c>
      <c r="M307" s="35">
        <v>0.29849999999999999</v>
      </c>
      <c r="N307" s="35">
        <v>4</v>
      </c>
      <c r="O307" s="35">
        <v>76</v>
      </c>
      <c r="P307" s="35">
        <v>80</v>
      </c>
    </row>
    <row r="308" spans="1:16">
      <c r="A308" s="35">
        <v>917</v>
      </c>
      <c r="B308" s="36">
        <v>40584</v>
      </c>
      <c r="C308" s="35">
        <v>1</v>
      </c>
      <c r="D308" s="35">
        <v>0</v>
      </c>
      <c r="E308" s="35">
        <v>2</v>
      </c>
      <c r="F308" s="35">
        <v>17</v>
      </c>
      <c r="G308" s="35" t="b">
        <v>0</v>
      </c>
      <c r="H308" s="35">
        <v>4</v>
      </c>
      <c r="I308" s="35">
        <v>1</v>
      </c>
      <c r="J308" s="35">
        <v>0.18</v>
      </c>
      <c r="K308" s="35">
        <v>0.18179999999999999</v>
      </c>
      <c r="L308" s="35">
        <v>0.26</v>
      </c>
      <c r="M308" s="35">
        <v>0.19400000000000001</v>
      </c>
      <c r="N308" s="35">
        <v>6</v>
      </c>
      <c r="O308" s="35">
        <v>159</v>
      </c>
      <c r="P308" s="35">
        <v>165</v>
      </c>
    </row>
    <row r="309" spans="1:16">
      <c r="A309" s="35">
        <v>918</v>
      </c>
      <c r="B309" s="36">
        <v>40584</v>
      </c>
      <c r="C309" s="35">
        <v>1</v>
      </c>
      <c r="D309" s="35">
        <v>0</v>
      </c>
      <c r="E309" s="35">
        <v>2</v>
      </c>
      <c r="F309" s="35">
        <v>18</v>
      </c>
      <c r="G309" s="35" t="b">
        <v>0</v>
      </c>
      <c r="H309" s="35">
        <v>4</v>
      </c>
      <c r="I309" s="35">
        <v>1</v>
      </c>
      <c r="J309" s="35">
        <v>0.16</v>
      </c>
      <c r="K309" s="35">
        <v>0.18179999999999999</v>
      </c>
      <c r="L309" s="35">
        <v>0.28000000000000003</v>
      </c>
      <c r="M309" s="35">
        <v>0.1343</v>
      </c>
      <c r="N309" s="35">
        <v>3</v>
      </c>
      <c r="O309" s="35">
        <v>157</v>
      </c>
      <c r="P309" s="35">
        <v>160</v>
      </c>
    </row>
    <row r="310" spans="1:16">
      <c r="A310" s="35">
        <v>919</v>
      </c>
      <c r="B310" s="36">
        <v>40584</v>
      </c>
      <c r="C310" s="35">
        <v>1</v>
      </c>
      <c r="D310" s="35">
        <v>0</v>
      </c>
      <c r="E310" s="35">
        <v>2</v>
      </c>
      <c r="F310" s="35">
        <v>19</v>
      </c>
      <c r="G310" s="35" t="b">
        <v>0</v>
      </c>
      <c r="H310" s="35">
        <v>4</v>
      </c>
      <c r="I310" s="35">
        <v>1</v>
      </c>
      <c r="J310" s="35">
        <v>0.14000000000000001</v>
      </c>
      <c r="K310" s="35">
        <v>0.16669999999999999</v>
      </c>
      <c r="L310" s="35">
        <v>0.28000000000000003</v>
      </c>
      <c r="M310" s="35">
        <v>0.1045</v>
      </c>
      <c r="N310" s="35">
        <v>2</v>
      </c>
      <c r="O310" s="35">
        <v>110</v>
      </c>
      <c r="P310" s="35">
        <v>112</v>
      </c>
    </row>
    <row r="311" spans="1:16">
      <c r="A311" s="35">
        <v>920</v>
      </c>
      <c r="B311" s="36">
        <v>40584</v>
      </c>
      <c r="C311" s="35">
        <v>1</v>
      </c>
      <c r="D311" s="35">
        <v>0</v>
      </c>
      <c r="E311" s="35">
        <v>2</v>
      </c>
      <c r="F311" s="35">
        <v>20</v>
      </c>
      <c r="G311" s="35" t="b">
        <v>0</v>
      </c>
      <c r="H311" s="35">
        <v>4</v>
      </c>
      <c r="I311" s="35">
        <v>1</v>
      </c>
      <c r="J311" s="35">
        <v>0.14000000000000001</v>
      </c>
      <c r="K311" s="35">
        <v>0.18179999999999999</v>
      </c>
      <c r="L311" s="35">
        <v>0.31</v>
      </c>
      <c r="M311" s="35">
        <v>8.9599999999999999E-2</v>
      </c>
      <c r="N311" s="35">
        <v>4</v>
      </c>
      <c r="O311" s="35">
        <v>93</v>
      </c>
      <c r="P311" s="35">
        <v>97</v>
      </c>
    </row>
    <row r="312" spans="1:16">
      <c r="A312" s="35">
        <v>921</v>
      </c>
      <c r="B312" s="36">
        <v>40584</v>
      </c>
      <c r="C312" s="35">
        <v>1</v>
      </c>
      <c r="D312" s="35">
        <v>0</v>
      </c>
      <c r="E312" s="35">
        <v>2</v>
      </c>
      <c r="F312" s="35">
        <v>21</v>
      </c>
      <c r="G312" s="35" t="b">
        <v>0</v>
      </c>
      <c r="H312" s="35">
        <v>4</v>
      </c>
      <c r="I312" s="35">
        <v>1</v>
      </c>
      <c r="J312" s="35">
        <v>0.14000000000000001</v>
      </c>
      <c r="K312" s="35">
        <v>0.21210000000000001</v>
      </c>
      <c r="L312" s="35">
        <v>0.39</v>
      </c>
      <c r="M312" s="35">
        <v>0</v>
      </c>
      <c r="N312" s="35">
        <v>2</v>
      </c>
      <c r="O312" s="35">
        <v>70</v>
      </c>
      <c r="P312" s="35">
        <v>72</v>
      </c>
    </row>
    <row r="313" spans="1:16">
      <c r="A313" s="35">
        <v>922</v>
      </c>
      <c r="B313" s="36">
        <v>40584</v>
      </c>
      <c r="C313" s="35">
        <v>1</v>
      </c>
      <c r="D313" s="35">
        <v>0</v>
      </c>
      <c r="E313" s="35">
        <v>2</v>
      </c>
      <c r="F313" s="35">
        <v>22</v>
      </c>
      <c r="G313" s="35" t="b">
        <v>0</v>
      </c>
      <c r="H313" s="35">
        <v>4</v>
      </c>
      <c r="I313" s="35">
        <v>1</v>
      </c>
      <c r="J313" s="35">
        <v>0.12</v>
      </c>
      <c r="K313" s="35">
        <v>0.19700000000000001</v>
      </c>
      <c r="L313" s="35">
        <v>0.39</v>
      </c>
      <c r="M313" s="35">
        <v>0</v>
      </c>
      <c r="N313" s="35">
        <v>4</v>
      </c>
      <c r="O313" s="35">
        <v>47</v>
      </c>
      <c r="P313" s="35">
        <v>51</v>
      </c>
    </row>
    <row r="314" spans="1:16">
      <c r="A314" s="35">
        <v>923</v>
      </c>
      <c r="B314" s="36">
        <v>40584</v>
      </c>
      <c r="C314" s="35">
        <v>1</v>
      </c>
      <c r="D314" s="35">
        <v>0</v>
      </c>
      <c r="E314" s="35">
        <v>2</v>
      </c>
      <c r="F314" s="35">
        <v>23</v>
      </c>
      <c r="G314" s="35" t="b">
        <v>0</v>
      </c>
      <c r="H314" s="35">
        <v>4</v>
      </c>
      <c r="I314" s="35">
        <v>1</v>
      </c>
      <c r="J314" s="35">
        <v>0.12</v>
      </c>
      <c r="K314" s="35">
        <v>0.1515</v>
      </c>
      <c r="L314" s="35">
        <v>0.42</v>
      </c>
      <c r="M314" s="35">
        <v>0.1045</v>
      </c>
      <c r="N314" s="35">
        <v>1</v>
      </c>
      <c r="O314" s="35">
        <v>33</v>
      </c>
      <c r="P314" s="35">
        <v>34</v>
      </c>
    </row>
    <row r="315" spans="1:16">
      <c r="A315" s="35">
        <v>924</v>
      </c>
      <c r="B315" s="36">
        <v>40585</v>
      </c>
      <c r="C315" s="35">
        <v>1</v>
      </c>
      <c r="D315" s="35">
        <v>0</v>
      </c>
      <c r="E315" s="35">
        <v>2</v>
      </c>
      <c r="F315" s="35">
        <v>0</v>
      </c>
      <c r="G315" s="35" t="b">
        <v>0</v>
      </c>
      <c r="H315" s="35">
        <v>5</v>
      </c>
      <c r="I315" s="35">
        <v>1</v>
      </c>
      <c r="J315" s="35">
        <v>0.1</v>
      </c>
      <c r="K315" s="35">
        <v>0.13639999999999999</v>
      </c>
      <c r="L315" s="35">
        <v>0.49</v>
      </c>
      <c r="M315" s="35">
        <v>0.1045</v>
      </c>
      <c r="N315" s="35">
        <v>2</v>
      </c>
      <c r="O315" s="35">
        <v>12</v>
      </c>
      <c r="P315" s="35">
        <v>14</v>
      </c>
    </row>
    <row r="316" spans="1:16">
      <c r="A316" s="35">
        <v>925</v>
      </c>
      <c r="B316" s="36">
        <v>40585</v>
      </c>
      <c r="C316" s="35">
        <v>1</v>
      </c>
      <c r="D316" s="35">
        <v>0</v>
      </c>
      <c r="E316" s="35">
        <v>2</v>
      </c>
      <c r="F316" s="35">
        <v>1</v>
      </c>
      <c r="G316" s="35" t="b">
        <v>0</v>
      </c>
      <c r="H316" s="35">
        <v>5</v>
      </c>
      <c r="I316" s="35">
        <v>1</v>
      </c>
      <c r="J316" s="35">
        <v>0.1</v>
      </c>
      <c r="K316" s="35">
        <v>0.13639999999999999</v>
      </c>
      <c r="L316" s="35">
        <v>0.54</v>
      </c>
      <c r="M316" s="35">
        <v>8.9599999999999999E-2</v>
      </c>
      <c r="N316" s="35">
        <v>1</v>
      </c>
      <c r="O316" s="35">
        <v>6</v>
      </c>
      <c r="P316" s="35">
        <v>7</v>
      </c>
    </row>
    <row r="317" spans="1:16">
      <c r="A317" s="35">
        <v>926</v>
      </c>
      <c r="B317" s="36">
        <v>40585</v>
      </c>
      <c r="C317" s="35">
        <v>1</v>
      </c>
      <c r="D317" s="35">
        <v>0</v>
      </c>
      <c r="E317" s="35">
        <v>2</v>
      </c>
      <c r="F317" s="35">
        <v>2</v>
      </c>
      <c r="G317" s="35" t="b">
        <v>0</v>
      </c>
      <c r="H317" s="35">
        <v>5</v>
      </c>
      <c r="I317" s="35">
        <v>1</v>
      </c>
      <c r="J317" s="35">
        <v>0.1</v>
      </c>
      <c r="K317" s="35">
        <v>0.13639999999999999</v>
      </c>
      <c r="L317" s="35">
        <v>0.54</v>
      </c>
      <c r="M317" s="35">
        <v>8.9599999999999999E-2</v>
      </c>
      <c r="N317" s="35">
        <v>0</v>
      </c>
      <c r="O317" s="35">
        <v>3</v>
      </c>
      <c r="P317" s="35">
        <v>3</v>
      </c>
    </row>
    <row r="318" spans="1:16">
      <c r="A318" s="35">
        <v>927</v>
      </c>
      <c r="B318" s="36">
        <v>40585</v>
      </c>
      <c r="C318" s="35">
        <v>1</v>
      </c>
      <c r="D318" s="35">
        <v>0</v>
      </c>
      <c r="E318" s="35">
        <v>2</v>
      </c>
      <c r="F318" s="35">
        <v>5</v>
      </c>
      <c r="G318" s="35" t="b">
        <v>0</v>
      </c>
      <c r="H318" s="35">
        <v>5</v>
      </c>
      <c r="I318" s="35">
        <v>1</v>
      </c>
      <c r="J318" s="35">
        <v>0.08</v>
      </c>
      <c r="K318" s="35">
        <v>0.1212</v>
      </c>
      <c r="L318" s="35">
        <v>0.63</v>
      </c>
      <c r="M318" s="35">
        <v>8.9599999999999999E-2</v>
      </c>
      <c r="N318" s="35">
        <v>0</v>
      </c>
      <c r="O318" s="35">
        <v>4</v>
      </c>
      <c r="P318" s="35">
        <v>4</v>
      </c>
    </row>
    <row r="319" spans="1:16">
      <c r="A319" s="35">
        <v>928</v>
      </c>
      <c r="B319" s="36">
        <v>40585</v>
      </c>
      <c r="C319" s="35">
        <v>1</v>
      </c>
      <c r="D319" s="35">
        <v>0</v>
      </c>
      <c r="E319" s="35">
        <v>2</v>
      </c>
      <c r="F319" s="35">
        <v>6</v>
      </c>
      <c r="G319" s="35" t="b">
        <v>0</v>
      </c>
      <c r="H319" s="35">
        <v>5</v>
      </c>
      <c r="I319" s="35">
        <v>1</v>
      </c>
      <c r="J319" s="35">
        <v>0.1</v>
      </c>
      <c r="K319" s="35">
        <v>0.18179999999999999</v>
      </c>
      <c r="L319" s="35">
        <v>0.68</v>
      </c>
      <c r="M319" s="35">
        <v>0</v>
      </c>
      <c r="N319" s="35">
        <v>1</v>
      </c>
      <c r="O319" s="35">
        <v>23</v>
      </c>
      <c r="P319" s="35">
        <v>24</v>
      </c>
    </row>
    <row r="320" spans="1:16">
      <c r="A320" s="35">
        <v>929</v>
      </c>
      <c r="B320" s="36">
        <v>40585</v>
      </c>
      <c r="C320" s="35">
        <v>1</v>
      </c>
      <c r="D320" s="35">
        <v>0</v>
      </c>
      <c r="E320" s="35">
        <v>2</v>
      </c>
      <c r="F320" s="35">
        <v>7</v>
      </c>
      <c r="G320" s="35" t="b">
        <v>0</v>
      </c>
      <c r="H320" s="35">
        <v>5</v>
      </c>
      <c r="I320" s="35">
        <v>1</v>
      </c>
      <c r="J320" s="35">
        <v>0.08</v>
      </c>
      <c r="K320" s="35">
        <v>0.16669999999999999</v>
      </c>
      <c r="L320" s="35">
        <v>0.73</v>
      </c>
      <c r="M320" s="35">
        <v>0</v>
      </c>
      <c r="N320" s="35">
        <v>1</v>
      </c>
      <c r="O320" s="35">
        <v>73</v>
      </c>
      <c r="P320" s="35">
        <v>74</v>
      </c>
    </row>
    <row r="321" spans="1:16">
      <c r="A321" s="35">
        <v>930</v>
      </c>
      <c r="B321" s="36">
        <v>40585</v>
      </c>
      <c r="C321" s="35">
        <v>1</v>
      </c>
      <c r="D321" s="35">
        <v>0</v>
      </c>
      <c r="E321" s="35">
        <v>2</v>
      </c>
      <c r="F321" s="35">
        <v>8</v>
      </c>
      <c r="G321" s="35" t="b">
        <v>0</v>
      </c>
      <c r="H321" s="35">
        <v>5</v>
      </c>
      <c r="I321" s="35">
        <v>1</v>
      </c>
      <c r="J321" s="35">
        <v>0.1</v>
      </c>
      <c r="K321" s="35">
        <v>0.1212</v>
      </c>
      <c r="L321" s="35">
        <v>0.74</v>
      </c>
      <c r="M321" s="35">
        <v>0.16420000000000001</v>
      </c>
      <c r="N321" s="35">
        <v>4</v>
      </c>
      <c r="O321" s="35">
        <v>212</v>
      </c>
      <c r="P321" s="35">
        <v>216</v>
      </c>
    </row>
    <row r="322" spans="1:16">
      <c r="A322" s="35">
        <v>931</v>
      </c>
      <c r="B322" s="36">
        <v>40585</v>
      </c>
      <c r="C322" s="35">
        <v>1</v>
      </c>
      <c r="D322" s="35">
        <v>0</v>
      </c>
      <c r="E322" s="35">
        <v>2</v>
      </c>
      <c r="F322" s="35">
        <v>9</v>
      </c>
      <c r="G322" s="35" t="b">
        <v>0</v>
      </c>
      <c r="H322" s="35">
        <v>5</v>
      </c>
      <c r="I322" s="35">
        <v>1</v>
      </c>
      <c r="J322" s="35">
        <v>0.12</v>
      </c>
      <c r="K322" s="35">
        <v>0.1212</v>
      </c>
      <c r="L322" s="35">
        <v>0.74</v>
      </c>
      <c r="M322" s="35">
        <v>0.22389999999999999</v>
      </c>
      <c r="N322" s="35">
        <v>8</v>
      </c>
      <c r="O322" s="35">
        <v>132</v>
      </c>
      <c r="P322" s="35">
        <v>140</v>
      </c>
    </row>
    <row r="323" spans="1:16">
      <c r="A323" s="35">
        <v>932</v>
      </c>
      <c r="B323" s="36">
        <v>40585</v>
      </c>
      <c r="C323" s="35">
        <v>1</v>
      </c>
      <c r="D323" s="35">
        <v>0</v>
      </c>
      <c r="E323" s="35">
        <v>2</v>
      </c>
      <c r="F323" s="35">
        <v>10</v>
      </c>
      <c r="G323" s="35" t="b">
        <v>0</v>
      </c>
      <c r="H323" s="35">
        <v>5</v>
      </c>
      <c r="I323" s="35">
        <v>1</v>
      </c>
      <c r="J323" s="35">
        <v>0.14000000000000001</v>
      </c>
      <c r="K323" s="35">
        <v>0.13639999999999999</v>
      </c>
      <c r="L323" s="35">
        <v>0.69</v>
      </c>
      <c r="M323" s="35">
        <v>0.19400000000000001</v>
      </c>
      <c r="N323" s="35">
        <v>5</v>
      </c>
      <c r="O323" s="35">
        <v>39</v>
      </c>
      <c r="P323" s="35">
        <v>44</v>
      </c>
    </row>
    <row r="324" spans="1:16">
      <c r="A324" s="35">
        <v>933</v>
      </c>
      <c r="B324" s="36">
        <v>40585</v>
      </c>
      <c r="C324" s="35">
        <v>1</v>
      </c>
      <c r="D324" s="35">
        <v>0</v>
      </c>
      <c r="E324" s="35">
        <v>2</v>
      </c>
      <c r="F324" s="35">
        <v>11</v>
      </c>
      <c r="G324" s="35" t="b">
        <v>0</v>
      </c>
      <c r="H324" s="35">
        <v>5</v>
      </c>
      <c r="I324" s="35">
        <v>1</v>
      </c>
      <c r="J324" s="35">
        <v>0.22</v>
      </c>
      <c r="K324" s="35">
        <v>0.2273</v>
      </c>
      <c r="L324" s="35">
        <v>0.47</v>
      </c>
      <c r="M324" s="35">
        <v>0.1343</v>
      </c>
      <c r="N324" s="35">
        <v>12</v>
      </c>
      <c r="O324" s="35">
        <v>52</v>
      </c>
      <c r="P324" s="35">
        <v>64</v>
      </c>
    </row>
    <row r="325" spans="1:16">
      <c r="A325" s="35">
        <v>934</v>
      </c>
      <c r="B325" s="36">
        <v>40585</v>
      </c>
      <c r="C325" s="35">
        <v>1</v>
      </c>
      <c r="D325" s="35">
        <v>0</v>
      </c>
      <c r="E325" s="35">
        <v>2</v>
      </c>
      <c r="F325" s="35">
        <v>12</v>
      </c>
      <c r="G325" s="35" t="b">
        <v>0</v>
      </c>
      <c r="H325" s="35">
        <v>5</v>
      </c>
      <c r="I325" s="35">
        <v>1</v>
      </c>
      <c r="J325" s="35">
        <v>0.22</v>
      </c>
      <c r="K325" s="35">
        <v>0.2273</v>
      </c>
      <c r="L325" s="35">
        <v>0.47</v>
      </c>
      <c r="M325" s="35">
        <v>0.1343</v>
      </c>
      <c r="N325" s="35">
        <v>7</v>
      </c>
      <c r="O325" s="35">
        <v>64</v>
      </c>
      <c r="P325" s="35">
        <v>71</v>
      </c>
    </row>
    <row r="326" spans="1:16">
      <c r="A326" s="35">
        <v>935</v>
      </c>
      <c r="B326" s="36">
        <v>40585</v>
      </c>
      <c r="C326" s="35">
        <v>1</v>
      </c>
      <c r="D326" s="35">
        <v>0</v>
      </c>
      <c r="E326" s="35">
        <v>2</v>
      </c>
      <c r="F326" s="35">
        <v>13</v>
      </c>
      <c r="G326" s="35" t="b">
        <v>0</v>
      </c>
      <c r="H326" s="35">
        <v>5</v>
      </c>
      <c r="I326" s="35">
        <v>1</v>
      </c>
      <c r="J326" s="35">
        <v>0.24</v>
      </c>
      <c r="K326" s="35">
        <v>0.2273</v>
      </c>
      <c r="L326" s="35">
        <v>0.35</v>
      </c>
      <c r="M326" s="35">
        <v>0.19400000000000001</v>
      </c>
      <c r="N326" s="35">
        <v>21</v>
      </c>
      <c r="O326" s="35">
        <v>89</v>
      </c>
      <c r="P326" s="35">
        <v>110</v>
      </c>
    </row>
    <row r="327" spans="1:16">
      <c r="A327" s="35">
        <v>936</v>
      </c>
      <c r="B327" s="36">
        <v>40585</v>
      </c>
      <c r="C327" s="35">
        <v>1</v>
      </c>
      <c r="D327" s="35">
        <v>0</v>
      </c>
      <c r="E327" s="35">
        <v>2</v>
      </c>
      <c r="F327" s="35">
        <v>14</v>
      </c>
      <c r="G327" s="35" t="b">
        <v>0</v>
      </c>
      <c r="H327" s="35">
        <v>5</v>
      </c>
      <c r="I327" s="35">
        <v>1</v>
      </c>
      <c r="J327" s="35">
        <v>0.3</v>
      </c>
      <c r="K327" s="35">
        <v>0.28789999999999999</v>
      </c>
      <c r="L327" s="35">
        <v>0.26</v>
      </c>
      <c r="M327" s="35">
        <v>0.25369999999999998</v>
      </c>
      <c r="N327" s="35">
        <v>17</v>
      </c>
      <c r="O327" s="35">
        <v>67</v>
      </c>
      <c r="P327" s="35">
        <v>84</v>
      </c>
    </row>
    <row r="328" spans="1:16">
      <c r="A328" s="35">
        <v>937</v>
      </c>
      <c r="B328" s="36">
        <v>40585</v>
      </c>
      <c r="C328" s="35">
        <v>1</v>
      </c>
      <c r="D328" s="35">
        <v>0</v>
      </c>
      <c r="E328" s="35">
        <v>2</v>
      </c>
      <c r="F328" s="35">
        <v>15</v>
      </c>
      <c r="G328" s="35" t="b">
        <v>0</v>
      </c>
      <c r="H328" s="35">
        <v>5</v>
      </c>
      <c r="I328" s="35">
        <v>1</v>
      </c>
      <c r="J328" s="35">
        <v>0.32</v>
      </c>
      <c r="K328" s="35">
        <v>0.31819999999999998</v>
      </c>
      <c r="L328" s="35">
        <v>0.21</v>
      </c>
      <c r="M328" s="35">
        <v>0.16420000000000001</v>
      </c>
      <c r="N328" s="35">
        <v>12</v>
      </c>
      <c r="O328" s="35">
        <v>62</v>
      </c>
      <c r="P328" s="35">
        <v>74</v>
      </c>
    </row>
    <row r="329" spans="1:16">
      <c r="A329" s="35">
        <v>938</v>
      </c>
      <c r="B329" s="36">
        <v>40585</v>
      </c>
      <c r="C329" s="35">
        <v>1</v>
      </c>
      <c r="D329" s="35">
        <v>0</v>
      </c>
      <c r="E329" s="35">
        <v>2</v>
      </c>
      <c r="F329" s="35">
        <v>16</v>
      </c>
      <c r="G329" s="35" t="b">
        <v>0</v>
      </c>
      <c r="H329" s="35">
        <v>5</v>
      </c>
      <c r="I329" s="35">
        <v>1</v>
      </c>
      <c r="J329" s="35">
        <v>0.3</v>
      </c>
      <c r="K329" s="35">
        <v>0.28789999999999999</v>
      </c>
      <c r="L329" s="35">
        <v>0.28000000000000003</v>
      </c>
      <c r="M329" s="35">
        <v>0.19400000000000001</v>
      </c>
      <c r="N329" s="35">
        <v>14</v>
      </c>
      <c r="O329" s="35">
        <v>111</v>
      </c>
      <c r="P329" s="35">
        <v>125</v>
      </c>
    </row>
    <row r="330" spans="1:16">
      <c r="A330" s="35">
        <v>939</v>
      </c>
      <c r="B330" s="36">
        <v>40585</v>
      </c>
      <c r="C330" s="35">
        <v>1</v>
      </c>
      <c r="D330" s="35">
        <v>0</v>
      </c>
      <c r="E330" s="35">
        <v>2</v>
      </c>
      <c r="F330" s="35">
        <v>17</v>
      </c>
      <c r="G330" s="35" t="b">
        <v>0</v>
      </c>
      <c r="H330" s="35">
        <v>5</v>
      </c>
      <c r="I330" s="35">
        <v>1</v>
      </c>
      <c r="J330" s="35">
        <v>0.3</v>
      </c>
      <c r="K330" s="35">
        <v>0.33329999999999999</v>
      </c>
      <c r="L330" s="35">
        <v>0.24</v>
      </c>
      <c r="M330" s="35">
        <v>0</v>
      </c>
      <c r="N330" s="35">
        <v>18</v>
      </c>
      <c r="O330" s="35">
        <v>193</v>
      </c>
      <c r="P330" s="35">
        <v>211</v>
      </c>
    </row>
    <row r="331" spans="1:16">
      <c r="A331" s="35">
        <v>940</v>
      </c>
      <c r="B331" s="36">
        <v>40585</v>
      </c>
      <c r="C331" s="35">
        <v>1</v>
      </c>
      <c r="D331" s="35">
        <v>0</v>
      </c>
      <c r="E331" s="35">
        <v>2</v>
      </c>
      <c r="F331" s="35">
        <v>18</v>
      </c>
      <c r="G331" s="35" t="b">
        <v>0</v>
      </c>
      <c r="H331" s="35">
        <v>5</v>
      </c>
      <c r="I331" s="35">
        <v>1</v>
      </c>
      <c r="J331" s="35">
        <v>0.28000000000000003</v>
      </c>
      <c r="K331" s="35">
        <v>0.31819999999999998</v>
      </c>
      <c r="L331" s="35">
        <v>0.28000000000000003</v>
      </c>
      <c r="M331" s="35">
        <v>0</v>
      </c>
      <c r="N331" s="35">
        <v>9</v>
      </c>
      <c r="O331" s="35">
        <v>165</v>
      </c>
      <c r="P331" s="35">
        <v>174</v>
      </c>
    </row>
    <row r="332" spans="1:16">
      <c r="A332" s="35">
        <v>941</v>
      </c>
      <c r="B332" s="36">
        <v>40585</v>
      </c>
      <c r="C332" s="35">
        <v>1</v>
      </c>
      <c r="D332" s="35">
        <v>0</v>
      </c>
      <c r="E332" s="35">
        <v>2</v>
      </c>
      <c r="F332" s="35">
        <v>19</v>
      </c>
      <c r="G332" s="35" t="b">
        <v>0</v>
      </c>
      <c r="H332" s="35">
        <v>5</v>
      </c>
      <c r="I332" s="35">
        <v>1</v>
      </c>
      <c r="J332" s="35">
        <v>0.26</v>
      </c>
      <c r="K332" s="35">
        <v>0.30299999999999999</v>
      </c>
      <c r="L332" s="35">
        <v>0.33</v>
      </c>
      <c r="M332" s="35">
        <v>0</v>
      </c>
      <c r="N332" s="35">
        <v>7</v>
      </c>
      <c r="O332" s="35">
        <v>94</v>
      </c>
      <c r="P332" s="35">
        <v>101</v>
      </c>
    </row>
    <row r="333" spans="1:16">
      <c r="A333" s="35">
        <v>942</v>
      </c>
      <c r="B333" s="36">
        <v>40585</v>
      </c>
      <c r="C333" s="35">
        <v>1</v>
      </c>
      <c r="D333" s="35">
        <v>0</v>
      </c>
      <c r="E333" s="35">
        <v>2</v>
      </c>
      <c r="F333" s="35">
        <v>20</v>
      </c>
      <c r="G333" s="35" t="b">
        <v>0</v>
      </c>
      <c r="H333" s="35">
        <v>5</v>
      </c>
      <c r="I333" s="35">
        <v>1</v>
      </c>
      <c r="J333" s="35">
        <v>0.22</v>
      </c>
      <c r="K333" s="35">
        <v>0.2273</v>
      </c>
      <c r="L333" s="35">
        <v>0.55000000000000004</v>
      </c>
      <c r="M333" s="35">
        <v>0.1343</v>
      </c>
      <c r="N333" s="35">
        <v>2</v>
      </c>
      <c r="O333" s="35">
        <v>61</v>
      </c>
      <c r="P333" s="35">
        <v>63</v>
      </c>
    </row>
    <row r="334" spans="1:16">
      <c r="A334" s="35">
        <v>943</v>
      </c>
      <c r="B334" s="36">
        <v>40585</v>
      </c>
      <c r="C334" s="35">
        <v>1</v>
      </c>
      <c r="D334" s="35">
        <v>0</v>
      </c>
      <c r="E334" s="35">
        <v>2</v>
      </c>
      <c r="F334" s="35">
        <v>21</v>
      </c>
      <c r="G334" s="35" t="b">
        <v>0</v>
      </c>
      <c r="H334" s="35">
        <v>5</v>
      </c>
      <c r="I334" s="35">
        <v>1</v>
      </c>
      <c r="J334" s="35">
        <v>0.2</v>
      </c>
      <c r="K334" s="35">
        <v>0.21210000000000001</v>
      </c>
      <c r="L334" s="35">
        <v>0.59</v>
      </c>
      <c r="M334" s="35">
        <v>0.1343</v>
      </c>
      <c r="N334" s="35">
        <v>1</v>
      </c>
      <c r="O334" s="35">
        <v>46</v>
      </c>
      <c r="P334" s="35">
        <v>47</v>
      </c>
    </row>
    <row r="335" spans="1:16">
      <c r="A335" s="35">
        <v>944</v>
      </c>
      <c r="B335" s="36">
        <v>40585</v>
      </c>
      <c r="C335" s="35">
        <v>1</v>
      </c>
      <c r="D335" s="35">
        <v>0</v>
      </c>
      <c r="E335" s="35">
        <v>2</v>
      </c>
      <c r="F335" s="35">
        <v>22</v>
      </c>
      <c r="G335" s="35" t="b">
        <v>0</v>
      </c>
      <c r="H335" s="35">
        <v>5</v>
      </c>
      <c r="I335" s="35">
        <v>1</v>
      </c>
      <c r="J335" s="35">
        <v>0.2</v>
      </c>
      <c r="K335" s="35">
        <v>0.2273</v>
      </c>
      <c r="L335" s="35">
        <v>0.64</v>
      </c>
      <c r="M335" s="35">
        <v>8.9599999999999999E-2</v>
      </c>
      <c r="N335" s="35">
        <v>2</v>
      </c>
      <c r="O335" s="35">
        <v>41</v>
      </c>
      <c r="P335" s="35">
        <v>43</v>
      </c>
    </row>
    <row r="336" spans="1:16">
      <c r="A336" s="35">
        <v>945</v>
      </c>
      <c r="B336" s="36">
        <v>40585</v>
      </c>
      <c r="C336" s="35">
        <v>1</v>
      </c>
      <c r="D336" s="35">
        <v>0</v>
      </c>
      <c r="E336" s="35">
        <v>2</v>
      </c>
      <c r="F336" s="35">
        <v>23</v>
      </c>
      <c r="G336" s="35" t="b">
        <v>0</v>
      </c>
      <c r="H336" s="35">
        <v>5</v>
      </c>
      <c r="I336" s="35">
        <v>1</v>
      </c>
      <c r="J336" s="35">
        <v>0.18</v>
      </c>
      <c r="K336" s="35">
        <v>0.2424</v>
      </c>
      <c r="L336" s="35">
        <v>0.69</v>
      </c>
      <c r="M336" s="35">
        <v>0</v>
      </c>
      <c r="N336" s="35">
        <v>5</v>
      </c>
      <c r="O336" s="35">
        <v>48</v>
      </c>
      <c r="P336" s="35">
        <v>53</v>
      </c>
    </row>
    <row r="337" spans="1:16">
      <c r="A337" s="35">
        <v>946</v>
      </c>
      <c r="B337" s="36">
        <v>40586</v>
      </c>
      <c r="C337" s="35">
        <v>1</v>
      </c>
      <c r="D337" s="35">
        <v>0</v>
      </c>
      <c r="E337" s="35">
        <v>2</v>
      </c>
      <c r="F337" s="35">
        <v>0</v>
      </c>
      <c r="G337" s="35" t="b">
        <v>0</v>
      </c>
      <c r="H337" s="35">
        <v>6</v>
      </c>
      <c r="I337" s="35">
        <v>1</v>
      </c>
      <c r="J337" s="35">
        <v>0.16</v>
      </c>
      <c r="K337" s="35">
        <v>0.19700000000000001</v>
      </c>
      <c r="L337" s="35">
        <v>0.69</v>
      </c>
      <c r="M337" s="35">
        <v>8.9599999999999999E-2</v>
      </c>
      <c r="N337" s="35">
        <v>3</v>
      </c>
      <c r="O337" s="35">
        <v>27</v>
      </c>
      <c r="P337" s="35">
        <v>30</v>
      </c>
    </row>
    <row r="338" spans="1:16">
      <c r="A338" s="35">
        <v>947</v>
      </c>
      <c r="B338" s="36">
        <v>40586</v>
      </c>
      <c r="C338" s="35">
        <v>1</v>
      </c>
      <c r="D338" s="35">
        <v>0</v>
      </c>
      <c r="E338" s="35">
        <v>2</v>
      </c>
      <c r="F338" s="35">
        <v>1</v>
      </c>
      <c r="G338" s="35" t="b">
        <v>0</v>
      </c>
      <c r="H338" s="35">
        <v>6</v>
      </c>
      <c r="I338" s="35">
        <v>1</v>
      </c>
      <c r="J338" s="35">
        <v>0.14000000000000001</v>
      </c>
      <c r="K338" s="35">
        <v>0.21210000000000001</v>
      </c>
      <c r="L338" s="35">
        <v>0.86</v>
      </c>
      <c r="M338" s="35">
        <v>0</v>
      </c>
      <c r="N338" s="35">
        <v>2</v>
      </c>
      <c r="O338" s="35">
        <v>22</v>
      </c>
      <c r="P338" s="35">
        <v>24</v>
      </c>
    </row>
    <row r="339" spans="1:16">
      <c r="A339" s="35">
        <v>948</v>
      </c>
      <c r="B339" s="36">
        <v>40586</v>
      </c>
      <c r="C339" s="35">
        <v>1</v>
      </c>
      <c r="D339" s="35">
        <v>0</v>
      </c>
      <c r="E339" s="35">
        <v>2</v>
      </c>
      <c r="F339" s="35">
        <v>2</v>
      </c>
      <c r="G339" s="35" t="b">
        <v>0</v>
      </c>
      <c r="H339" s="35">
        <v>6</v>
      </c>
      <c r="I339" s="35">
        <v>1</v>
      </c>
      <c r="J339" s="35">
        <v>0.14000000000000001</v>
      </c>
      <c r="K339" s="35">
        <v>0.21210000000000001</v>
      </c>
      <c r="L339" s="35">
        <v>0.8</v>
      </c>
      <c r="M339" s="35">
        <v>0</v>
      </c>
      <c r="N339" s="35">
        <v>2</v>
      </c>
      <c r="O339" s="35">
        <v>13</v>
      </c>
      <c r="P339" s="35">
        <v>15</v>
      </c>
    </row>
    <row r="340" spans="1:16">
      <c r="A340" s="35">
        <v>949</v>
      </c>
      <c r="B340" s="36">
        <v>40586</v>
      </c>
      <c r="C340" s="35">
        <v>1</v>
      </c>
      <c r="D340" s="35">
        <v>0</v>
      </c>
      <c r="E340" s="35">
        <v>2</v>
      </c>
      <c r="F340" s="35">
        <v>3</v>
      </c>
      <c r="G340" s="35" t="b">
        <v>0</v>
      </c>
      <c r="H340" s="35">
        <v>6</v>
      </c>
      <c r="I340" s="35">
        <v>1</v>
      </c>
      <c r="J340" s="35">
        <v>0.12</v>
      </c>
      <c r="K340" s="35">
        <v>0.19700000000000001</v>
      </c>
      <c r="L340" s="35">
        <v>0.8</v>
      </c>
      <c r="M340" s="35">
        <v>0</v>
      </c>
      <c r="N340" s="35">
        <v>3</v>
      </c>
      <c r="O340" s="35">
        <v>7</v>
      </c>
      <c r="P340" s="35">
        <v>10</v>
      </c>
    </row>
    <row r="341" spans="1:16">
      <c r="A341" s="35">
        <v>950</v>
      </c>
      <c r="B341" s="36">
        <v>40586</v>
      </c>
      <c r="C341" s="35">
        <v>1</v>
      </c>
      <c r="D341" s="35">
        <v>0</v>
      </c>
      <c r="E341" s="35">
        <v>2</v>
      </c>
      <c r="F341" s="35">
        <v>4</v>
      </c>
      <c r="G341" s="35" t="b">
        <v>0</v>
      </c>
      <c r="H341" s="35">
        <v>6</v>
      </c>
      <c r="I341" s="35">
        <v>1</v>
      </c>
      <c r="J341" s="35">
        <v>0.12</v>
      </c>
      <c r="K341" s="35">
        <v>0.16669999999999999</v>
      </c>
      <c r="L341" s="35">
        <v>0.74</v>
      </c>
      <c r="M341" s="35">
        <v>8.9599999999999999E-2</v>
      </c>
      <c r="N341" s="35">
        <v>0</v>
      </c>
      <c r="O341" s="35">
        <v>4</v>
      </c>
      <c r="P341" s="35">
        <v>4</v>
      </c>
    </row>
    <row r="342" spans="1:16">
      <c r="A342" s="35">
        <v>951</v>
      </c>
      <c r="B342" s="36">
        <v>40586</v>
      </c>
      <c r="C342" s="35">
        <v>1</v>
      </c>
      <c r="D342" s="35">
        <v>0</v>
      </c>
      <c r="E342" s="35">
        <v>2</v>
      </c>
      <c r="F342" s="35">
        <v>5</v>
      </c>
      <c r="G342" s="35" t="b">
        <v>0</v>
      </c>
      <c r="H342" s="35">
        <v>6</v>
      </c>
      <c r="I342" s="35">
        <v>1</v>
      </c>
      <c r="J342" s="35">
        <v>0.12</v>
      </c>
      <c r="K342" s="35">
        <v>0.16669999999999999</v>
      </c>
      <c r="L342" s="35">
        <v>0.74</v>
      </c>
      <c r="M342" s="35">
        <v>8.9599999999999999E-2</v>
      </c>
      <c r="N342" s="35">
        <v>0</v>
      </c>
      <c r="O342" s="35">
        <v>1</v>
      </c>
      <c r="P342" s="35">
        <v>1</v>
      </c>
    </row>
    <row r="343" spans="1:16">
      <c r="A343" s="35">
        <v>952</v>
      </c>
      <c r="B343" s="36">
        <v>40586</v>
      </c>
      <c r="C343" s="35">
        <v>1</v>
      </c>
      <c r="D343" s="35">
        <v>0</v>
      </c>
      <c r="E343" s="35">
        <v>2</v>
      </c>
      <c r="F343" s="35">
        <v>6</v>
      </c>
      <c r="G343" s="35" t="b">
        <v>0</v>
      </c>
      <c r="H343" s="35">
        <v>6</v>
      </c>
      <c r="I343" s="35">
        <v>1</v>
      </c>
      <c r="J343" s="35">
        <v>0.12</v>
      </c>
      <c r="K343" s="35">
        <v>0.13639999999999999</v>
      </c>
      <c r="L343" s="35">
        <v>0.93</v>
      </c>
      <c r="M343" s="35">
        <v>0.19400000000000001</v>
      </c>
      <c r="N343" s="35">
        <v>1</v>
      </c>
      <c r="O343" s="35">
        <v>1</v>
      </c>
      <c r="P343" s="35">
        <v>2</v>
      </c>
    </row>
    <row r="344" spans="1:16">
      <c r="A344" s="35">
        <v>953</v>
      </c>
      <c r="B344" s="36">
        <v>40586</v>
      </c>
      <c r="C344" s="35">
        <v>1</v>
      </c>
      <c r="D344" s="35">
        <v>0</v>
      </c>
      <c r="E344" s="35">
        <v>2</v>
      </c>
      <c r="F344" s="35">
        <v>7</v>
      </c>
      <c r="G344" s="35" t="b">
        <v>0</v>
      </c>
      <c r="H344" s="35">
        <v>6</v>
      </c>
      <c r="I344" s="35">
        <v>1</v>
      </c>
      <c r="J344" s="35">
        <v>0.12</v>
      </c>
      <c r="K344" s="35">
        <v>0.1515</v>
      </c>
      <c r="L344" s="35">
        <v>0.8</v>
      </c>
      <c r="M344" s="35">
        <v>0.1045</v>
      </c>
      <c r="N344" s="35">
        <v>2</v>
      </c>
      <c r="O344" s="35">
        <v>9</v>
      </c>
      <c r="P344" s="35">
        <v>11</v>
      </c>
    </row>
    <row r="345" spans="1:16">
      <c r="A345" s="35">
        <v>954</v>
      </c>
      <c r="B345" s="36">
        <v>40586</v>
      </c>
      <c r="C345" s="35">
        <v>1</v>
      </c>
      <c r="D345" s="35">
        <v>0</v>
      </c>
      <c r="E345" s="35">
        <v>2</v>
      </c>
      <c r="F345" s="35">
        <v>8</v>
      </c>
      <c r="G345" s="35" t="b">
        <v>0</v>
      </c>
      <c r="H345" s="35">
        <v>6</v>
      </c>
      <c r="I345" s="35">
        <v>1</v>
      </c>
      <c r="J345" s="35">
        <v>0.14000000000000001</v>
      </c>
      <c r="K345" s="35">
        <v>0.1515</v>
      </c>
      <c r="L345" s="35">
        <v>0.86</v>
      </c>
      <c r="M345" s="35">
        <v>0.1343</v>
      </c>
      <c r="N345" s="35">
        <v>2</v>
      </c>
      <c r="O345" s="35">
        <v>28</v>
      </c>
      <c r="P345" s="35">
        <v>30</v>
      </c>
    </row>
    <row r="346" spans="1:16">
      <c r="A346" s="35">
        <v>955</v>
      </c>
      <c r="B346" s="36">
        <v>40586</v>
      </c>
      <c r="C346" s="35">
        <v>1</v>
      </c>
      <c r="D346" s="35">
        <v>0</v>
      </c>
      <c r="E346" s="35">
        <v>2</v>
      </c>
      <c r="F346" s="35">
        <v>9</v>
      </c>
      <c r="G346" s="35" t="b">
        <v>0</v>
      </c>
      <c r="H346" s="35">
        <v>6</v>
      </c>
      <c r="I346" s="35">
        <v>1</v>
      </c>
      <c r="J346" s="35">
        <v>0.16</v>
      </c>
      <c r="K346" s="35">
        <v>0.18179999999999999</v>
      </c>
      <c r="L346" s="35">
        <v>0.64</v>
      </c>
      <c r="M346" s="35">
        <v>0.1343</v>
      </c>
      <c r="N346" s="35">
        <v>5</v>
      </c>
      <c r="O346" s="35">
        <v>38</v>
      </c>
      <c r="P346" s="35">
        <v>43</v>
      </c>
    </row>
    <row r="347" spans="1:16">
      <c r="A347" s="35">
        <v>956</v>
      </c>
      <c r="B347" s="36">
        <v>40586</v>
      </c>
      <c r="C347" s="35">
        <v>1</v>
      </c>
      <c r="D347" s="35">
        <v>0</v>
      </c>
      <c r="E347" s="35">
        <v>2</v>
      </c>
      <c r="F347" s="35">
        <v>10</v>
      </c>
      <c r="G347" s="35" t="b">
        <v>0</v>
      </c>
      <c r="H347" s="35">
        <v>6</v>
      </c>
      <c r="I347" s="35">
        <v>1</v>
      </c>
      <c r="J347" s="35">
        <v>0.22</v>
      </c>
      <c r="K347" s="35">
        <v>0.21210000000000001</v>
      </c>
      <c r="L347" s="35">
        <v>0.41</v>
      </c>
      <c r="M347" s="35">
        <v>0.25369999999999998</v>
      </c>
      <c r="N347" s="35">
        <v>13</v>
      </c>
      <c r="O347" s="35">
        <v>71</v>
      </c>
      <c r="P347" s="35">
        <v>84</v>
      </c>
    </row>
    <row r="348" spans="1:16">
      <c r="A348" s="35">
        <v>957</v>
      </c>
      <c r="B348" s="36">
        <v>40586</v>
      </c>
      <c r="C348" s="35">
        <v>1</v>
      </c>
      <c r="D348" s="35">
        <v>0</v>
      </c>
      <c r="E348" s="35">
        <v>2</v>
      </c>
      <c r="F348" s="35">
        <v>11</v>
      </c>
      <c r="G348" s="35" t="b">
        <v>0</v>
      </c>
      <c r="H348" s="35">
        <v>6</v>
      </c>
      <c r="I348" s="35">
        <v>1</v>
      </c>
      <c r="J348" s="35">
        <v>0.3</v>
      </c>
      <c r="K348" s="35">
        <v>0.2727</v>
      </c>
      <c r="L348" s="35">
        <v>0.28000000000000003</v>
      </c>
      <c r="M348" s="35">
        <v>0.32840000000000003</v>
      </c>
      <c r="N348" s="35">
        <v>30</v>
      </c>
      <c r="O348" s="35">
        <v>84</v>
      </c>
      <c r="P348" s="35">
        <v>114</v>
      </c>
    </row>
    <row r="349" spans="1:16">
      <c r="A349" s="35">
        <v>958</v>
      </c>
      <c r="B349" s="36">
        <v>40586</v>
      </c>
      <c r="C349" s="35">
        <v>1</v>
      </c>
      <c r="D349" s="35">
        <v>0</v>
      </c>
      <c r="E349" s="35">
        <v>2</v>
      </c>
      <c r="F349" s="35">
        <v>12</v>
      </c>
      <c r="G349" s="35" t="b">
        <v>0</v>
      </c>
      <c r="H349" s="35">
        <v>6</v>
      </c>
      <c r="I349" s="35">
        <v>1</v>
      </c>
      <c r="J349" s="35">
        <v>0.3</v>
      </c>
      <c r="K349" s="35">
        <v>0.2727</v>
      </c>
      <c r="L349" s="35">
        <v>0.39</v>
      </c>
      <c r="M349" s="35">
        <v>0.4627</v>
      </c>
      <c r="N349" s="35">
        <v>27</v>
      </c>
      <c r="O349" s="35">
        <v>93</v>
      </c>
      <c r="P349" s="35">
        <v>120</v>
      </c>
    </row>
    <row r="350" spans="1:16">
      <c r="A350" s="35">
        <v>959</v>
      </c>
      <c r="B350" s="36">
        <v>40586</v>
      </c>
      <c r="C350" s="35">
        <v>1</v>
      </c>
      <c r="D350" s="35">
        <v>0</v>
      </c>
      <c r="E350" s="35">
        <v>2</v>
      </c>
      <c r="F350" s="35">
        <v>13</v>
      </c>
      <c r="G350" s="35" t="b">
        <v>0</v>
      </c>
      <c r="H350" s="35">
        <v>6</v>
      </c>
      <c r="I350" s="35">
        <v>1</v>
      </c>
      <c r="J350" s="35">
        <v>0.3</v>
      </c>
      <c r="K350" s="35">
        <v>0.2727</v>
      </c>
      <c r="L350" s="35">
        <v>0.39</v>
      </c>
      <c r="M350" s="35">
        <v>0.41789999999999999</v>
      </c>
      <c r="N350" s="35">
        <v>32</v>
      </c>
      <c r="O350" s="35">
        <v>103</v>
      </c>
      <c r="P350" s="35">
        <v>135</v>
      </c>
    </row>
    <row r="351" spans="1:16">
      <c r="A351" s="35">
        <v>960</v>
      </c>
      <c r="B351" s="36">
        <v>40586</v>
      </c>
      <c r="C351" s="35">
        <v>1</v>
      </c>
      <c r="D351" s="35">
        <v>0</v>
      </c>
      <c r="E351" s="35">
        <v>2</v>
      </c>
      <c r="F351" s="35">
        <v>14</v>
      </c>
      <c r="G351" s="35" t="b">
        <v>0</v>
      </c>
      <c r="H351" s="35">
        <v>6</v>
      </c>
      <c r="I351" s="35">
        <v>1</v>
      </c>
      <c r="J351" s="35">
        <v>0.34</v>
      </c>
      <c r="K351" s="35">
        <v>0.31819999999999998</v>
      </c>
      <c r="L351" s="35">
        <v>0.31</v>
      </c>
      <c r="M351" s="35">
        <v>0.28360000000000002</v>
      </c>
      <c r="N351" s="35">
        <v>30</v>
      </c>
      <c r="O351" s="35">
        <v>90</v>
      </c>
      <c r="P351" s="35">
        <v>120</v>
      </c>
    </row>
    <row r="352" spans="1:16">
      <c r="A352" s="35">
        <v>961</v>
      </c>
      <c r="B352" s="36">
        <v>40586</v>
      </c>
      <c r="C352" s="35">
        <v>1</v>
      </c>
      <c r="D352" s="35">
        <v>0</v>
      </c>
      <c r="E352" s="35">
        <v>2</v>
      </c>
      <c r="F352" s="35">
        <v>15</v>
      </c>
      <c r="G352" s="35" t="b">
        <v>0</v>
      </c>
      <c r="H352" s="35">
        <v>6</v>
      </c>
      <c r="I352" s="35">
        <v>1</v>
      </c>
      <c r="J352" s="35">
        <v>0.34</v>
      </c>
      <c r="K352" s="35">
        <v>0.30299999999999999</v>
      </c>
      <c r="L352" s="35">
        <v>0.28999999999999998</v>
      </c>
      <c r="M352" s="35">
        <v>0.41789999999999999</v>
      </c>
      <c r="N352" s="35">
        <v>47</v>
      </c>
      <c r="O352" s="35">
        <v>127</v>
      </c>
      <c r="P352" s="35">
        <v>174</v>
      </c>
    </row>
    <row r="353" spans="1:16">
      <c r="A353" s="35">
        <v>962</v>
      </c>
      <c r="B353" s="36">
        <v>40586</v>
      </c>
      <c r="C353" s="35">
        <v>1</v>
      </c>
      <c r="D353" s="35">
        <v>0</v>
      </c>
      <c r="E353" s="35">
        <v>2</v>
      </c>
      <c r="F353" s="35">
        <v>16</v>
      </c>
      <c r="G353" s="35" t="b">
        <v>0</v>
      </c>
      <c r="H353" s="35">
        <v>6</v>
      </c>
      <c r="I353" s="35">
        <v>1</v>
      </c>
      <c r="J353" s="35">
        <v>0.34</v>
      </c>
      <c r="K353" s="35">
        <v>0.30299999999999999</v>
      </c>
      <c r="L353" s="35">
        <v>0.28999999999999998</v>
      </c>
      <c r="M353" s="35">
        <v>0.41789999999999999</v>
      </c>
      <c r="N353" s="35">
        <v>42</v>
      </c>
      <c r="O353" s="35">
        <v>103</v>
      </c>
      <c r="P353" s="35">
        <v>145</v>
      </c>
    </row>
    <row r="354" spans="1:16">
      <c r="A354" s="35">
        <v>963</v>
      </c>
      <c r="B354" s="36">
        <v>40586</v>
      </c>
      <c r="C354" s="35">
        <v>1</v>
      </c>
      <c r="D354" s="35">
        <v>0</v>
      </c>
      <c r="E354" s="35">
        <v>2</v>
      </c>
      <c r="F354" s="35">
        <v>17</v>
      </c>
      <c r="G354" s="35" t="b">
        <v>0</v>
      </c>
      <c r="H354" s="35">
        <v>6</v>
      </c>
      <c r="I354" s="35">
        <v>1</v>
      </c>
      <c r="J354" s="35">
        <v>0.32</v>
      </c>
      <c r="K354" s="35">
        <v>0.28789999999999999</v>
      </c>
      <c r="L354" s="35">
        <v>0.31</v>
      </c>
      <c r="M354" s="35">
        <v>0.52239999999999998</v>
      </c>
      <c r="N354" s="35">
        <v>24</v>
      </c>
      <c r="O354" s="35">
        <v>113</v>
      </c>
      <c r="P354" s="35">
        <v>137</v>
      </c>
    </row>
    <row r="355" spans="1:16">
      <c r="A355" s="35">
        <v>964</v>
      </c>
      <c r="B355" s="36">
        <v>40586</v>
      </c>
      <c r="C355" s="35">
        <v>1</v>
      </c>
      <c r="D355" s="35">
        <v>0</v>
      </c>
      <c r="E355" s="35">
        <v>2</v>
      </c>
      <c r="F355" s="35">
        <v>18</v>
      </c>
      <c r="G355" s="35" t="b">
        <v>0</v>
      </c>
      <c r="H355" s="35">
        <v>6</v>
      </c>
      <c r="I355" s="35">
        <v>1</v>
      </c>
      <c r="J355" s="35">
        <v>0.28000000000000003</v>
      </c>
      <c r="K355" s="35">
        <v>0.2576</v>
      </c>
      <c r="L355" s="35">
        <v>0.38</v>
      </c>
      <c r="M355" s="35">
        <v>0.32840000000000003</v>
      </c>
      <c r="N355" s="35">
        <v>4</v>
      </c>
      <c r="O355" s="35">
        <v>60</v>
      </c>
      <c r="P355" s="35">
        <v>64</v>
      </c>
    </row>
    <row r="356" spans="1:16">
      <c r="A356" s="35">
        <v>965</v>
      </c>
      <c r="B356" s="36">
        <v>40586</v>
      </c>
      <c r="C356" s="35">
        <v>1</v>
      </c>
      <c r="D356" s="35">
        <v>0</v>
      </c>
      <c r="E356" s="35">
        <v>2</v>
      </c>
      <c r="F356" s="35">
        <v>19</v>
      </c>
      <c r="G356" s="35" t="b">
        <v>0</v>
      </c>
      <c r="H356" s="35">
        <v>6</v>
      </c>
      <c r="I356" s="35">
        <v>1</v>
      </c>
      <c r="J356" s="35">
        <v>0.28000000000000003</v>
      </c>
      <c r="K356" s="35">
        <v>0.2727</v>
      </c>
      <c r="L356" s="35">
        <v>0.38</v>
      </c>
      <c r="M356" s="35">
        <v>0.16420000000000001</v>
      </c>
      <c r="N356" s="35">
        <v>2</v>
      </c>
      <c r="O356" s="35">
        <v>39</v>
      </c>
      <c r="P356" s="35">
        <v>41</v>
      </c>
    </row>
    <row r="357" spans="1:16">
      <c r="A357" s="35">
        <v>966</v>
      </c>
      <c r="B357" s="36">
        <v>40586</v>
      </c>
      <c r="C357" s="35">
        <v>1</v>
      </c>
      <c r="D357" s="35">
        <v>0</v>
      </c>
      <c r="E357" s="35">
        <v>2</v>
      </c>
      <c r="F357" s="35">
        <v>20</v>
      </c>
      <c r="G357" s="35" t="b">
        <v>0</v>
      </c>
      <c r="H357" s="35">
        <v>6</v>
      </c>
      <c r="I357" s="35">
        <v>1</v>
      </c>
      <c r="J357" s="35">
        <v>0.26</v>
      </c>
      <c r="K357" s="35">
        <v>0.2576</v>
      </c>
      <c r="L357" s="35">
        <v>0.41</v>
      </c>
      <c r="M357" s="35">
        <v>0.22389999999999999</v>
      </c>
      <c r="N357" s="35">
        <v>1</v>
      </c>
      <c r="O357" s="35">
        <v>39</v>
      </c>
      <c r="P357" s="35">
        <v>40</v>
      </c>
    </row>
    <row r="358" spans="1:16">
      <c r="A358" s="35">
        <v>967</v>
      </c>
      <c r="B358" s="36">
        <v>40586</v>
      </c>
      <c r="C358" s="35">
        <v>1</v>
      </c>
      <c r="D358" s="35">
        <v>0</v>
      </c>
      <c r="E358" s="35">
        <v>2</v>
      </c>
      <c r="F358" s="35">
        <v>21</v>
      </c>
      <c r="G358" s="35" t="b">
        <v>0</v>
      </c>
      <c r="H358" s="35">
        <v>6</v>
      </c>
      <c r="I358" s="35">
        <v>1</v>
      </c>
      <c r="J358" s="35">
        <v>0.26</v>
      </c>
      <c r="K358" s="35">
        <v>0.30299999999999999</v>
      </c>
      <c r="L358" s="35">
        <v>0.41</v>
      </c>
      <c r="M358" s="35">
        <v>0</v>
      </c>
      <c r="N358" s="35">
        <v>9</v>
      </c>
      <c r="O358" s="35">
        <v>42</v>
      </c>
      <c r="P358" s="35">
        <v>51</v>
      </c>
    </row>
    <row r="359" spans="1:16">
      <c r="A359" s="35">
        <v>968</v>
      </c>
      <c r="B359" s="36">
        <v>40586</v>
      </c>
      <c r="C359" s="35">
        <v>1</v>
      </c>
      <c r="D359" s="35">
        <v>0</v>
      </c>
      <c r="E359" s="35">
        <v>2</v>
      </c>
      <c r="F359" s="35">
        <v>22</v>
      </c>
      <c r="G359" s="35" t="b">
        <v>0</v>
      </c>
      <c r="H359" s="35">
        <v>6</v>
      </c>
      <c r="I359" s="35">
        <v>1</v>
      </c>
      <c r="J359" s="35">
        <v>0.24</v>
      </c>
      <c r="K359" s="35">
        <v>0.2576</v>
      </c>
      <c r="L359" s="35">
        <v>0.44</v>
      </c>
      <c r="M359" s="35">
        <v>8.9599999999999999E-2</v>
      </c>
      <c r="N359" s="35">
        <v>6</v>
      </c>
      <c r="O359" s="35">
        <v>39</v>
      </c>
      <c r="P359" s="35">
        <v>45</v>
      </c>
    </row>
    <row r="360" spans="1:16">
      <c r="A360" s="35">
        <v>969</v>
      </c>
      <c r="B360" s="36">
        <v>40586</v>
      </c>
      <c r="C360" s="35">
        <v>1</v>
      </c>
      <c r="D360" s="35">
        <v>0</v>
      </c>
      <c r="E360" s="35">
        <v>2</v>
      </c>
      <c r="F360" s="35">
        <v>23</v>
      </c>
      <c r="G360" s="35" t="b">
        <v>0</v>
      </c>
      <c r="H360" s="35">
        <v>6</v>
      </c>
      <c r="I360" s="35">
        <v>1</v>
      </c>
      <c r="J360" s="35">
        <v>0.22</v>
      </c>
      <c r="K360" s="35">
        <v>0.2273</v>
      </c>
      <c r="L360" s="35">
        <v>0.51</v>
      </c>
      <c r="M360" s="35">
        <v>0.1343</v>
      </c>
      <c r="N360" s="35">
        <v>1</v>
      </c>
      <c r="O360" s="35">
        <v>31</v>
      </c>
      <c r="P360" s="35">
        <v>32</v>
      </c>
    </row>
    <row r="361" spans="1:16">
      <c r="A361" s="35">
        <v>970</v>
      </c>
      <c r="B361" s="36">
        <v>40587</v>
      </c>
      <c r="C361" s="35">
        <v>1</v>
      </c>
      <c r="D361" s="35">
        <v>0</v>
      </c>
      <c r="E361" s="35">
        <v>2</v>
      </c>
      <c r="F361" s="35">
        <v>0</v>
      </c>
      <c r="G361" s="35" t="b">
        <v>0</v>
      </c>
      <c r="H361" s="35">
        <v>0</v>
      </c>
      <c r="I361" s="35">
        <v>1</v>
      </c>
      <c r="J361" s="35">
        <v>0.2</v>
      </c>
      <c r="K361" s="35">
        <v>0.2273</v>
      </c>
      <c r="L361" s="35">
        <v>0.64</v>
      </c>
      <c r="M361" s="35">
        <v>0.1045</v>
      </c>
      <c r="N361" s="35">
        <v>5</v>
      </c>
      <c r="O361" s="35">
        <v>34</v>
      </c>
      <c r="P361" s="35">
        <v>39</v>
      </c>
    </row>
    <row r="362" spans="1:16">
      <c r="A362" s="35">
        <v>971</v>
      </c>
      <c r="B362" s="36">
        <v>40587</v>
      </c>
      <c r="C362" s="35">
        <v>1</v>
      </c>
      <c r="D362" s="35">
        <v>0</v>
      </c>
      <c r="E362" s="35">
        <v>2</v>
      </c>
      <c r="F362" s="35">
        <v>1</v>
      </c>
      <c r="G362" s="35" t="b">
        <v>0</v>
      </c>
      <c r="H362" s="35">
        <v>0</v>
      </c>
      <c r="I362" s="35">
        <v>1</v>
      </c>
      <c r="J362" s="35">
        <v>0.2</v>
      </c>
      <c r="K362" s="35">
        <v>0.2273</v>
      </c>
      <c r="L362" s="35">
        <v>0.59</v>
      </c>
      <c r="M362" s="35">
        <v>8.9599999999999999E-2</v>
      </c>
      <c r="N362" s="35">
        <v>1</v>
      </c>
      <c r="O362" s="35">
        <v>23</v>
      </c>
      <c r="P362" s="35">
        <v>24</v>
      </c>
    </row>
    <row r="363" spans="1:16">
      <c r="A363" s="35">
        <v>972</v>
      </c>
      <c r="B363" s="36">
        <v>40587</v>
      </c>
      <c r="C363" s="35">
        <v>1</v>
      </c>
      <c r="D363" s="35">
        <v>0</v>
      </c>
      <c r="E363" s="35">
        <v>2</v>
      </c>
      <c r="F363" s="35">
        <v>2</v>
      </c>
      <c r="G363" s="35" t="b">
        <v>0</v>
      </c>
      <c r="H363" s="35">
        <v>0</v>
      </c>
      <c r="I363" s="35">
        <v>2</v>
      </c>
      <c r="J363" s="35">
        <v>0.2</v>
      </c>
      <c r="K363" s="35">
        <v>0.2273</v>
      </c>
      <c r="L363" s="35">
        <v>0.75</v>
      </c>
      <c r="M363" s="35">
        <v>8.9599999999999999E-2</v>
      </c>
      <c r="N363" s="35">
        <v>1</v>
      </c>
      <c r="O363" s="35">
        <v>19</v>
      </c>
      <c r="P363" s="35">
        <v>20</v>
      </c>
    </row>
    <row r="364" spans="1:16">
      <c r="A364" s="35">
        <v>973</v>
      </c>
      <c r="B364" s="36">
        <v>40587</v>
      </c>
      <c r="C364" s="35">
        <v>1</v>
      </c>
      <c r="D364" s="35">
        <v>0</v>
      </c>
      <c r="E364" s="35">
        <v>2</v>
      </c>
      <c r="F364" s="35">
        <v>3</v>
      </c>
      <c r="G364" s="35" t="b">
        <v>0</v>
      </c>
      <c r="H364" s="35">
        <v>0</v>
      </c>
      <c r="I364" s="35">
        <v>2</v>
      </c>
      <c r="J364" s="35">
        <v>0.2</v>
      </c>
      <c r="K364" s="35">
        <v>0.2273</v>
      </c>
      <c r="L364" s="35">
        <v>0.69</v>
      </c>
      <c r="M364" s="35">
        <v>0.1045</v>
      </c>
      <c r="N364" s="35">
        <v>4</v>
      </c>
      <c r="O364" s="35">
        <v>8</v>
      </c>
      <c r="P364" s="35">
        <v>12</v>
      </c>
    </row>
    <row r="365" spans="1:16">
      <c r="A365" s="35">
        <v>974</v>
      </c>
      <c r="B365" s="36">
        <v>40587</v>
      </c>
      <c r="C365" s="35">
        <v>1</v>
      </c>
      <c r="D365" s="35">
        <v>0</v>
      </c>
      <c r="E365" s="35">
        <v>2</v>
      </c>
      <c r="F365" s="35">
        <v>4</v>
      </c>
      <c r="G365" s="35" t="b">
        <v>0</v>
      </c>
      <c r="H365" s="35">
        <v>0</v>
      </c>
      <c r="I365" s="35">
        <v>2</v>
      </c>
      <c r="J365" s="35">
        <v>0.2</v>
      </c>
      <c r="K365" s="35">
        <v>0.21210000000000001</v>
      </c>
      <c r="L365" s="35">
        <v>0.69</v>
      </c>
      <c r="M365" s="35">
        <v>0.16420000000000001</v>
      </c>
      <c r="N365" s="35">
        <v>0</v>
      </c>
      <c r="O365" s="35">
        <v>2</v>
      </c>
      <c r="P365" s="35">
        <v>2</v>
      </c>
    </row>
    <row r="366" spans="1:16">
      <c r="A366" s="35">
        <v>975</v>
      </c>
      <c r="B366" s="36">
        <v>40587</v>
      </c>
      <c r="C366" s="35">
        <v>1</v>
      </c>
      <c r="D366" s="35">
        <v>0</v>
      </c>
      <c r="E366" s="35">
        <v>2</v>
      </c>
      <c r="F366" s="35">
        <v>6</v>
      </c>
      <c r="G366" s="35" t="b">
        <v>0</v>
      </c>
      <c r="H366" s="35">
        <v>0</v>
      </c>
      <c r="I366" s="35">
        <v>2</v>
      </c>
      <c r="J366" s="35">
        <v>0.2</v>
      </c>
      <c r="K366" s="35">
        <v>0.21210000000000001</v>
      </c>
      <c r="L366" s="35">
        <v>0.69</v>
      </c>
      <c r="M366" s="35">
        <v>0.1343</v>
      </c>
      <c r="N366" s="35">
        <v>2</v>
      </c>
      <c r="O366" s="35">
        <v>3</v>
      </c>
      <c r="P366" s="35">
        <v>5</v>
      </c>
    </row>
    <row r="367" spans="1:16">
      <c r="A367" s="35">
        <v>976</v>
      </c>
      <c r="B367" s="36">
        <v>40587</v>
      </c>
      <c r="C367" s="35">
        <v>1</v>
      </c>
      <c r="D367" s="35">
        <v>0</v>
      </c>
      <c r="E367" s="35">
        <v>2</v>
      </c>
      <c r="F367" s="35">
        <v>7</v>
      </c>
      <c r="G367" s="35" t="b">
        <v>0</v>
      </c>
      <c r="H367" s="35">
        <v>0</v>
      </c>
      <c r="I367" s="35">
        <v>2</v>
      </c>
      <c r="J367" s="35">
        <v>0.22</v>
      </c>
      <c r="K367" s="35">
        <v>0.2727</v>
      </c>
      <c r="L367" s="35">
        <v>0.55000000000000004</v>
      </c>
      <c r="M367" s="35">
        <v>0</v>
      </c>
      <c r="N367" s="35">
        <v>0</v>
      </c>
      <c r="O367" s="35">
        <v>3</v>
      </c>
      <c r="P367" s="35">
        <v>3</v>
      </c>
    </row>
    <row r="368" spans="1:16">
      <c r="A368" s="35">
        <v>977</v>
      </c>
      <c r="B368" s="36">
        <v>40587</v>
      </c>
      <c r="C368" s="35">
        <v>1</v>
      </c>
      <c r="D368" s="35">
        <v>0</v>
      </c>
      <c r="E368" s="35">
        <v>2</v>
      </c>
      <c r="F368" s="35">
        <v>8</v>
      </c>
      <c r="G368" s="35" t="b">
        <v>0</v>
      </c>
      <c r="H368" s="35">
        <v>0</v>
      </c>
      <c r="I368" s="35">
        <v>2</v>
      </c>
      <c r="J368" s="35">
        <v>0.22</v>
      </c>
      <c r="K368" s="35">
        <v>0.2273</v>
      </c>
      <c r="L368" s="35">
        <v>0.64</v>
      </c>
      <c r="M368" s="35">
        <v>0.19400000000000001</v>
      </c>
      <c r="N368" s="35">
        <v>1</v>
      </c>
      <c r="O368" s="35">
        <v>11</v>
      </c>
      <c r="P368" s="35">
        <v>12</v>
      </c>
    </row>
    <row r="369" spans="1:16">
      <c r="A369" s="35">
        <v>978</v>
      </c>
      <c r="B369" s="36">
        <v>40587</v>
      </c>
      <c r="C369" s="35">
        <v>1</v>
      </c>
      <c r="D369" s="35">
        <v>0</v>
      </c>
      <c r="E369" s="35">
        <v>2</v>
      </c>
      <c r="F369" s="35">
        <v>9</v>
      </c>
      <c r="G369" s="35" t="b">
        <v>0</v>
      </c>
      <c r="H369" s="35">
        <v>0</v>
      </c>
      <c r="I369" s="35">
        <v>2</v>
      </c>
      <c r="J369" s="35">
        <v>0.24</v>
      </c>
      <c r="K369" s="35">
        <v>0.2273</v>
      </c>
      <c r="L369" s="35">
        <v>0.6</v>
      </c>
      <c r="M369" s="35">
        <v>0.22389999999999999</v>
      </c>
      <c r="N369" s="35">
        <v>12</v>
      </c>
      <c r="O369" s="35">
        <v>35</v>
      </c>
      <c r="P369" s="35">
        <v>47</v>
      </c>
    </row>
    <row r="370" spans="1:16">
      <c r="A370" s="35">
        <v>979</v>
      </c>
      <c r="B370" s="36">
        <v>40587</v>
      </c>
      <c r="C370" s="35">
        <v>1</v>
      </c>
      <c r="D370" s="35">
        <v>0</v>
      </c>
      <c r="E370" s="35">
        <v>2</v>
      </c>
      <c r="F370" s="35">
        <v>10</v>
      </c>
      <c r="G370" s="35" t="b">
        <v>0</v>
      </c>
      <c r="H370" s="35">
        <v>0</v>
      </c>
      <c r="I370" s="35">
        <v>1</v>
      </c>
      <c r="J370" s="35">
        <v>0.3</v>
      </c>
      <c r="K370" s="35">
        <v>0.2727</v>
      </c>
      <c r="L370" s="35">
        <v>0.45</v>
      </c>
      <c r="M370" s="35">
        <v>0.32840000000000003</v>
      </c>
      <c r="N370" s="35">
        <v>19</v>
      </c>
      <c r="O370" s="35">
        <v>86</v>
      </c>
      <c r="P370" s="35">
        <v>105</v>
      </c>
    </row>
    <row r="371" spans="1:16">
      <c r="A371" s="35">
        <v>980</v>
      </c>
      <c r="B371" s="36">
        <v>40587</v>
      </c>
      <c r="C371" s="35">
        <v>1</v>
      </c>
      <c r="D371" s="35">
        <v>0</v>
      </c>
      <c r="E371" s="35">
        <v>2</v>
      </c>
      <c r="F371" s="35">
        <v>11</v>
      </c>
      <c r="G371" s="35" t="b">
        <v>0</v>
      </c>
      <c r="H371" s="35">
        <v>0</v>
      </c>
      <c r="I371" s="35">
        <v>1</v>
      </c>
      <c r="J371" s="35">
        <v>0.32</v>
      </c>
      <c r="K371" s="35">
        <v>0.28789999999999999</v>
      </c>
      <c r="L371" s="35">
        <v>0.39</v>
      </c>
      <c r="M371" s="35">
        <v>0.44779999999999998</v>
      </c>
      <c r="N371" s="35">
        <v>26</v>
      </c>
      <c r="O371" s="35">
        <v>86</v>
      </c>
      <c r="P371" s="35">
        <v>112</v>
      </c>
    </row>
    <row r="372" spans="1:16">
      <c r="A372" s="35">
        <v>981</v>
      </c>
      <c r="B372" s="36">
        <v>40587</v>
      </c>
      <c r="C372" s="35">
        <v>1</v>
      </c>
      <c r="D372" s="35">
        <v>0</v>
      </c>
      <c r="E372" s="35">
        <v>2</v>
      </c>
      <c r="F372" s="35">
        <v>12</v>
      </c>
      <c r="G372" s="35" t="b">
        <v>0</v>
      </c>
      <c r="H372" s="35">
        <v>0</v>
      </c>
      <c r="I372" s="35">
        <v>1</v>
      </c>
      <c r="J372" s="35">
        <v>0.36</v>
      </c>
      <c r="K372" s="35">
        <v>0.31819999999999998</v>
      </c>
      <c r="L372" s="35">
        <v>0.32</v>
      </c>
      <c r="M372" s="35">
        <v>0.4627</v>
      </c>
      <c r="N372" s="35">
        <v>58</v>
      </c>
      <c r="O372" s="35">
        <v>94</v>
      </c>
      <c r="P372" s="35">
        <v>152</v>
      </c>
    </row>
    <row r="373" spans="1:16">
      <c r="A373" s="35">
        <v>982</v>
      </c>
      <c r="B373" s="36">
        <v>40587</v>
      </c>
      <c r="C373" s="35">
        <v>1</v>
      </c>
      <c r="D373" s="35">
        <v>0</v>
      </c>
      <c r="E373" s="35">
        <v>2</v>
      </c>
      <c r="F373" s="35">
        <v>13</v>
      </c>
      <c r="G373" s="35" t="b">
        <v>0</v>
      </c>
      <c r="H373" s="35">
        <v>0</v>
      </c>
      <c r="I373" s="35">
        <v>1</v>
      </c>
      <c r="J373" s="35">
        <v>0.38</v>
      </c>
      <c r="K373" s="35">
        <v>0.39389999999999997</v>
      </c>
      <c r="L373" s="35">
        <v>0.28999999999999998</v>
      </c>
      <c r="M373" s="35">
        <v>0.35820000000000002</v>
      </c>
      <c r="N373" s="35">
        <v>62</v>
      </c>
      <c r="O373" s="35">
        <v>92</v>
      </c>
      <c r="P373" s="35">
        <v>154</v>
      </c>
    </row>
    <row r="374" spans="1:16">
      <c r="A374" s="35">
        <v>983</v>
      </c>
      <c r="B374" s="36">
        <v>40587</v>
      </c>
      <c r="C374" s="35">
        <v>1</v>
      </c>
      <c r="D374" s="35">
        <v>0</v>
      </c>
      <c r="E374" s="35">
        <v>2</v>
      </c>
      <c r="F374" s="35">
        <v>14</v>
      </c>
      <c r="G374" s="35" t="b">
        <v>0</v>
      </c>
      <c r="H374" s="35">
        <v>0</v>
      </c>
      <c r="I374" s="35">
        <v>2</v>
      </c>
      <c r="J374" s="35">
        <v>0.4</v>
      </c>
      <c r="K374" s="35">
        <v>0.40910000000000002</v>
      </c>
      <c r="L374" s="35">
        <v>0.3</v>
      </c>
      <c r="M374" s="35">
        <v>0.41789999999999999</v>
      </c>
      <c r="N374" s="35">
        <v>51</v>
      </c>
      <c r="O374" s="35">
        <v>110</v>
      </c>
      <c r="P374" s="35">
        <v>161</v>
      </c>
    </row>
    <row r="375" spans="1:16">
      <c r="A375" s="35">
        <v>984</v>
      </c>
      <c r="B375" s="36">
        <v>40587</v>
      </c>
      <c r="C375" s="35">
        <v>1</v>
      </c>
      <c r="D375" s="35">
        <v>0</v>
      </c>
      <c r="E375" s="35">
        <v>2</v>
      </c>
      <c r="F375" s="35">
        <v>15</v>
      </c>
      <c r="G375" s="35" t="b">
        <v>0</v>
      </c>
      <c r="H375" s="35">
        <v>0</v>
      </c>
      <c r="I375" s="35">
        <v>2</v>
      </c>
      <c r="J375" s="35">
        <v>0.4</v>
      </c>
      <c r="K375" s="35">
        <v>0.40910000000000002</v>
      </c>
      <c r="L375" s="35">
        <v>0.3</v>
      </c>
      <c r="M375" s="35">
        <v>0.29849999999999999</v>
      </c>
      <c r="N375" s="35">
        <v>40</v>
      </c>
      <c r="O375" s="35">
        <v>122</v>
      </c>
      <c r="P375" s="35">
        <v>162</v>
      </c>
    </row>
    <row r="376" spans="1:16">
      <c r="A376" s="35">
        <v>985</v>
      </c>
      <c r="B376" s="36">
        <v>40587</v>
      </c>
      <c r="C376" s="35">
        <v>1</v>
      </c>
      <c r="D376" s="35">
        <v>0</v>
      </c>
      <c r="E376" s="35">
        <v>2</v>
      </c>
      <c r="F376" s="35">
        <v>16</v>
      </c>
      <c r="G376" s="35" t="b">
        <v>0</v>
      </c>
      <c r="H376" s="35">
        <v>0</v>
      </c>
      <c r="I376" s="35">
        <v>2</v>
      </c>
      <c r="J376" s="35">
        <v>0.42</v>
      </c>
      <c r="K376" s="35">
        <v>0.42420000000000002</v>
      </c>
      <c r="L376" s="35">
        <v>0.28000000000000003</v>
      </c>
      <c r="M376" s="35">
        <v>0.32840000000000003</v>
      </c>
      <c r="N376" s="35">
        <v>28</v>
      </c>
      <c r="O376" s="35">
        <v>106</v>
      </c>
      <c r="P376" s="35">
        <v>134</v>
      </c>
    </row>
    <row r="377" spans="1:16">
      <c r="A377" s="35">
        <v>986</v>
      </c>
      <c r="B377" s="36">
        <v>40587</v>
      </c>
      <c r="C377" s="35">
        <v>1</v>
      </c>
      <c r="D377" s="35">
        <v>0</v>
      </c>
      <c r="E377" s="35">
        <v>2</v>
      </c>
      <c r="F377" s="35">
        <v>17</v>
      </c>
      <c r="G377" s="35" t="b">
        <v>0</v>
      </c>
      <c r="H377" s="35">
        <v>0</v>
      </c>
      <c r="I377" s="35">
        <v>1</v>
      </c>
      <c r="J377" s="35">
        <v>0.42</v>
      </c>
      <c r="K377" s="35">
        <v>0.42420000000000002</v>
      </c>
      <c r="L377" s="35">
        <v>0.28000000000000003</v>
      </c>
      <c r="M377" s="35">
        <v>0.32840000000000003</v>
      </c>
      <c r="N377" s="35">
        <v>30</v>
      </c>
      <c r="O377" s="35">
        <v>95</v>
      </c>
      <c r="P377" s="35">
        <v>125</v>
      </c>
    </row>
    <row r="378" spans="1:16">
      <c r="A378" s="35">
        <v>987</v>
      </c>
      <c r="B378" s="36">
        <v>40587</v>
      </c>
      <c r="C378" s="35">
        <v>1</v>
      </c>
      <c r="D378" s="35">
        <v>0</v>
      </c>
      <c r="E378" s="35">
        <v>2</v>
      </c>
      <c r="F378" s="35">
        <v>18</v>
      </c>
      <c r="G378" s="35" t="b">
        <v>0</v>
      </c>
      <c r="H378" s="35">
        <v>0</v>
      </c>
      <c r="I378" s="35">
        <v>1</v>
      </c>
      <c r="J378" s="35">
        <v>0.4</v>
      </c>
      <c r="K378" s="35">
        <v>0.40910000000000002</v>
      </c>
      <c r="L378" s="35">
        <v>0.32</v>
      </c>
      <c r="M378" s="35">
        <v>0.29849999999999999</v>
      </c>
      <c r="N378" s="35">
        <v>17</v>
      </c>
      <c r="O378" s="35">
        <v>78</v>
      </c>
      <c r="P378" s="35">
        <v>95</v>
      </c>
    </row>
    <row r="379" spans="1:16">
      <c r="A379" s="35">
        <v>988</v>
      </c>
      <c r="B379" s="36">
        <v>40587</v>
      </c>
      <c r="C379" s="35">
        <v>1</v>
      </c>
      <c r="D379" s="35">
        <v>0</v>
      </c>
      <c r="E379" s="35">
        <v>2</v>
      </c>
      <c r="F379" s="35">
        <v>19</v>
      </c>
      <c r="G379" s="35" t="b">
        <v>0</v>
      </c>
      <c r="H379" s="35">
        <v>0</v>
      </c>
      <c r="I379" s="35">
        <v>1</v>
      </c>
      <c r="J379" s="35">
        <v>0.4</v>
      </c>
      <c r="K379" s="35">
        <v>0.40910000000000002</v>
      </c>
      <c r="L379" s="35">
        <v>0.35</v>
      </c>
      <c r="M379" s="35">
        <v>0.28360000000000002</v>
      </c>
      <c r="N379" s="35">
        <v>11</v>
      </c>
      <c r="O379" s="35">
        <v>50</v>
      </c>
      <c r="P379" s="35">
        <v>61</v>
      </c>
    </row>
    <row r="380" spans="1:16">
      <c r="A380" s="35">
        <v>989</v>
      </c>
      <c r="B380" s="36">
        <v>40587</v>
      </c>
      <c r="C380" s="35">
        <v>1</v>
      </c>
      <c r="D380" s="35">
        <v>0</v>
      </c>
      <c r="E380" s="35">
        <v>2</v>
      </c>
      <c r="F380" s="35">
        <v>20</v>
      </c>
      <c r="G380" s="35" t="b">
        <v>0</v>
      </c>
      <c r="H380" s="35">
        <v>0</v>
      </c>
      <c r="I380" s="35">
        <v>1</v>
      </c>
      <c r="J380" s="35">
        <v>0.4</v>
      </c>
      <c r="K380" s="35">
        <v>0.40910000000000002</v>
      </c>
      <c r="L380" s="35">
        <v>0.35</v>
      </c>
      <c r="M380" s="35">
        <v>0.32840000000000003</v>
      </c>
      <c r="N380" s="35">
        <v>15</v>
      </c>
      <c r="O380" s="35">
        <v>32</v>
      </c>
      <c r="P380" s="35">
        <v>47</v>
      </c>
    </row>
    <row r="381" spans="1:16">
      <c r="A381" s="35">
        <v>990</v>
      </c>
      <c r="B381" s="36">
        <v>40587</v>
      </c>
      <c r="C381" s="35">
        <v>1</v>
      </c>
      <c r="D381" s="35">
        <v>0</v>
      </c>
      <c r="E381" s="35">
        <v>2</v>
      </c>
      <c r="F381" s="35">
        <v>21</v>
      </c>
      <c r="G381" s="35" t="b">
        <v>0</v>
      </c>
      <c r="H381" s="35">
        <v>0</v>
      </c>
      <c r="I381" s="35">
        <v>1</v>
      </c>
      <c r="J381" s="35">
        <v>0.4</v>
      </c>
      <c r="K381" s="35">
        <v>0.40910000000000002</v>
      </c>
      <c r="L381" s="35">
        <v>0.35</v>
      </c>
      <c r="M381" s="35">
        <v>0.35820000000000002</v>
      </c>
      <c r="N381" s="35">
        <v>6</v>
      </c>
      <c r="O381" s="35">
        <v>45</v>
      </c>
      <c r="P381" s="35">
        <v>51</v>
      </c>
    </row>
    <row r="382" spans="1:16">
      <c r="A382" s="35">
        <v>991</v>
      </c>
      <c r="B382" s="36">
        <v>40587</v>
      </c>
      <c r="C382" s="35">
        <v>1</v>
      </c>
      <c r="D382" s="35">
        <v>0</v>
      </c>
      <c r="E382" s="35">
        <v>2</v>
      </c>
      <c r="F382" s="35">
        <v>22</v>
      </c>
      <c r="G382" s="35" t="b">
        <v>0</v>
      </c>
      <c r="H382" s="35">
        <v>0</v>
      </c>
      <c r="I382" s="35">
        <v>1</v>
      </c>
      <c r="J382" s="35">
        <v>0.4</v>
      </c>
      <c r="K382" s="35">
        <v>0.40910000000000002</v>
      </c>
      <c r="L382" s="35">
        <v>0.35</v>
      </c>
      <c r="M382" s="35">
        <v>0.29849999999999999</v>
      </c>
      <c r="N382" s="35">
        <v>5</v>
      </c>
      <c r="O382" s="35">
        <v>31</v>
      </c>
      <c r="P382" s="35">
        <v>36</v>
      </c>
    </row>
    <row r="383" spans="1:16">
      <c r="A383" s="35">
        <v>992</v>
      </c>
      <c r="B383" s="36">
        <v>40587</v>
      </c>
      <c r="C383" s="35">
        <v>1</v>
      </c>
      <c r="D383" s="35">
        <v>0</v>
      </c>
      <c r="E383" s="35">
        <v>2</v>
      </c>
      <c r="F383" s="35">
        <v>23</v>
      </c>
      <c r="G383" s="35" t="b">
        <v>0</v>
      </c>
      <c r="H383" s="35">
        <v>0</v>
      </c>
      <c r="I383" s="35">
        <v>1</v>
      </c>
      <c r="J383" s="35">
        <v>0.4</v>
      </c>
      <c r="K383" s="35">
        <v>0.40910000000000002</v>
      </c>
      <c r="L383" s="35">
        <v>0.35</v>
      </c>
      <c r="M383" s="35">
        <v>0.35820000000000002</v>
      </c>
      <c r="N383" s="35">
        <v>3</v>
      </c>
      <c r="O383" s="35">
        <v>27</v>
      </c>
      <c r="P383" s="35">
        <v>30</v>
      </c>
    </row>
    <row r="384" spans="1:16">
      <c r="A384" s="35">
        <v>993</v>
      </c>
      <c r="B384" s="36">
        <v>40588</v>
      </c>
      <c r="C384" s="35">
        <v>1</v>
      </c>
      <c r="D384" s="35">
        <v>0</v>
      </c>
      <c r="E384" s="35">
        <v>2</v>
      </c>
      <c r="F384" s="35">
        <v>0</v>
      </c>
      <c r="G384" s="35" t="b">
        <v>0</v>
      </c>
      <c r="H384" s="35">
        <v>1</v>
      </c>
      <c r="I384" s="35">
        <v>1</v>
      </c>
      <c r="J384" s="35">
        <v>0.38</v>
      </c>
      <c r="K384" s="35">
        <v>0.39389999999999997</v>
      </c>
      <c r="L384" s="35">
        <v>0.37</v>
      </c>
      <c r="M384" s="35">
        <v>0.35820000000000002</v>
      </c>
      <c r="N384" s="35">
        <v>3</v>
      </c>
      <c r="O384" s="35">
        <v>8</v>
      </c>
      <c r="P384" s="35">
        <v>11</v>
      </c>
    </row>
    <row r="385" spans="1:16">
      <c r="A385" s="35">
        <v>994</v>
      </c>
      <c r="B385" s="36">
        <v>40588</v>
      </c>
      <c r="C385" s="35">
        <v>1</v>
      </c>
      <c r="D385" s="35">
        <v>0</v>
      </c>
      <c r="E385" s="35">
        <v>2</v>
      </c>
      <c r="F385" s="35">
        <v>1</v>
      </c>
      <c r="G385" s="35" t="b">
        <v>0</v>
      </c>
      <c r="H385" s="35">
        <v>1</v>
      </c>
      <c r="I385" s="35">
        <v>1</v>
      </c>
      <c r="J385" s="35">
        <v>0.38</v>
      </c>
      <c r="K385" s="35">
        <v>0.39389999999999997</v>
      </c>
      <c r="L385" s="35">
        <v>0.37</v>
      </c>
      <c r="M385" s="35">
        <v>0.35820000000000002</v>
      </c>
      <c r="N385" s="35">
        <v>1</v>
      </c>
      <c r="O385" s="35">
        <v>6</v>
      </c>
      <c r="P385" s="35">
        <v>7</v>
      </c>
    </row>
    <row r="386" spans="1:16">
      <c r="A386" s="35">
        <v>995</v>
      </c>
      <c r="B386" s="36">
        <v>40588</v>
      </c>
      <c r="C386" s="35">
        <v>1</v>
      </c>
      <c r="D386" s="35">
        <v>0</v>
      </c>
      <c r="E386" s="35">
        <v>2</v>
      </c>
      <c r="F386" s="35">
        <v>2</v>
      </c>
      <c r="G386" s="35" t="b">
        <v>0</v>
      </c>
      <c r="H386" s="35">
        <v>1</v>
      </c>
      <c r="I386" s="35">
        <v>1</v>
      </c>
      <c r="J386" s="35">
        <v>0.36</v>
      </c>
      <c r="K386" s="35">
        <v>0.33329999999999999</v>
      </c>
      <c r="L386" s="35">
        <v>0.4</v>
      </c>
      <c r="M386" s="35">
        <v>0.29849999999999999</v>
      </c>
      <c r="N386" s="35">
        <v>0</v>
      </c>
      <c r="O386" s="35">
        <v>2</v>
      </c>
      <c r="P386" s="35">
        <v>2</v>
      </c>
    </row>
    <row r="387" spans="1:16">
      <c r="A387" s="35">
        <v>996</v>
      </c>
      <c r="B387" s="36">
        <v>40588</v>
      </c>
      <c r="C387" s="35">
        <v>1</v>
      </c>
      <c r="D387" s="35">
        <v>0</v>
      </c>
      <c r="E387" s="35">
        <v>2</v>
      </c>
      <c r="F387" s="35">
        <v>3</v>
      </c>
      <c r="G387" s="35" t="b">
        <v>0</v>
      </c>
      <c r="H387" s="35">
        <v>1</v>
      </c>
      <c r="I387" s="35">
        <v>1</v>
      </c>
      <c r="J387" s="35">
        <v>0.34</v>
      </c>
      <c r="K387" s="35">
        <v>0.31819999999999998</v>
      </c>
      <c r="L387" s="35">
        <v>0.46</v>
      </c>
      <c r="M387" s="35">
        <v>0.22389999999999999</v>
      </c>
      <c r="N387" s="35">
        <v>1</v>
      </c>
      <c r="O387" s="35">
        <v>1</v>
      </c>
      <c r="P387" s="35">
        <v>2</v>
      </c>
    </row>
    <row r="388" spans="1:16">
      <c r="A388" s="35">
        <v>997</v>
      </c>
      <c r="B388" s="36">
        <v>40588</v>
      </c>
      <c r="C388" s="35">
        <v>1</v>
      </c>
      <c r="D388" s="35">
        <v>0</v>
      </c>
      <c r="E388" s="35">
        <v>2</v>
      </c>
      <c r="F388" s="35">
        <v>4</v>
      </c>
      <c r="G388" s="35" t="b">
        <v>0</v>
      </c>
      <c r="H388" s="35">
        <v>1</v>
      </c>
      <c r="I388" s="35">
        <v>1</v>
      </c>
      <c r="J388" s="35">
        <v>0.32</v>
      </c>
      <c r="K388" s="35">
        <v>0.30299999999999999</v>
      </c>
      <c r="L388" s="35">
        <v>0.53</v>
      </c>
      <c r="M388" s="35">
        <v>0.28360000000000002</v>
      </c>
      <c r="N388" s="35">
        <v>0</v>
      </c>
      <c r="O388" s="35">
        <v>2</v>
      </c>
      <c r="P388" s="35">
        <v>2</v>
      </c>
    </row>
    <row r="389" spans="1:16">
      <c r="A389" s="35">
        <v>998</v>
      </c>
      <c r="B389" s="36">
        <v>40588</v>
      </c>
      <c r="C389" s="35">
        <v>1</v>
      </c>
      <c r="D389" s="35">
        <v>0</v>
      </c>
      <c r="E389" s="35">
        <v>2</v>
      </c>
      <c r="F389" s="35">
        <v>5</v>
      </c>
      <c r="G389" s="35" t="b">
        <v>0</v>
      </c>
      <c r="H389" s="35">
        <v>1</v>
      </c>
      <c r="I389" s="35">
        <v>1</v>
      </c>
      <c r="J389" s="35">
        <v>0.32</v>
      </c>
      <c r="K389" s="35">
        <v>0.30299999999999999</v>
      </c>
      <c r="L389" s="35">
        <v>0.53</v>
      </c>
      <c r="M389" s="35">
        <v>0.28360000000000002</v>
      </c>
      <c r="N389" s="35">
        <v>0</v>
      </c>
      <c r="O389" s="35">
        <v>3</v>
      </c>
      <c r="P389" s="35">
        <v>3</v>
      </c>
    </row>
    <row r="390" spans="1:16">
      <c r="A390" s="35">
        <v>999</v>
      </c>
      <c r="B390" s="36">
        <v>40588</v>
      </c>
      <c r="C390" s="35">
        <v>1</v>
      </c>
      <c r="D390" s="35">
        <v>0</v>
      </c>
      <c r="E390" s="35">
        <v>2</v>
      </c>
      <c r="F390" s="35">
        <v>6</v>
      </c>
      <c r="G390" s="35" t="b">
        <v>0</v>
      </c>
      <c r="H390" s="35">
        <v>1</v>
      </c>
      <c r="I390" s="35">
        <v>1</v>
      </c>
      <c r="J390" s="35">
        <v>0.34</v>
      </c>
      <c r="K390" s="35">
        <v>0.30299999999999999</v>
      </c>
      <c r="L390" s="35">
        <v>0.46</v>
      </c>
      <c r="M390" s="35">
        <v>0.29849999999999999</v>
      </c>
      <c r="N390" s="35">
        <v>1</v>
      </c>
      <c r="O390" s="35">
        <v>25</v>
      </c>
      <c r="P390" s="35">
        <v>26</v>
      </c>
    </row>
    <row r="391" spans="1:16">
      <c r="A391" s="35">
        <v>1000</v>
      </c>
      <c r="B391" s="36">
        <v>40588</v>
      </c>
      <c r="C391" s="35">
        <v>1</v>
      </c>
      <c r="D391" s="35">
        <v>0</v>
      </c>
      <c r="E391" s="35">
        <v>2</v>
      </c>
      <c r="F391" s="35">
        <v>7</v>
      </c>
      <c r="G391" s="35" t="b">
        <v>0</v>
      </c>
      <c r="H391" s="35">
        <v>1</v>
      </c>
      <c r="I391" s="35">
        <v>1</v>
      </c>
      <c r="J391" s="35">
        <v>0.34</v>
      </c>
      <c r="K391" s="35">
        <v>0.30299999999999999</v>
      </c>
      <c r="L391" s="35">
        <v>0.46</v>
      </c>
      <c r="M391" s="35">
        <v>0.29849999999999999</v>
      </c>
      <c r="N391" s="35">
        <v>2</v>
      </c>
      <c r="O391" s="35">
        <v>96</v>
      </c>
      <c r="P391" s="35">
        <v>98</v>
      </c>
    </row>
  </sheetData>
  <sortState xmlns:xlrd2="http://schemas.microsoft.com/office/spreadsheetml/2017/richdata2" ref="A2:P391">
    <sortCondition ref="A2:A391"/>
  </sortState>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E7801-8187-46F4-8C92-C0C77A00C011}">
  <dimension ref="A1:W1001"/>
  <sheetViews>
    <sheetView topLeftCell="A972" zoomScale="99" workbookViewId="0">
      <selection activeCell="V982" sqref="V982"/>
    </sheetView>
  </sheetViews>
  <sheetFormatPr defaultRowHeight="13.2"/>
  <cols>
    <col min="2" max="2" width="10.33203125" bestFit="1" customWidth="1"/>
  </cols>
  <sheetData>
    <row r="1" spans="1:23">
      <c r="A1" s="1" t="s">
        <v>0</v>
      </c>
      <c r="B1" s="1" t="s">
        <v>1</v>
      </c>
      <c r="C1" s="1" t="s">
        <v>2</v>
      </c>
      <c r="D1" s="1" t="s">
        <v>3</v>
      </c>
      <c r="E1" s="1" t="s">
        <v>4</v>
      </c>
      <c r="F1" s="1" t="s">
        <v>5</v>
      </c>
      <c r="G1" s="1" t="s">
        <v>6</v>
      </c>
      <c r="H1" s="1" t="s">
        <v>7</v>
      </c>
      <c r="I1" s="1" t="s">
        <v>8</v>
      </c>
      <c r="J1" s="1" t="s">
        <v>9</v>
      </c>
      <c r="K1" s="28" t="s">
        <v>60</v>
      </c>
      <c r="L1" s="29" t="s">
        <v>61</v>
      </c>
      <c r="M1" s="29" t="s">
        <v>62</v>
      </c>
      <c r="N1" s="29" t="s">
        <v>63</v>
      </c>
      <c r="O1" s="29" t="s">
        <v>64</v>
      </c>
      <c r="P1" s="30" t="s">
        <v>65</v>
      </c>
      <c r="Q1" s="38" t="s">
        <v>93</v>
      </c>
    </row>
    <row r="2" spans="1:23">
      <c r="A2" s="1">
        <v>1</v>
      </c>
      <c r="B2" s="2">
        <v>40544</v>
      </c>
      <c r="C2" s="1">
        <v>1</v>
      </c>
      <c r="D2" s="1">
        <v>0</v>
      </c>
      <c r="E2" s="1">
        <v>1</v>
      </c>
      <c r="F2" s="1">
        <v>0</v>
      </c>
      <c r="G2" s="1" t="b">
        <v>0</v>
      </c>
      <c r="H2" s="1">
        <v>6</v>
      </c>
      <c r="I2" s="1">
        <v>1</v>
      </c>
      <c r="J2" s="1">
        <v>0.24</v>
      </c>
      <c r="K2" s="19">
        <v>0.28789999999999999</v>
      </c>
      <c r="L2" s="21">
        <v>0.81</v>
      </c>
      <c r="M2" s="21">
        <v>0</v>
      </c>
      <c r="N2" s="21">
        <v>3</v>
      </c>
      <c r="O2" s="21">
        <v>13</v>
      </c>
      <c r="P2" s="22">
        <v>16</v>
      </c>
      <c r="Q2" s="38" t="str">
        <f t="shared" ref="Q2:Q65" si="0">IF(H2&gt;=6,"Weekend","Weekday")</f>
        <v>Weekend</v>
      </c>
    </row>
    <row r="3" spans="1:23">
      <c r="A3" s="1">
        <v>2</v>
      </c>
      <c r="B3" s="2">
        <v>40544</v>
      </c>
      <c r="C3" s="1">
        <v>1</v>
      </c>
      <c r="D3" s="1">
        <v>0</v>
      </c>
      <c r="E3" s="1">
        <v>1</v>
      </c>
      <c r="F3" s="1">
        <v>1</v>
      </c>
      <c r="G3" s="1" t="b">
        <v>0</v>
      </c>
      <c r="H3" s="1">
        <v>6</v>
      </c>
      <c r="I3" s="1">
        <v>1</v>
      </c>
      <c r="J3" s="1">
        <v>0.22</v>
      </c>
      <c r="K3" s="20">
        <v>0.2727</v>
      </c>
      <c r="L3" s="23">
        <v>0.8</v>
      </c>
      <c r="M3" s="23">
        <v>0</v>
      </c>
      <c r="N3" s="23">
        <v>8</v>
      </c>
      <c r="O3" s="23">
        <v>32</v>
      </c>
      <c r="P3" s="24">
        <v>40</v>
      </c>
      <c r="Q3" s="38" t="str">
        <f t="shared" si="0"/>
        <v>Weekend</v>
      </c>
      <c r="S3" s="94" t="s">
        <v>94</v>
      </c>
      <c r="T3" s="95"/>
      <c r="U3" s="95"/>
      <c r="V3" s="96"/>
      <c r="W3" s="7"/>
    </row>
    <row r="4" spans="1:23">
      <c r="A4" s="1">
        <v>3</v>
      </c>
      <c r="B4" s="2">
        <v>40544</v>
      </c>
      <c r="C4" s="1">
        <v>1</v>
      </c>
      <c r="D4" s="1">
        <v>0</v>
      </c>
      <c r="E4" s="1">
        <v>1</v>
      </c>
      <c r="F4" s="1">
        <v>2</v>
      </c>
      <c r="G4" s="1" t="b">
        <v>0</v>
      </c>
      <c r="H4" s="1">
        <v>6</v>
      </c>
      <c r="I4" s="1">
        <v>1</v>
      </c>
      <c r="J4" s="1">
        <v>0.22</v>
      </c>
      <c r="K4" s="19">
        <v>0.2727</v>
      </c>
      <c r="L4" s="21">
        <v>0.8</v>
      </c>
      <c r="M4" s="21">
        <v>0</v>
      </c>
      <c r="N4" s="21">
        <v>5</v>
      </c>
      <c r="O4" s="21">
        <v>27</v>
      </c>
      <c r="P4" s="22">
        <v>32</v>
      </c>
      <c r="Q4" s="38" t="str">
        <f t="shared" si="0"/>
        <v>Weekend</v>
      </c>
      <c r="S4" s="97"/>
      <c r="T4" s="98"/>
      <c r="U4" s="98"/>
      <c r="V4" s="99"/>
    </row>
    <row r="5" spans="1:23">
      <c r="A5" s="1">
        <v>4</v>
      </c>
      <c r="B5" s="2">
        <v>40544</v>
      </c>
      <c r="C5" s="1">
        <v>1</v>
      </c>
      <c r="D5" s="1">
        <v>0</v>
      </c>
      <c r="E5" s="1">
        <v>1</v>
      </c>
      <c r="F5" s="1">
        <v>3</v>
      </c>
      <c r="G5" s="1" t="b">
        <v>0</v>
      </c>
      <c r="H5" s="1">
        <v>6</v>
      </c>
      <c r="I5" s="1">
        <v>1</v>
      </c>
      <c r="J5" s="1">
        <v>0.24</v>
      </c>
      <c r="K5" s="20">
        <v>0.28789999999999999</v>
      </c>
      <c r="L5" s="23">
        <v>0.75</v>
      </c>
      <c r="M5" s="23">
        <v>0</v>
      </c>
      <c r="N5" s="23">
        <v>3</v>
      </c>
      <c r="O5" s="23">
        <v>10</v>
      </c>
      <c r="P5" s="24">
        <v>13</v>
      </c>
      <c r="Q5" s="38" t="str">
        <f t="shared" si="0"/>
        <v>Weekend</v>
      </c>
      <c r="S5" s="100" t="s">
        <v>91</v>
      </c>
      <c r="T5" s="101"/>
      <c r="U5" s="100" t="s">
        <v>92</v>
      </c>
      <c r="V5" s="101"/>
    </row>
    <row r="6" spans="1:23">
      <c r="A6" s="1">
        <v>5</v>
      </c>
      <c r="B6" s="2">
        <v>40544</v>
      </c>
      <c r="C6" s="1">
        <v>1</v>
      </c>
      <c r="D6" s="1">
        <v>0</v>
      </c>
      <c r="E6" s="1">
        <v>1</v>
      </c>
      <c r="F6" s="1">
        <v>4</v>
      </c>
      <c r="G6" s="1" t="b">
        <v>0</v>
      </c>
      <c r="H6" s="1">
        <v>6</v>
      </c>
      <c r="I6" s="1">
        <v>1</v>
      </c>
      <c r="J6" s="1">
        <v>0.24</v>
      </c>
      <c r="K6" s="19">
        <v>0.28789999999999999</v>
      </c>
      <c r="L6" s="21">
        <v>0.75</v>
      </c>
      <c r="M6" s="21">
        <v>0</v>
      </c>
      <c r="N6" s="21">
        <v>0</v>
      </c>
      <c r="O6" s="21">
        <v>1</v>
      </c>
      <c r="P6" s="22">
        <v>1</v>
      </c>
      <c r="Q6" s="38" t="str">
        <f t="shared" si="0"/>
        <v>Weekend</v>
      </c>
      <c r="S6" s="102"/>
      <c r="T6" s="103"/>
      <c r="U6" s="102"/>
      <c r="V6" s="103"/>
    </row>
    <row r="7" spans="1:23">
      <c r="A7" s="1">
        <v>6</v>
      </c>
      <c r="B7" s="2">
        <v>40544</v>
      </c>
      <c r="C7" s="1">
        <v>1</v>
      </c>
      <c r="D7" s="1">
        <v>0</v>
      </c>
      <c r="E7" s="1">
        <v>1</v>
      </c>
      <c r="F7" s="1">
        <v>5</v>
      </c>
      <c r="G7" s="1" t="b">
        <v>0</v>
      </c>
      <c r="H7" s="1">
        <v>6</v>
      </c>
      <c r="I7" s="1">
        <v>2</v>
      </c>
      <c r="J7" s="1">
        <v>0.24</v>
      </c>
      <c r="K7" s="20">
        <v>0.2576</v>
      </c>
      <c r="L7" s="23">
        <v>0.75</v>
      </c>
      <c r="M7" s="23">
        <v>8.9599999999999999E-2</v>
      </c>
      <c r="N7" s="23">
        <v>0</v>
      </c>
      <c r="O7" s="23">
        <v>1</v>
      </c>
      <c r="P7" s="24">
        <v>1</v>
      </c>
      <c r="Q7" s="38" t="str">
        <f t="shared" si="0"/>
        <v>Weekend</v>
      </c>
      <c r="S7" s="104" t="s">
        <v>95</v>
      </c>
      <c r="T7" s="105"/>
      <c r="U7" s="89">
        <f>SUM(P:P)</f>
        <v>58304</v>
      </c>
      <c r="V7" s="90"/>
    </row>
    <row r="8" spans="1:23">
      <c r="A8" s="1">
        <v>7</v>
      </c>
      <c r="B8" s="2">
        <v>40544</v>
      </c>
      <c r="C8" s="1">
        <v>1</v>
      </c>
      <c r="D8" s="1">
        <v>0</v>
      </c>
      <c r="E8" s="1">
        <v>1</v>
      </c>
      <c r="F8" s="1">
        <v>6</v>
      </c>
      <c r="G8" s="1" t="b">
        <v>0</v>
      </c>
      <c r="H8" s="1">
        <v>6</v>
      </c>
      <c r="I8" s="1">
        <v>1</v>
      </c>
      <c r="J8" s="1">
        <v>0.22</v>
      </c>
      <c r="K8" s="19">
        <v>0.2727</v>
      </c>
      <c r="L8" s="21">
        <v>0.8</v>
      </c>
      <c r="M8" s="21">
        <v>0</v>
      </c>
      <c r="N8" s="21">
        <v>2</v>
      </c>
      <c r="O8" s="21">
        <v>0</v>
      </c>
      <c r="P8" s="22">
        <v>2</v>
      </c>
      <c r="Q8" s="38" t="str">
        <f t="shared" si="0"/>
        <v>Weekend</v>
      </c>
      <c r="S8" s="106"/>
      <c r="T8" s="107"/>
      <c r="U8" s="91"/>
      <c r="V8" s="92"/>
    </row>
    <row r="9" spans="1:23">
      <c r="A9" s="1">
        <v>8</v>
      </c>
      <c r="B9" s="2">
        <v>40544</v>
      </c>
      <c r="C9" s="1">
        <v>1</v>
      </c>
      <c r="D9" s="1">
        <v>0</v>
      </c>
      <c r="E9" s="1">
        <v>1</v>
      </c>
      <c r="F9" s="1">
        <v>7</v>
      </c>
      <c r="G9" s="1" t="b">
        <v>0</v>
      </c>
      <c r="H9" s="1">
        <v>6</v>
      </c>
      <c r="I9" s="1">
        <v>1</v>
      </c>
      <c r="J9" s="1">
        <v>0.2</v>
      </c>
      <c r="K9" s="20">
        <v>0.2576</v>
      </c>
      <c r="L9" s="23">
        <v>0.86</v>
      </c>
      <c r="M9" s="23">
        <v>0</v>
      </c>
      <c r="N9" s="23">
        <v>1</v>
      </c>
      <c r="O9" s="23">
        <v>2</v>
      </c>
      <c r="P9" s="24">
        <v>3</v>
      </c>
      <c r="Q9" s="38" t="str">
        <f t="shared" si="0"/>
        <v>Weekend</v>
      </c>
      <c r="S9" s="108" t="s">
        <v>96</v>
      </c>
      <c r="T9" s="109"/>
      <c r="U9" s="89">
        <f>AVERAGE(P:P)</f>
        <v>58.304000000000002</v>
      </c>
      <c r="V9" s="90"/>
    </row>
    <row r="10" spans="1:23">
      <c r="A10" s="1">
        <v>9</v>
      </c>
      <c r="B10" s="2">
        <v>40544</v>
      </c>
      <c r="C10" s="1">
        <v>1</v>
      </c>
      <c r="D10" s="1">
        <v>0</v>
      </c>
      <c r="E10" s="1">
        <v>1</v>
      </c>
      <c r="F10" s="1">
        <v>8</v>
      </c>
      <c r="G10" s="1" t="b">
        <v>0</v>
      </c>
      <c r="H10" s="1">
        <v>6</v>
      </c>
      <c r="I10" s="1">
        <v>1</v>
      </c>
      <c r="J10" s="1">
        <v>0.24</v>
      </c>
      <c r="K10" s="19">
        <v>0</v>
      </c>
      <c r="L10" s="21">
        <v>0.75</v>
      </c>
      <c r="M10" s="21">
        <v>0</v>
      </c>
      <c r="N10" s="21">
        <v>1</v>
      </c>
      <c r="O10" s="21">
        <v>7</v>
      </c>
      <c r="P10" s="22">
        <v>8</v>
      </c>
      <c r="Q10" s="38" t="str">
        <f t="shared" si="0"/>
        <v>Weekend</v>
      </c>
      <c r="S10" s="110"/>
      <c r="T10" s="111"/>
      <c r="U10" s="91"/>
      <c r="V10" s="92"/>
    </row>
    <row r="11" spans="1:23">
      <c r="A11" s="1">
        <v>10</v>
      </c>
      <c r="B11" s="2">
        <v>40544</v>
      </c>
      <c r="C11" s="1">
        <v>1</v>
      </c>
      <c r="D11" s="1">
        <v>0</v>
      </c>
      <c r="E11" s="1">
        <v>1</v>
      </c>
      <c r="F11" s="1">
        <v>9</v>
      </c>
      <c r="G11" s="1" t="b">
        <v>0</v>
      </c>
      <c r="H11" s="1">
        <v>6</v>
      </c>
      <c r="I11" s="1">
        <v>1</v>
      </c>
      <c r="J11" s="1">
        <v>0.32</v>
      </c>
      <c r="K11" s="20">
        <v>0.34849999999999998</v>
      </c>
      <c r="L11" s="23">
        <v>0.76</v>
      </c>
      <c r="M11" s="23">
        <v>0</v>
      </c>
      <c r="N11" s="23">
        <v>8</v>
      </c>
      <c r="O11" s="23">
        <v>6</v>
      </c>
      <c r="P11" s="24">
        <v>14</v>
      </c>
      <c r="Q11" s="38" t="str">
        <f t="shared" si="0"/>
        <v>Weekend</v>
      </c>
      <c r="S11" s="84" t="s">
        <v>97</v>
      </c>
      <c r="T11" s="85"/>
      <c r="U11" s="89">
        <f>MAX(P:P)</f>
        <v>249</v>
      </c>
      <c r="V11" s="90"/>
    </row>
    <row r="12" spans="1:23">
      <c r="A12" s="1">
        <v>11</v>
      </c>
      <c r="B12" s="2">
        <v>40544</v>
      </c>
      <c r="C12" s="1">
        <v>1</v>
      </c>
      <c r="D12" s="1">
        <v>0</v>
      </c>
      <c r="E12" s="1">
        <v>1</v>
      </c>
      <c r="F12" s="1">
        <v>10</v>
      </c>
      <c r="G12" s="1" t="b">
        <v>0</v>
      </c>
      <c r="H12" s="1">
        <v>6</v>
      </c>
      <c r="I12" s="1">
        <v>1</v>
      </c>
      <c r="J12" s="1">
        <v>0.38</v>
      </c>
      <c r="K12" s="19">
        <v>0.39389999999999997</v>
      </c>
      <c r="L12" s="21">
        <v>0.76</v>
      </c>
      <c r="M12" s="21">
        <v>0.25369999999999998</v>
      </c>
      <c r="N12" s="21">
        <v>12</v>
      </c>
      <c r="O12" s="21">
        <v>24</v>
      </c>
      <c r="P12" s="22">
        <v>36</v>
      </c>
      <c r="Q12" s="38" t="str">
        <f t="shared" si="0"/>
        <v>Weekend</v>
      </c>
      <c r="S12" s="86"/>
      <c r="T12" s="87"/>
      <c r="U12" s="91"/>
      <c r="V12" s="92"/>
    </row>
    <row r="13" spans="1:23">
      <c r="A13" s="1">
        <v>12</v>
      </c>
      <c r="B13" s="2">
        <v>40544</v>
      </c>
      <c r="C13" s="1">
        <v>1</v>
      </c>
      <c r="D13" s="1">
        <v>0</v>
      </c>
      <c r="E13" s="1">
        <v>1</v>
      </c>
      <c r="F13" s="1">
        <v>11</v>
      </c>
      <c r="G13" s="1" t="b">
        <v>0</v>
      </c>
      <c r="H13" s="1">
        <v>6</v>
      </c>
      <c r="I13" s="1">
        <v>1</v>
      </c>
      <c r="J13" s="1">
        <v>0.36</v>
      </c>
      <c r="K13" s="20">
        <v>0.33329999999999999</v>
      </c>
      <c r="L13" s="23">
        <v>0.81</v>
      </c>
      <c r="M13" s="23">
        <v>0.28360000000000002</v>
      </c>
      <c r="N13" s="23">
        <v>26</v>
      </c>
      <c r="O13" s="23">
        <v>30</v>
      </c>
      <c r="P13" s="24">
        <v>56</v>
      </c>
      <c r="Q13" s="38" t="str">
        <f t="shared" si="0"/>
        <v>Weekend</v>
      </c>
      <c r="S13" s="88" t="s">
        <v>98</v>
      </c>
      <c r="T13" s="88"/>
      <c r="U13" s="93">
        <f>MIN(P:P)</f>
        <v>1</v>
      </c>
      <c r="V13" s="93"/>
    </row>
    <row r="14" spans="1:23">
      <c r="A14" s="1">
        <v>13</v>
      </c>
      <c r="B14" s="2">
        <v>40544</v>
      </c>
      <c r="C14" s="1">
        <v>1</v>
      </c>
      <c r="D14" s="1">
        <v>0</v>
      </c>
      <c r="E14" s="1">
        <v>1</v>
      </c>
      <c r="F14" s="1">
        <v>12</v>
      </c>
      <c r="G14" s="1" t="b">
        <v>0</v>
      </c>
      <c r="H14" s="1">
        <v>6</v>
      </c>
      <c r="I14" s="1">
        <v>1</v>
      </c>
      <c r="J14" s="1">
        <v>0.42</v>
      </c>
      <c r="K14" s="19">
        <v>0.42420000000000002</v>
      </c>
      <c r="L14" s="21">
        <v>0.77</v>
      </c>
      <c r="M14" s="21">
        <v>0.28360000000000002</v>
      </c>
      <c r="N14" s="21">
        <v>29</v>
      </c>
      <c r="O14" s="21">
        <v>55</v>
      </c>
      <c r="P14" s="22">
        <v>84</v>
      </c>
      <c r="Q14" s="38" t="str">
        <f t="shared" si="0"/>
        <v>Weekend</v>
      </c>
      <c r="S14" s="88"/>
      <c r="T14" s="88"/>
      <c r="U14" s="93"/>
      <c r="V14" s="93"/>
    </row>
    <row r="15" spans="1:23">
      <c r="A15" s="1">
        <v>14</v>
      </c>
      <c r="B15" s="2">
        <v>40544</v>
      </c>
      <c r="C15" s="1">
        <v>1</v>
      </c>
      <c r="D15" s="1">
        <v>0</v>
      </c>
      <c r="E15" s="1">
        <v>1</v>
      </c>
      <c r="F15" s="1">
        <v>13</v>
      </c>
      <c r="G15" s="1" t="b">
        <v>0</v>
      </c>
      <c r="H15" s="1">
        <v>6</v>
      </c>
      <c r="I15" s="1">
        <v>2</v>
      </c>
      <c r="J15" s="1">
        <v>0.46</v>
      </c>
      <c r="K15" s="20">
        <v>0.45450000000000002</v>
      </c>
      <c r="L15" s="23">
        <v>0.72</v>
      </c>
      <c r="M15" s="23">
        <v>0.29849999999999999</v>
      </c>
      <c r="N15" s="23">
        <v>47</v>
      </c>
      <c r="O15" s="23">
        <v>47</v>
      </c>
      <c r="P15" s="24">
        <v>94</v>
      </c>
      <c r="Q15" s="38" t="str">
        <f t="shared" si="0"/>
        <v>Weekend</v>
      </c>
      <c r="S15" s="7"/>
      <c r="T15" s="7"/>
      <c r="U15" s="7"/>
      <c r="V15" s="7"/>
    </row>
    <row r="16" spans="1:23">
      <c r="A16" s="1">
        <v>15</v>
      </c>
      <c r="B16" s="2">
        <v>40544</v>
      </c>
      <c r="C16" s="1">
        <v>1</v>
      </c>
      <c r="D16" s="1">
        <v>0</v>
      </c>
      <c r="E16" s="1">
        <v>1</v>
      </c>
      <c r="F16" s="1">
        <v>14</v>
      </c>
      <c r="G16" s="1" t="b">
        <v>0</v>
      </c>
      <c r="H16" s="1">
        <v>6</v>
      </c>
      <c r="I16" s="1">
        <v>2</v>
      </c>
      <c r="J16" s="1">
        <v>0.46</v>
      </c>
      <c r="K16" s="19">
        <v>0.45450000000000002</v>
      </c>
      <c r="L16" s="21">
        <v>0.72</v>
      </c>
      <c r="M16" s="21">
        <v>0.28360000000000002</v>
      </c>
      <c r="N16" s="21">
        <v>35</v>
      </c>
      <c r="O16" s="21">
        <v>71</v>
      </c>
      <c r="P16" s="22">
        <v>106</v>
      </c>
      <c r="Q16" s="38" t="str">
        <f t="shared" si="0"/>
        <v>Weekend</v>
      </c>
    </row>
    <row r="17" spans="1:17">
      <c r="A17" s="1">
        <v>16</v>
      </c>
      <c r="B17" s="2">
        <v>40544</v>
      </c>
      <c r="C17" s="1">
        <v>1</v>
      </c>
      <c r="D17" s="1">
        <v>0</v>
      </c>
      <c r="E17" s="1">
        <v>1</v>
      </c>
      <c r="F17" s="1">
        <v>15</v>
      </c>
      <c r="G17" s="1" t="b">
        <v>0</v>
      </c>
      <c r="H17" s="1">
        <v>6</v>
      </c>
      <c r="I17" s="1">
        <v>2</v>
      </c>
      <c r="J17" s="1">
        <v>0.44</v>
      </c>
      <c r="K17" s="20">
        <v>0.43940000000000001</v>
      </c>
      <c r="L17" s="23">
        <v>0.77</v>
      </c>
      <c r="M17" s="23">
        <v>0.29849999999999999</v>
      </c>
      <c r="N17" s="23">
        <v>40</v>
      </c>
      <c r="O17" s="23">
        <v>70</v>
      </c>
      <c r="P17" s="24">
        <v>110</v>
      </c>
      <c r="Q17" s="38" t="str">
        <f t="shared" si="0"/>
        <v>Weekend</v>
      </c>
    </row>
    <row r="18" spans="1:17">
      <c r="A18" s="1">
        <v>17</v>
      </c>
      <c r="B18" s="2">
        <v>40544</v>
      </c>
      <c r="C18" s="1">
        <v>1</v>
      </c>
      <c r="D18" s="1">
        <v>0</v>
      </c>
      <c r="E18" s="1">
        <v>1</v>
      </c>
      <c r="F18" s="1">
        <v>16</v>
      </c>
      <c r="G18" s="1" t="b">
        <v>0</v>
      </c>
      <c r="H18" s="1">
        <v>6</v>
      </c>
      <c r="I18" s="1">
        <v>2</v>
      </c>
      <c r="J18" s="1">
        <v>0.42</v>
      </c>
      <c r="K18" s="19">
        <v>0.42420000000000002</v>
      </c>
      <c r="L18" s="21">
        <v>0.82</v>
      </c>
      <c r="M18" s="21">
        <v>0.29849999999999999</v>
      </c>
      <c r="N18" s="21">
        <v>41</v>
      </c>
      <c r="O18" s="21">
        <v>52</v>
      </c>
      <c r="P18" s="22">
        <v>93</v>
      </c>
      <c r="Q18" s="38" t="str">
        <f t="shared" si="0"/>
        <v>Weekend</v>
      </c>
    </row>
    <row r="19" spans="1:17">
      <c r="A19" s="1">
        <v>18</v>
      </c>
      <c r="B19" s="2">
        <v>40544</v>
      </c>
      <c r="C19" s="1">
        <v>1</v>
      </c>
      <c r="D19" s="1">
        <v>0</v>
      </c>
      <c r="E19" s="1">
        <v>1</v>
      </c>
      <c r="F19" s="1">
        <v>17</v>
      </c>
      <c r="G19" s="1" t="b">
        <v>0</v>
      </c>
      <c r="H19" s="1">
        <v>6</v>
      </c>
      <c r="I19" s="1">
        <v>2</v>
      </c>
      <c r="J19" s="1">
        <v>0.44</v>
      </c>
      <c r="K19" s="20">
        <v>0</v>
      </c>
      <c r="L19" s="23">
        <v>0.82</v>
      </c>
      <c r="M19" s="23">
        <v>0.28360000000000002</v>
      </c>
      <c r="N19" s="23">
        <v>15</v>
      </c>
      <c r="O19" s="23">
        <v>52</v>
      </c>
      <c r="P19" s="24">
        <v>67</v>
      </c>
      <c r="Q19" s="38" t="str">
        <f t="shared" si="0"/>
        <v>Weekend</v>
      </c>
    </row>
    <row r="20" spans="1:17">
      <c r="A20" s="1">
        <v>19</v>
      </c>
      <c r="B20" s="2">
        <v>40544</v>
      </c>
      <c r="C20" s="1">
        <v>1</v>
      </c>
      <c r="D20" s="1">
        <v>0</v>
      </c>
      <c r="E20" s="1">
        <v>1</v>
      </c>
      <c r="F20" s="1">
        <v>18</v>
      </c>
      <c r="G20" s="1" t="b">
        <v>0</v>
      </c>
      <c r="H20" s="1">
        <v>6</v>
      </c>
      <c r="I20" s="1">
        <v>3</v>
      </c>
      <c r="J20" s="1">
        <v>0.42</v>
      </c>
      <c r="K20" s="19">
        <v>0.42420000000000002</v>
      </c>
      <c r="L20" s="21">
        <v>0.88</v>
      </c>
      <c r="M20" s="21">
        <v>0.25369999999999998</v>
      </c>
      <c r="N20" s="21">
        <v>9</v>
      </c>
      <c r="O20" s="21">
        <v>26</v>
      </c>
      <c r="P20" s="22">
        <v>35</v>
      </c>
      <c r="Q20" s="38" t="str">
        <f t="shared" si="0"/>
        <v>Weekend</v>
      </c>
    </row>
    <row r="21" spans="1:17">
      <c r="A21" s="1">
        <v>20</v>
      </c>
      <c r="B21" s="2">
        <v>40544</v>
      </c>
      <c r="C21" s="1">
        <v>1</v>
      </c>
      <c r="D21" s="1">
        <v>0</v>
      </c>
      <c r="E21" s="1">
        <v>1</v>
      </c>
      <c r="F21" s="1">
        <v>19</v>
      </c>
      <c r="G21" s="1" t="b">
        <v>0</v>
      </c>
      <c r="H21" s="1">
        <v>6</v>
      </c>
      <c r="I21" s="1">
        <v>3</v>
      </c>
      <c r="J21" s="1">
        <v>0.42</v>
      </c>
      <c r="K21" s="20">
        <v>0.42420000000000002</v>
      </c>
      <c r="L21" s="23">
        <v>0.88</v>
      </c>
      <c r="M21" s="23">
        <v>0.25369999999999998</v>
      </c>
      <c r="N21" s="23">
        <v>6</v>
      </c>
      <c r="O21" s="23">
        <v>31</v>
      </c>
      <c r="P21" s="24">
        <v>37</v>
      </c>
      <c r="Q21" s="38" t="str">
        <f t="shared" si="0"/>
        <v>Weekend</v>
      </c>
    </row>
    <row r="22" spans="1:17">
      <c r="A22" s="1">
        <v>21</v>
      </c>
      <c r="B22" s="2">
        <v>40544</v>
      </c>
      <c r="C22" s="1">
        <v>1</v>
      </c>
      <c r="D22" s="1">
        <v>0</v>
      </c>
      <c r="E22" s="1">
        <v>1</v>
      </c>
      <c r="F22" s="1">
        <v>20</v>
      </c>
      <c r="G22" s="1" t="b">
        <v>0</v>
      </c>
      <c r="H22" s="1">
        <v>6</v>
      </c>
      <c r="I22" s="1">
        <v>2</v>
      </c>
      <c r="J22" s="1">
        <v>0.4</v>
      </c>
      <c r="K22" s="19">
        <v>0.40910000000000002</v>
      </c>
      <c r="L22" s="21">
        <v>0.87</v>
      </c>
      <c r="M22" s="21">
        <v>0.25369999999999998</v>
      </c>
      <c r="N22" s="21">
        <v>11</v>
      </c>
      <c r="O22" s="21">
        <v>25</v>
      </c>
      <c r="P22" s="22">
        <v>36</v>
      </c>
      <c r="Q22" s="38" t="str">
        <f t="shared" si="0"/>
        <v>Weekend</v>
      </c>
    </row>
    <row r="23" spans="1:17">
      <c r="A23" s="1">
        <v>22</v>
      </c>
      <c r="B23" s="2">
        <v>40544</v>
      </c>
      <c r="C23" s="1">
        <v>1</v>
      </c>
      <c r="D23" s="1">
        <v>0</v>
      </c>
      <c r="E23" s="1">
        <v>1</v>
      </c>
      <c r="F23" s="1">
        <v>21</v>
      </c>
      <c r="G23" s="1" t="b">
        <v>0</v>
      </c>
      <c r="H23" s="1">
        <v>6</v>
      </c>
      <c r="I23" s="1">
        <v>2</v>
      </c>
      <c r="J23" s="1">
        <v>0.4</v>
      </c>
      <c r="K23" s="20">
        <v>0.40910000000000002</v>
      </c>
      <c r="L23" s="23">
        <v>0.87</v>
      </c>
      <c r="M23" s="23">
        <v>0.19400000000000001</v>
      </c>
      <c r="N23" s="23">
        <v>3</v>
      </c>
      <c r="O23" s="23">
        <v>31</v>
      </c>
      <c r="P23" s="24">
        <v>34</v>
      </c>
      <c r="Q23" s="38" t="str">
        <f t="shared" si="0"/>
        <v>Weekend</v>
      </c>
    </row>
    <row r="24" spans="1:17">
      <c r="A24" s="1">
        <v>23</v>
      </c>
      <c r="B24" s="2">
        <v>40544</v>
      </c>
      <c r="C24" s="1">
        <v>1</v>
      </c>
      <c r="D24" s="1">
        <v>0</v>
      </c>
      <c r="E24" s="1">
        <v>1</v>
      </c>
      <c r="F24" s="1">
        <v>22</v>
      </c>
      <c r="G24" s="1" t="b">
        <v>0</v>
      </c>
      <c r="H24" s="1">
        <v>6</v>
      </c>
      <c r="I24" s="1">
        <v>2</v>
      </c>
      <c r="J24" s="1">
        <v>0.4</v>
      </c>
      <c r="K24" s="19">
        <v>0.40910000000000002</v>
      </c>
      <c r="L24" s="21">
        <v>0.94</v>
      </c>
      <c r="M24" s="21">
        <v>0.22389999999999999</v>
      </c>
      <c r="N24" s="21">
        <v>11</v>
      </c>
      <c r="O24" s="21">
        <v>17</v>
      </c>
      <c r="P24" s="22">
        <v>28</v>
      </c>
      <c r="Q24" s="38" t="str">
        <f t="shared" si="0"/>
        <v>Weekend</v>
      </c>
    </row>
    <row r="25" spans="1:17">
      <c r="A25" s="1">
        <v>24</v>
      </c>
      <c r="B25" s="2">
        <v>40544</v>
      </c>
      <c r="C25" s="1">
        <v>1</v>
      </c>
      <c r="D25" s="1">
        <v>0</v>
      </c>
      <c r="E25" s="1">
        <v>1</v>
      </c>
      <c r="F25" s="1">
        <v>23</v>
      </c>
      <c r="G25" s="1" t="b">
        <v>0</v>
      </c>
      <c r="H25" s="1">
        <v>6</v>
      </c>
      <c r="I25" s="1">
        <v>2</v>
      </c>
      <c r="J25" s="1">
        <v>0.46</v>
      </c>
      <c r="K25" s="20">
        <v>0</v>
      </c>
      <c r="L25" s="23">
        <v>0.88</v>
      </c>
      <c r="M25" s="23">
        <v>0.29849999999999999</v>
      </c>
      <c r="N25" s="23">
        <v>15</v>
      </c>
      <c r="O25" s="23">
        <v>24</v>
      </c>
      <c r="P25" s="24">
        <v>39</v>
      </c>
      <c r="Q25" s="38" t="str">
        <f t="shared" si="0"/>
        <v>Weekend</v>
      </c>
    </row>
    <row r="26" spans="1:17">
      <c r="A26" s="1">
        <v>25</v>
      </c>
      <c r="B26" s="2">
        <v>40545</v>
      </c>
      <c r="C26" s="1">
        <v>1</v>
      </c>
      <c r="D26" s="1">
        <v>0</v>
      </c>
      <c r="E26" s="1">
        <v>1</v>
      </c>
      <c r="F26" s="1">
        <v>0</v>
      </c>
      <c r="G26" s="1" t="b">
        <v>0</v>
      </c>
      <c r="H26" s="1">
        <v>0</v>
      </c>
      <c r="I26" s="1">
        <v>2</v>
      </c>
      <c r="J26" s="1">
        <v>0.46</v>
      </c>
      <c r="K26" s="19">
        <v>0.45450000000000002</v>
      </c>
      <c r="L26" s="21">
        <v>0.88</v>
      </c>
      <c r="M26" s="21">
        <v>0.29849999999999999</v>
      </c>
      <c r="N26" s="21">
        <v>4</v>
      </c>
      <c r="O26" s="21">
        <v>13</v>
      </c>
      <c r="P26" s="22">
        <v>17</v>
      </c>
      <c r="Q26" s="38" t="str">
        <f t="shared" si="0"/>
        <v>Weekday</v>
      </c>
    </row>
    <row r="27" spans="1:17">
      <c r="A27" s="1">
        <v>26</v>
      </c>
      <c r="B27" s="2">
        <v>40545</v>
      </c>
      <c r="C27" s="1">
        <v>1</v>
      </c>
      <c r="D27" s="1">
        <v>0</v>
      </c>
      <c r="E27" s="1">
        <v>1</v>
      </c>
      <c r="F27" s="1">
        <v>1</v>
      </c>
      <c r="G27" s="1" t="b">
        <v>0</v>
      </c>
      <c r="H27" s="1">
        <v>0</v>
      </c>
      <c r="I27" s="1">
        <v>2</v>
      </c>
      <c r="J27" s="1">
        <v>0.44</v>
      </c>
      <c r="K27" s="20">
        <v>0.43940000000000001</v>
      </c>
      <c r="L27" s="23">
        <v>0.94</v>
      </c>
      <c r="M27" s="23">
        <v>0.25369999999999998</v>
      </c>
      <c r="N27" s="23">
        <v>1</v>
      </c>
      <c r="O27" s="23">
        <v>16</v>
      </c>
      <c r="P27" s="24">
        <v>17</v>
      </c>
      <c r="Q27" s="38" t="str">
        <f t="shared" si="0"/>
        <v>Weekday</v>
      </c>
    </row>
    <row r="28" spans="1:17">
      <c r="A28" s="1">
        <v>27</v>
      </c>
      <c r="B28" s="2">
        <v>40545</v>
      </c>
      <c r="C28" s="1">
        <v>1</v>
      </c>
      <c r="D28" s="1">
        <v>0</v>
      </c>
      <c r="E28" s="1">
        <v>1</v>
      </c>
      <c r="F28" s="1">
        <v>2</v>
      </c>
      <c r="G28" s="1" t="b">
        <v>0</v>
      </c>
      <c r="H28" s="1">
        <v>0</v>
      </c>
      <c r="I28" s="1">
        <v>2</v>
      </c>
      <c r="J28" s="1">
        <v>0.42</v>
      </c>
      <c r="K28" s="19">
        <v>0.42420000000000002</v>
      </c>
      <c r="L28" s="21">
        <v>1</v>
      </c>
      <c r="M28" s="21">
        <v>0.28360000000000002</v>
      </c>
      <c r="N28" s="21">
        <v>1</v>
      </c>
      <c r="O28" s="21">
        <v>8</v>
      </c>
      <c r="P28" s="22">
        <v>9</v>
      </c>
      <c r="Q28" s="38" t="str">
        <f t="shared" si="0"/>
        <v>Weekday</v>
      </c>
    </row>
    <row r="29" spans="1:17">
      <c r="A29" s="1">
        <v>28</v>
      </c>
      <c r="B29" s="2">
        <v>40545</v>
      </c>
      <c r="C29" s="1">
        <v>1</v>
      </c>
      <c r="D29" s="1">
        <v>0</v>
      </c>
      <c r="E29" s="1">
        <v>1</v>
      </c>
      <c r="F29" s="1">
        <v>3</v>
      </c>
      <c r="G29" s="1" t="b">
        <v>0</v>
      </c>
      <c r="H29" s="1">
        <v>0</v>
      </c>
      <c r="I29" s="1">
        <v>2</v>
      </c>
      <c r="J29" s="1">
        <v>0.46</v>
      </c>
      <c r="K29" s="20">
        <v>0.45450000000000002</v>
      </c>
      <c r="L29" s="23">
        <v>0.94</v>
      </c>
      <c r="M29" s="23">
        <v>0.19400000000000001</v>
      </c>
      <c r="N29" s="23">
        <v>2</v>
      </c>
      <c r="O29" s="23">
        <v>4</v>
      </c>
      <c r="P29" s="24">
        <v>6</v>
      </c>
      <c r="Q29" s="38" t="str">
        <f t="shared" si="0"/>
        <v>Weekday</v>
      </c>
    </row>
    <row r="30" spans="1:17">
      <c r="A30" s="1">
        <v>29</v>
      </c>
      <c r="B30" s="2">
        <v>40545</v>
      </c>
      <c r="C30" s="1">
        <v>1</v>
      </c>
      <c r="D30" s="1">
        <v>0</v>
      </c>
      <c r="E30" s="1">
        <v>1</v>
      </c>
      <c r="F30" s="1">
        <v>4</v>
      </c>
      <c r="G30" s="1" t="b">
        <v>0</v>
      </c>
      <c r="H30" s="1">
        <v>0</v>
      </c>
      <c r="I30" s="1">
        <v>2</v>
      </c>
      <c r="J30" s="1">
        <v>0.46</v>
      </c>
      <c r="K30" s="19">
        <v>0</v>
      </c>
      <c r="L30" s="21">
        <v>0.94</v>
      </c>
      <c r="M30" s="21">
        <v>0.19400000000000001</v>
      </c>
      <c r="N30" s="21">
        <v>2</v>
      </c>
      <c r="O30" s="21">
        <v>1</v>
      </c>
      <c r="P30" s="22">
        <v>3</v>
      </c>
      <c r="Q30" s="38" t="str">
        <f t="shared" si="0"/>
        <v>Weekday</v>
      </c>
    </row>
    <row r="31" spans="1:17">
      <c r="A31" s="1">
        <v>30</v>
      </c>
      <c r="B31" s="2">
        <v>40545</v>
      </c>
      <c r="C31" s="1">
        <v>1</v>
      </c>
      <c r="D31" s="1">
        <v>0</v>
      </c>
      <c r="E31" s="1">
        <v>1</v>
      </c>
      <c r="F31" s="1">
        <v>6</v>
      </c>
      <c r="G31" s="1" t="b">
        <v>0</v>
      </c>
      <c r="H31" s="1">
        <v>0</v>
      </c>
      <c r="I31" s="1">
        <v>3</v>
      </c>
      <c r="J31" s="1">
        <v>0.42</v>
      </c>
      <c r="K31" s="20">
        <v>0.42420000000000002</v>
      </c>
      <c r="L31" s="23">
        <v>0.77</v>
      </c>
      <c r="M31" s="23">
        <v>0.29849999999999999</v>
      </c>
      <c r="N31" s="23">
        <v>0</v>
      </c>
      <c r="O31" s="23">
        <v>2</v>
      </c>
      <c r="P31" s="24">
        <v>2</v>
      </c>
      <c r="Q31" s="38" t="str">
        <f t="shared" si="0"/>
        <v>Weekday</v>
      </c>
    </row>
    <row r="32" spans="1:17">
      <c r="A32" s="1">
        <v>31</v>
      </c>
      <c r="B32" s="2">
        <v>40545</v>
      </c>
      <c r="C32" s="1">
        <v>1</v>
      </c>
      <c r="D32" s="1">
        <v>0</v>
      </c>
      <c r="E32" s="1">
        <v>1</v>
      </c>
      <c r="F32" s="1">
        <v>7</v>
      </c>
      <c r="G32" s="1" t="b">
        <v>0</v>
      </c>
      <c r="H32" s="1">
        <v>0</v>
      </c>
      <c r="I32" s="1">
        <v>2</v>
      </c>
      <c r="J32" s="1">
        <v>0.4</v>
      </c>
      <c r="K32" s="19">
        <v>0.40910000000000002</v>
      </c>
      <c r="L32" s="21">
        <v>0.76</v>
      </c>
      <c r="M32" s="21">
        <v>0.19400000000000001</v>
      </c>
      <c r="N32" s="21">
        <v>0</v>
      </c>
      <c r="O32" s="21">
        <v>1</v>
      </c>
      <c r="P32" s="22">
        <v>1</v>
      </c>
      <c r="Q32" s="38" t="str">
        <f t="shared" si="0"/>
        <v>Weekday</v>
      </c>
    </row>
    <row r="33" spans="1:17">
      <c r="A33" s="1">
        <v>32</v>
      </c>
      <c r="B33" s="2">
        <v>40545</v>
      </c>
      <c r="C33" s="1">
        <v>1</v>
      </c>
      <c r="D33" s="1">
        <v>0</v>
      </c>
      <c r="E33" s="1">
        <v>1</v>
      </c>
      <c r="F33" s="1">
        <v>8</v>
      </c>
      <c r="G33" s="1" t="b">
        <v>0</v>
      </c>
      <c r="H33" s="1">
        <v>0</v>
      </c>
      <c r="I33" s="1">
        <v>3</v>
      </c>
      <c r="J33" s="1">
        <v>0.4</v>
      </c>
      <c r="K33" s="20">
        <v>0.40910000000000002</v>
      </c>
      <c r="L33" s="23">
        <v>0.71</v>
      </c>
      <c r="M33" s="23">
        <v>0.22389999999999999</v>
      </c>
      <c r="N33" s="23">
        <v>0</v>
      </c>
      <c r="O33" s="23">
        <v>8</v>
      </c>
      <c r="P33" s="24">
        <v>8</v>
      </c>
      <c r="Q33" s="38" t="str">
        <f t="shared" si="0"/>
        <v>Weekday</v>
      </c>
    </row>
    <row r="34" spans="1:17">
      <c r="A34" s="1">
        <v>33</v>
      </c>
      <c r="B34" s="2">
        <v>40545</v>
      </c>
      <c r="C34" s="1">
        <v>1</v>
      </c>
      <c r="D34" s="1">
        <v>0</v>
      </c>
      <c r="E34" s="1">
        <v>1</v>
      </c>
      <c r="F34" s="1">
        <v>9</v>
      </c>
      <c r="G34" s="1" t="b">
        <v>0</v>
      </c>
      <c r="H34" s="1">
        <v>0</v>
      </c>
      <c r="I34" s="1">
        <v>2</v>
      </c>
      <c r="J34" s="1">
        <v>0.38</v>
      </c>
      <c r="K34" s="19">
        <v>0</v>
      </c>
      <c r="L34" s="21">
        <v>0.76</v>
      </c>
      <c r="M34" s="21">
        <v>0.22389999999999999</v>
      </c>
      <c r="N34" s="21">
        <v>1</v>
      </c>
      <c r="O34" s="21">
        <v>19</v>
      </c>
      <c r="P34" s="22">
        <v>20</v>
      </c>
      <c r="Q34" s="38" t="str">
        <f t="shared" si="0"/>
        <v>Weekday</v>
      </c>
    </row>
    <row r="35" spans="1:17">
      <c r="A35" s="1">
        <v>34</v>
      </c>
      <c r="B35" s="2">
        <v>40545</v>
      </c>
      <c r="C35" s="1">
        <v>1</v>
      </c>
      <c r="D35" s="1">
        <v>0</v>
      </c>
      <c r="E35" s="1">
        <v>1</v>
      </c>
      <c r="F35" s="1">
        <v>10</v>
      </c>
      <c r="G35" s="1" t="b">
        <v>0</v>
      </c>
      <c r="H35" s="1">
        <v>0</v>
      </c>
      <c r="I35" s="1">
        <v>2</v>
      </c>
      <c r="J35" s="1">
        <v>0.36</v>
      </c>
      <c r="K35" s="20">
        <v>0.34849999999999998</v>
      </c>
      <c r="L35" s="23">
        <v>0.81</v>
      </c>
      <c r="M35" s="23">
        <v>0.22389999999999999</v>
      </c>
      <c r="N35" s="23">
        <v>7</v>
      </c>
      <c r="O35" s="23">
        <v>46</v>
      </c>
      <c r="P35" s="24">
        <v>53</v>
      </c>
      <c r="Q35" s="38" t="str">
        <f t="shared" si="0"/>
        <v>Weekday</v>
      </c>
    </row>
    <row r="36" spans="1:17">
      <c r="A36" s="1">
        <v>35</v>
      </c>
      <c r="B36" s="2">
        <v>40545</v>
      </c>
      <c r="C36" s="1">
        <v>1</v>
      </c>
      <c r="D36" s="1">
        <v>0</v>
      </c>
      <c r="E36" s="1">
        <v>1</v>
      </c>
      <c r="F36" s="1">
        <v>11</v>
      </c>
      <c r="G36" s="1" t="b">
        <v>0</v>
      </c>
      <c r="H36" s="1">
        <v>0</v>
      </c>
      <c r="I36" s="1">
        <v>2</v>
      </c>
      <c r="J36" s="1">
        <v>0.36</v>
      </c>
      <c r="K36" s="19">
        <v>0.33329999999999999</v>
      </c>
      <c r="L36" s="21">
        <v>0.71</v>
      </c>
      <c r="M36" s="21">
        <v>0.25369999999999998</v>
      </c>
      <c r="N36" s="21">
        <v>16</v>
      </c>
      <c r="O36" s="21">
        <v>54</v>
      </c>
      <c r="P36" s="22">
        <v>70</v>
      </c>
      <c r="Q36" s="38" t="str">
        <f t="shared" si="0"/>
        <v>Weekday</v>
      </c>
    </row>
    <row r="37" spans="1:17">
      <c r="A37" s="1">
        <v>36</v>
      </c>
      <c r="B37" s="2">
        <v>40545</v>
      </c>
      <c r="C37" s="1">
        <v>1</v>
      </c>
      <c r="D37" s="1">
        <v>0</v>
      </c>
      <c r="E37" s="1">
        <v>1</v>
      </c>
      <c r="F37" s="1">
        <v>12</v>
      </c>
      <c r="G37" s="1" t="b">
        <v>0</v>
      </c>
      <c r="H37" s="1">
        <v>0</v>
      </c>
      <c r="I37" s="1">
        <v>2</v>
      </c>
      <c r="J37" s="1">
        <v>0.36</v>
      </c>
      <c r="K37" s="20">
        <v>0.33329999999999999</v>
      </c>
      <c r="L37" s="23">
        <v>0.66</v>
      </c>
      <c r="M37" s="23">
        <v>0.29849999999999999</v>
      </c>
      <c r="N37" s="23">
        <v>20</v>
      </c>
      <c r="O37" s="23">
        <v>73</v>
      </c>
      <c r="P37" s="24">
        <v>93</v>
      </c>
      <c r="Q37" s="38" t="str">
        <f t="shared" si="0"/>
        <v>Weekday</v>
      </c>
    </row>
    <row r="38" spans="1:17">
      <c r="A38" s="1">
        <v>37</v>
      </c>
      <c r="B38" s="2">
        <v>40545</v>
      </c>
      <c r="C38" s="1">
        <v>1</v>
      </c>
      <c r="D38" s="1">
        <v>0</v>
      </c>
      <c r="E38" s="1">
        <v>1</v>
      </c>
      <c r="F38" s="1">
        <v>13</v>
      </c>
      <c r="G38" s="1" t="b">
        <v>0</v>
      </c>
      <c r="H38" s="1">
        <v>0</v>
      </c>
      <c r="I38" s="1">
        <v>2</v>
      </c>
      <c r="J38" s="1">
        <v>0.36</v>
      </c>
      <c r="K38" s="19">
        <v>0.34849999999999998</v>
      </c>
      <c r="L38" s="21">
        <v>0.66</v>
      </c>
      <c r="M38" s="21">
        <v>0.1343</v>
      </c>
      <c r="N38" s="21">
        <v>11</v>
      </c>
      <c r="O38" s="21">
        <v>64</v>
      </c>
      <c r="P38" s="22">
        <v>75</v>
      </c>
      <c r="Q38" s="38" t="str">
        <f t="shared" si="0"/>
        <v>Weekday</v>
      </c>
    </row>
    <row r="39" spans="1:17">
      <c r="A39" s="1">
        <v>38</v>
      </c>
      <c r="B39" s="2">
        <v>40545</v>
      </c>
      <c r="C39" s="1">
        <v>1</v>
      </c>
      <c r="D39" s="1">
        <v>0</v>
      </c>
      <c r="E39" s="1">
        <v>1</v>
      </c>
      <c r="F39" s="1">
        <v>14</v>
      </c>
      <c r="G39" s="1" t="b">
        <v>0</v>
      </c>
      <c r="H39" s="1">
        <v>0</v>
      </c>
      <c r="I39" s="1">
        <v>3</v>
      </c>
      <c r="J39" s="1">
        <v>0.36</v>
      </c>
      <c r="K39" s="20">
        <v>0</v>
      </c>
      <c r="L39" s="23">
        <v>0.76</v>
      </c>
      <c r="M39" s="23">
        <v>0.19400000000000001</v>
      </c>
      <c r="N39" s="23">
        <v>4</v>
      </c>
      <c r="O39" s="23">
        <v>55</v>
      </c>
      <c r="P39" s="24">
        <v>59</v>
      </c>
      <c r="Q39" s="38" t="str">
        <f t="shared" si="0"/>
        <v>Weekday</v>
      </c>
    </row>
    <row r="40" spans="1:17">
      <c r="A40" s="1">
        <v>39</v>
      </c>
      <c r="B40" s="2">
        <v>40545</v>
      </c>
      <c r="C40" s="1">
        <v>1</v>
      </c>
      <c r="D40" s="1">
        <v>0</v>
      </c>
      <c r="E40" s="1">
        <v>1</v>
      </c>
      <c r="F40" s="1">
        <v>15</v>
      </c>
      <c r="G40" s="1" t="b">
        <v>0</v>
      </c>
      <c r="H40" s="1">
        <v>0</v>
      </c>
      <c r="I40" s="1">
        <v>3</v>
      </c>
      <c r="J40" s="1">
        <v>0.34</v>
      </c>
      <c r="K40" s="19">
        <v>0.33329999999999999</v>
      </c>
      <c r="L40" s="21">
        <v>0.81</v>
      </c>
      <c r="M40" s="21">
        <v>0.16420000000000001</v>
      </c>
      <c r="N40" s="21">
        <v>19</v>
      </c>
      <c r="O40" s="21">
        <v>55</v>
      </c>
      <c r="P40" s="22">
        <v>74</v>
      </c>
      <c r="Q40" s="38" t="str">
        <f t="shared" si="0"/>
        <v>Weekday</v>
      </c>
    </row>
    <row r="41" spans="1:17">
      <c r="A41" s="1">
        <v>40</v>
      </c>
      <c r="B41" s="2">
        <v>40545</v>
      </c>
      <c r="C41" s="1">
        <v>1</v>
      </c>
      <c r="D41" s="1">
        <v>0</v>
      </c>
      <c r="E41" s="1">
        <v>1</v>
      </c>
      <c r="F41" s="1">
        <v>16</v>
      </c>
      <c r="G41" s="1" t="b">
        <v>0</v>
      </c>
      <c r="H41" s="1">
        <v>0</v>
      </c>
      <c r="I41" s="1">
        <v>3</v>
      </c>
      <c r="J41" s="1">
        <v>0.34</v>
      </c>
      <c r="K41" s="20">
        <v>0.33329999999999999</v>
      </c>
      <c r="L41" s="23">
        <v>0.71</v>
      </c>
      <c r="M41" s="23">
        <v>0.16420000000000001</v>
      </c>
      <c r="N41" s="23">
        <v>9</v>
      </c>
      <c r="O41" s="23">
        <v>67</v>
      </c>
      <c r="P41" s="24">
        <v>76</v>
      </c>
      <c r="Q41" s="38" t="str">
        <f t="shared" si="0"/>
        <v>Weekday</v>
      </c>
    </row>
    <row r="42" spans="1:17">
      <c r="A42" s="1">
        <v>41</v>
      </c>
      <c r="B42" s="2">
        <v>40545</v>
      </c>
      <c r="C42" s="1">
        <v>1</v>
      </c>
      <c r="D42" s="1">
        <v>0</v>
      </c>
      <c r="E42" s="1">
        <v>1</v>
      </c>
      <c r="F42" s="1">
        <v>17</v>
      </c>
      <c r="G42" s="1" t="b">
        <v>0</v>
      </c>
      <c r="H42" s="1">
        <v>0</v>
      </c>
      <c r="I42" s="1">
        <v>1</v>
      </c>
      <c r="J42" s="1">
        <v>0.34</v>
      </c>
      <c r="K42" s="19">
        <v>0.33329999999999999</v>
      </c>
      <c r="L42" s="21">
        <v>0.56999999999999995</v>
      </c>
      <c r="M42" s="21">
        <v>0.19400000000000001</v>
      </c>
      <c r="N42" s="21">
        <v>7</v>
      </c>
      <c r="O42" s="21">
        <v>58</v>
      </c>
      <c r="P42" s="22">
        <v>65</v>
      </c>
      <c r="Q42" s="38" t="str">
        <f t="shared" si="0"/>
        <v>Weekday</v>
      </c>
    </row>
    <row r="43" spans="1:17">
      <c r="A43" s="1">
        <v>42</v>
      </c>
      <c r="B43" s="2">
        <v>40545</v>
      </c>
      <c r="C43" s="1">
        <v>1</v>
      </c>
      <c r="D43" s="1">
        <v>0</v>
      </c>
      <c r="E43" s="1">
        <v>1</v>
      </c>
      <c r="F43" s="1">
        <v>18</v>
      </c>
      <c r="G43" s="1" t="b">
        <v>0</v>
      </c>
      <c r="H43" s="1">
        <v>0</v>
      </c>
      <c r="I43" s="1">
        <v>2</v>
      </c>
      <c r="J43" s="1">
        <v>0.36</v>
      </c>
      <c r="K43" s="20">
        <v>0.33329999999999999</v>
      </c>
      <c r="L43" s="23">
        <v>0.46</v>
      </c>
      <c r="M43" s="23">
        <v>0.32840000000000003</v>
      </c>
      <c r="N43" s="23">
        <v>10</v>
      </c>
      <c r="O43" s="23">
        <v>43</v>
      </c>
      <c r="P43" s="24">
        <v>53</v>
      </c>
      <c r="Q43" s="38" t="str">
        <f t="shared" si="0"/>
        <v>Weekday</v>
      </c>
    </row>
    <row r="44" spans="1:17">
      <c r="A44" s="1">
        <v>43</v>
      </c>
      <c r="B44" s="2">
        <v>40545</v>
      </c>
      <c r="C44" s="1">
        <v>1</v>
      </c>
      <c r="D44" s="1">
        <v>0</v>
      </c>
      <c r="E44" s="1">
        <v>1</v>
      </c>
      <c r="F44" s="1">
        <v>19</v>
      </c>
      <c r="G44" s="1" t="b">
        <v>0</v>
      </c>
      <c r="H44" s="1">
        <v>0</v>
      </c>
      <c r="I44" s="1">
        <v>1</v>
      </c>
      <c r="J44" s="1">
        <v>0.32</v>
      </c>
      <c r="K44" s="19">
        <v>0.28789999999999999</v>
      </c>
      <c r="L44" s="21">
        <v>0.42</v>
      </c>
      <c r="M44" s="21">
        <v>0.44779999999999998</v>
      </c>
      <c r="N44" s="21">
        <v>1</v>
      </c>
      <c r="O44" s="21">
        <v>29</v>
      </c>
      <c r="P44" s="22">
        <v>30</v>
      </c>
      <c r="Q44" s="38" t="str">
        <f t="shared" si="0"/>
        <v>Weekday</v>
      </c>
    </row>
    <row r="45" spans="1:17">
      <c r="A45" s="1">
        <v>44</v>
      </c>
      <c r="B45" s="2">
        <v>40545</v>
      </c>
      <c r="C45" s="1">
        <v>1</v>
      </c>
      <c r="D45" s="1">
        <v>0</v>
      </c>
      <c r="E45" s="1">
        <v>1</v>
      </c>
      <c r="F45" s="1">
        <v>20</v>
      </c>
      <c r="G45" s="1" t="b">
        <v>0</v>
      </c>
      <c r="H45" s="1">
        <v>0</v>
      </c>
      <c r="I45" s="1">
        <v>1</v>
      </c>
      <c r="J45" s="1">
        <v>0.3</v>
      </c>
      <c r="K45" s="20">
        <v>0</v>
      </c>
      <c r="L45" s="23">
        <v>0.39</v>
      </c>
      <c r="M45" s="23">
        <v>0.35820000000000002</v>
      </c>
      <c r="N45" s="23">
        <v>5</v>
      </c>
      <c r="O45" s="23">
        <v>17</v>
      </c>
      <c r="P45" s="24">
        <v>22</v>
      </c>
      <c r="Q45" s="38" t="str">
        <f t="shared" si="0"/>
        <v>Weekday</v>
      </c>
    </row>
    <row r="46" spans="1:17">
      <c r="A46" s="1">
        <v>45</v>
      </c>
      <c r="B46" s="2">
        <v>40545</v>
      </c>
      <c r="C46" s="1">
        <v>1</v>
      </c>
      <c r="D46" s="1">
        <v>0</v>
      </c>
      <c r="E46" s="1">
        <v>1</v>
      </c>
      <c r="F46" s="1">
        <v>21</v>
      </c>
      <c r="G46" s="1" t="b">
        <v>0</v>
      </c>
      <c r="H46" s="1">
        <v>0</v>
      </c>
      <c r="I46" s="1">
        <v>1</v>
      </c>
      <c r="J46" s="1">
        <v>0.26</v>
      </c>
      <c r="K46" s="19">
        <v>0.2273</v>
      </c>
      <c r="L46" s="21">
        <v>0.44</v>
      </c>
      <c r="M46" s="21">
        <v>0.32840000000000003</v>
      </c>
      <c r="N46" s="21">
        <v>11</v>
      </c>
      <c r="O46" s="21">
        <v>20</v>
      </c>
      <c r="P46" s="22">
        <v>31</v>
      </c>
      <c r="Q46" s="38" t="str">
        <f t="shared" si="0"/>
        <v>Weekday</v>
      </c>
    </row>
    <row r="47" spans="1:17">
      <c r="A47" s="1">
        <v>46</v>
      </c>
      <c r="B47" s="2">
        <v>40545</v>
      </c>
      <c r="C47" s="1">
        <v>1</v>
      </c>
      <c r="D47" s="1">
        <v>0</v>
      </c>
      <c r="E47" s="1">
        <v>1</v>
      </c>
      <c r="F47" s="1">
        <v>22</v>
      </c>
      <c r="G47" s="1" t="b">
        <v>0</v>
      </c>
      <c r="H47" s="1">
        <v>0</v>
      </c>
      <c r="I47" s="1">
        <v>1</v>
      </c>
      <c r="J47" s="1">
        <v>0.24</v>
      </c>
      <c r="K47" s="20">
        <v>0.21210000000000001</v>
      </c>
      <c r="L47" s="23">
        <v>0.44</v>
      </c>
      <c r="M47" s="23">
        <v>0.29849999999999999</v>
      </c>
      <c r="N47" s="23">
        <v>0</v>
      </c>
      <c r="O47" s="23">
        <v>9</v>
      </c>
      <c r="P47" s="24">
        <v>9</v>
      </c>
      <c r="Q47" s="38" t="str">
        <f t="shared" si="0"/>
        <v>Weekday</v>
      </c>
    </row>
    <row r="48" spans="1:17">
      <c r="A48" s="1">
        <v>47</v>
      </c>
      <c r="B48" s="2">
        <v>40545</v>
      </c>
      <c r="C48" s="1">
        <v>1</v>
      </c>
      <c r="D48" s="1">
        <v>0</v>
      </c>
      <c r="E48" s="1">
        <v>1</v>
      </c>
      <c r="F48" s="1">
        <v>23</v>
      </c>
      <c r="G48" s="1" t="b">
        <v>0</v>
      </c>
      <c r="H48" s="1">
        <v>0</v>
      </c>
      <c r="I48" s="1">
        <v>1</v>
      </c>
      <c r="J48" s="1">
        <v>0.22</v>
      </c>
      <c r="K48" s="19">
        <v>0.2273</v>
      </c>
      <c r="L48" s="21">
        <v>0.47</v>
      </c>
      <c r="M48" s="21">
        <v>0.16420000000000001</v>
      </c>
      <c r="N48" s="21">
        <v>0</v>
      </c>
      <c r="O48" s="21">
        <v>8</v>
      </c>
      <c r="P48" s="22">
        <v>8</v>
      </c>
      <c r="Q48" s="38" t="str">
        <f t="shared" si="0"/>
        <v>Weekday</v>
      </c>
    </row>
    <row r="49" spans="1:17">
      <c r="A49" s="1">
        <v>48</v>
      </c>
      <c r="B49" s="2">
        <v>40546</v>
      </c>
      <c r="C49" s="1">
        <v>1</v>
      </c>
      <c r="D49" s="1">
        <v>0</v>
      </c>
      <c r="E49" s="1">
        <v>1</v>
      </c>
      <c r="F49" s="1">
        <v>0</v>
      </c>
      <c r="G49" s="1" t="b">
        <v>0</v>
      </c>
      <c r="H49" s="1">
        <v>1</v>
      </c>
      <c r="I49" s="1">
        <v>1</v>
      </c>
      <c r="J49" s="1">
        <v>0.22</v>
      </c>
      <c r="K49" s="20">
        <v>0.19700000000000001</v>
      </c>
      <c r="L49" s="23">
        <v>0.44</v>
      </c>
      <c r="M49" s="23">
        <v>0.35820000000000002</v>
      </c>
      <c r="N49" s="23">
        <v>0</v>
      </c>
      <c r="O49" s="23">
        <v>5</v>
      </c>
      <c r="P49" s="24">
        <v>5</v>
      </c>
      <c r="Q49" s="38" t="str">
        <f t="shared" si="0"/>
        <v>Weekday</v>
      </c>
    </row>
    <row r="50" spans="1:17">
      <c r="A50" s="1">
        <v>49</v>
      </c>
      <c r="B50" s="2">
        <v>40546</v>
      </c>
      <c r="C50" s="1">
        <v>1</v>
      </c>
      <c r="D50" s="1">
        <v>0</v>
      </c>
      <c r="E50" s="1">
        <v>1</v>
      </c>
      <c r="F50" s="1">
        <v>1</v>
      </c>
      <c r="G50" s="1" t="b">
        <v>0</v>
      </c>
      <c r="H50" s="1">
        <v>1</v>
      </c>
      <c r="I50" s="1">
        <v>1</v>
      </c>
      <c r="J50" s="1">
        <v>0.2</v>
      </c>
      <c r="K50" s="19">
        <v>0</v>
      </c>
      <c r="L50" s="21">
        <v>0.44</v>
      </c>
      <c r="M50" s="21">
        <v>0.41789999999999999</v>
      </c>
      <c r="N50" s="21">
        <v>0</v>
      </c>
      <c r="O50" s="21">
        <v>2</v>
      </c>
      <c r="P50" s="22">
        <v>2</v>
      </c>
      <c r="Q50" s="38" t="str">
        <f t="shared" si="0"/>
        <v>Weekday</v>
      </c>
    </row>
    <row r="51" spans="1:17">
      <c r="A51" s="1">
        <v>50</v>
      </c>
      <c r="B51" s="2">
        <v>40546</v>
      </c>
      <c r="C51" s="1">
        <v>1</v>
      </c>
      <c r="D51" s="1">
        <v>0</v>
      </c>
      <c r="E51" s="1">
        <v>1</v>
      </c>
      <c r="F51" s="1">
        <v>4</v>
      </c>
      <c r="G51" s="1" t="b">
        <v>0</v>
      </c>
      <c r="H51" s="1">
        <v>1</v>
      </c>
      <c r="I51" s="1">
        <v>1</v>
      </c>
      <c r="J51" s="1">
        <v>0.16</v>
      </c>
      <c r="K51" s="20">
        <v>0.13639999999999999</v>
      </c>
      <c r="L51" s="23">
        <v>0.47</v>
      </c>
      <c r="M51" s="23">
        <v>0.3881</v>
      </c>
      <c r="N51" s="23">
        <v>0</v>
      </c>
      <c r="O51" s="23">
        <v>1</v>
      </c>
      <c r="P51" s="24">
        <v>1</v>
      </c>
      <c r="Q51" s="38" t="str">
        <f t="shared" si="0"/>
        <v>Weekday</v>
      </c>
    </row>
    <row r="52" spans="1:17">
      <c r="A52" s="1">
        <v>51</v>
      </c>
      <c r="B52" s="2">
        <v>40546</v>
      </c>
      <c r="C52" s="1">
        <v>1</v>
      </c>
      <c r="D52" s="1">
        <v>0</v>
      </c>
      <c r="E52" s="1">
        <v>1</v>
      </c>
      <c r="F52" s="1">
        <v>5</v>
      </c>
      <c r="G52" s="1" t="b">
        <v>0</v>
      </c>
      <c r="H52" s="1">
        <v>1</v>
      </c>
      <c r="I52" s="1">
        <v>1</v>
      </c>
      <c r="J52" s="1">
        <v>0.16</v>
      </c>
      <c r="K52" s="19">
        <v>0.13639999999999999</v>
      </c>
      <c r="L52" s="21">
        <v>0.47</v>
      </c>
      <c r="M52" s="21">
        <v>0.28360000000000002</v>
      </c>
      <c r="N52" s="21">
        <v>0</v>
      </c>
      <c r="O52" s="21">
        <v>3</v>
      </c>
      <c r="P52" s="22">
        <v>3</v>
      </c>
      <c r="Q52" s="38" t="str">
        <f t="shared" si="0"/>
        <v>Weekday</v>
      </c>
    </row>
    <row r="53" spans="1:17">
      <c r="A53" s="1">
        <v>52</v>
      </c>
      <c r="B53" s="2">
        <v>40546</v>
      </c>
      <c r="C53" s="1">
        <v>1</v>
      </c>
      <c r="D53" s="1">
        <v>0</v>
      </c>
      <c r="E53" s="1">
        <v>1</v>
      </c>
      <c r="F53" s="1">
        <v>6</v>
      </c>
      <c r="G53" s="1" t="b">
        <v>0</v>
      </c>
      <c r="H53" s="1">
        <v>1</v>
      </c>
      <c r="I53" s="1">
        <v>1</v>
      </c>
      <c r="J53" s="1">
        <v>0.14000000000000001</v>
      </c>
      <c r="K53" s="20">
        <v>0.1061</v>
      </c>
      <c r="L53" s="23">
        <v>0.5</v>
      </c>
      <c r="M53" s="23">
        <v>0.3881</v>
      </c>
      <c r="N53" s="23">
        <v>0</v>
      </c>
      <c r="O53" s="23">
        <v>30</v>
      </c>
      <c r="P53" s="24">
        <v>30</v>
      </c>
      <c r="Q53" s="38" t="str">
        <f t="shared" si="0"/>
        <v>Weekday</v>
      </c>
    </row>
    <row r="54" spans="1:17">
      <c r="A54" s="1">
        <v>53</v>
      </c>
      <c r="B54" s="2">
        <v>40546</v>
      </c>
      <c r="C54" s="1">
        <v>1</v>
      </c>
      <c r="D54" s="1">
        <v>0</v>
      </c>
      <c r="E54" s="1">
        <v>1</v>
      </c>
      <c r="F54" s="1">
        <v>7</v>
      </c>
      <c r="G54" s="1" t="b">
        <v>0</v>
      </c>
      <c r="H54" s="1">
        <v>1</v>
      </c>
      <c r="I54" s="1">
        <v>1</v>
      </c>
      <c r="J54" s="1">
        <v>0.14000000000000001</v>
      </c>
      <c r="K54" s="19">
        <v>0.13639999999999999</v>
      </c>
      <c r="L54" s="21">
        <v>0.5</v>
      </c>
      <c r="M54" s="21">
        <v>0.19400000000000001</v>
      </c>
      <c r="N54" s="21">
        <v>1</v>
      </c>
      <c r="O54" s="21">
        <v>63</v>
      </c>
      <c r="P54" s="22">
        <v>64</v>
      </c>
      <c r="Q54" s="38" t="str">
        <f t="shared" si="0"/>
        <v>Weekday</v>
      </c>
    </row>
    <row r="55" spans="1:17">
      <c r="A55" s="1">
        <v>54</v>
      </c>
      <c r="B55" s="2">
        <v>40546</v>
      </c>
      <c r="C55" s="1">
        <v>1</v>
      </c>
      <c r="D55" s="1">
        <v>0</v>
      </c>
      <c r="E55" s="1">
        <v>1</v>
      </c>
      <c r="F55" s="1">
        <v>8</v>
      </c>
      <c r="G55" s="1" t="b">
        <v>0</v>
      </c>
      <c r="H55" s="1">
        <v>1</v>
      </c>
      <c r="I55" s="1">
        <v>1</v>
      </c>
      <c r="J55" s="1">
        <v>0.14000000000000001</v>
      </c>
      <c r="K55" s="20">
        <v>0.1212</v>
      </c>
      <c r="L55" s="23">
        <v>0.5</v>
      </c>
      <c r="M55" s="23">
        <v>0.28360000000000002</v>
      </c>
      <c r="N55" s="23">
        <v>1</v>
      </c>
      <c r="O55" s="23">
        <v>153</v>
      </c>
      <c r="P55" s="24">
        <v>154</v>
      </c>
      <c r="Q55" s="38" t="str">
        <f t="shared" si="0"/>
        <v>Weekday</v>
      </c>
    </row>
    <row r="56" spans="1:17">
      <c r="A56" s="1">
        <v>55</v>
      </c>
      <c r="B56" s="2">
        <v>40546</v>
      </c>
      <c r="C56" s="1">
        <v>1</v>
      </c>
      <c r="D56" s="1">
        <v>0</v>
      </c>
      <c r="E56" s="1">
        <v>1</v>
      </c>
      <c r="F56" s="1">
        <v>9</v>
      </c>
      <c r="G56" s="1" t="b">
        <v>0</v>
      </c>
      <c r="H56" s="1">
        <v>1</v>
      </c>
      <c r="I56" s="1">
        <v>1</v>
      </c>
      <c r="J56" s="1">
        <v>0.16</v>
      </c>
      <c r="K56" s="19">
        <v>0.13639999999999999</v>
      </c>
      <c r="L56" s="21">
        <v>0.43</v>
      </c>
      <c r="M56" s="21">
        <v>0.3881</v>
      </c>
      <c r="N56" s="21">
        <v>7</v>
      </c>
      <c r="O56" s="21">
        <v>81</v>
      </c>
      <c r="P56" s="22">
        <v>88</v>
      </c>
      <c r="Q56" s="38" t="str">
        <f t="shared" si="0"/>
        <v>Weekday</v>
      </c>
    </row>
    <row r="57" spans="1:17">
      <c r="A57" s="1">
        <v>56</v>
      </c>
      <c r="B57" s="2">
        <v>40546</v>
      </c>
      <c r="C57" s="1">
        <v>1</v>
      </c>
      <c r="D57" s="1">
        <v>0</v>
      </c>
      <c r="E57" s="1">
        <v>1</v>
      </c>
      <c r="F57" s="1">
        <v>10</v>
      </c>
      <c r="G57" s="1" t="b">
        <v>0</v>
      </c>
      <c r="H57" s="1">
        <v>1</v>
      </c>
      <c r="I57" s="1">
        <v>1</v>
      </c>
      <c r="J57" s="1">
        <v>0.18</v>
      </c>
      <c r="K57" s="20">
        <v>0.16669999999999999</v>
      </c>
      <c r="L57" s="23">
        <v>0.43</v>
      </c>
      <c r="M57" s="23">
        <v>0.25369999999999998</v>
      </c>
      <c r="N57" s="23">
        <v>11</v>
      </c>
      <c r="O57" s="23">
        <v>33</v>
      </c>
      <c r="P57" s="24">
        <v>44</v>
      </c>
      <c r="Q57" s="38" t="str">
        <f t="shared" si="0"/>
        <v>Weekday</v>
      </c>
    </row>
    <row r="58" spans="1:17">
      <c r="A58" s="1">
        <v>57</v>
      </c>
      <c r="B58" s="2">
        <v>40546</v>
      </c>
      <c r="C58" s="1">
        <v>1</v>
      </c>
      <c r="D58" s="1">
        <v>0</v>
      </c>
      <c r="E58" s="1">
        <v>1</v>
      </c>
      <c r="F58" s="1">
        <v>11</v>
      </c>
      <c r="G58" s="1" t="b">
        <v>0</v>
      </c>
      <c r="H58" s="1">
        <v>1</v>
      </c>
      <c r="I58" s="1">
        <v>1</v>
      </c>
      <c r="J58" s="1">
        <v>0.2</v>
      </c>
      <c r="K58" s="19">
        <v>0.18179999999999999</v>
      </c>
      <c r="L58" s="21">
        <v>0.4</v>
      </c>
      <c r="M58" s="21">
        <v>0.32840000000000003</v>
      </c>
      <c r="N58" s="21">
        <v>10</v>
      </c>
      <c r="O58" s="21">
        <v>41</v>
      </c>
      <c r="P58" s="22">
        <v>51</v>
      </c>
      <c r="Q58" s="38" t="str">
        <f t="shared" si="0"/>
        <v>Weekday</v>
      </c>
    </row>
    <row r="59" spans="1:17">
      <c r="A59" s="1">
        <v>58</v>
      </c>
      <c r="B59" s="2">
        <v>40546</v>
      </c>
      <c r="C59" s="1">
        <v>1</v>
      </c>
      <c r="D59" s="1">
        <v>0</v>
      </c>
      <c r="E59" s="1">
        <v>1</v>
      </c>
      <c r="F59" s="1">
        <v>12</v>
      </c>
      <c r="G59" s="1" t="b">
        <v>0</v>
      </c>
      <c r="H59" s="1">
        <v>1</v>
      </c>
      <c r="I59" s="1">
        <v>1</v>
      </c>
      <c r="J59" s="1">
        <v>0.22</v>
      </c>
      <c r="K59" s="20">
        <v>0.21210000000000001</v>
      </c>
      <c r="L59" s="23">
        <v>0.35</v>
      </c>
      <c r="M59" s="23">
        <v>0.29849999999999999</v>
      </c>
      <c r="N59" s="23">
        <v>13</v>
      </c>
      <c r="O59" s="23">
        <v>48</v>
      </c>
      <c r="P59" s="24">
        <v>61</v>
      </c>
      <c r="Q59" s="38" t="str">
        <f t="shared" si="0"/>
        <v>Weekday</v>
      </c>
    </row>
    <row r="60" spans="1:17">
      <c r="A60" s="1">
        <v>59</v>
      </c>
      <c r="B60" s="2">
        <v>40546</v>
      </c>
      <c r="C60" s="1">
        <v>1</v>
      </c>
      <c r="D60" s="1">
        <v>0</v>
      </c>
      <c r="E60" s="1">
        <v>1</v>
      </c>
      <c r="F60" s="1">
        <v>13</v>
      </c>
      <c r="G60" s="1" t="b">
        <v>0</v>
      </c>
      <c r="H60" s="1">
        <v>1</v>
      </c>
      <c r="I60" s="1">
        <v>1</v>
      </c>
      <c r="J60" s="1">
        <v>0.24</v>
      </c>
      <c r="K60" s="19">
        <v>0</v>
      </c>
      <c r="L60" s="21">
        <v>0.35</v>
      </c>
      <c r="M60" s="21">
        <v>0.28360000000000002</v>
      </c>
      <c r="N60" s="21">
        <v>8</v>
      </c>
      <c r="O60" s="21">
        <v>53</v>
      </c>
      <c r="P60" s="22">
        <v>61</v>
      </c>
      <c r="Q60" s="38" t="str">
        <f t="shared" si="0"/>
        <v>Weekday</v>
      </c>
    </row>
    <row r="61" spans="1:17">
      <c r="A61" s="1">
        <v>60</v>
      </c>
      <c r="B61" s="2">
        <v>40546</v>
      </c>
      <c r="C61" s="1">
        <v>1</v>
      </c>
      <c r="D61" s="1">
        <v>0</v>
      </c>
      <c r="E61" s="1">
        <v>1</v>
      </c>
      <c r="F61" s="1">
        <v>14</v>
      </c>
      <c r="G61" s="1" t="b">
        <v>0</v>
      </c>
      <c r="H61" s="1">
        <v>1</v>
      </c>
      <c r="I61" s="1">
        <v>1</v>
      </c>
      <c r="J61" s="1">
        <v>0.26</v>
      </c>
      <c r="K61" s="20">
        <v>0.2424</v>
      </c>
      <c r="L61" s="23">
        <v>0.3</v>
      </c>
      <c r="M61" s="23">
        <v>0.28360000000000002</v>
      </c>
      <c r="N61" s="23">
        <v>11</v>
      </c>
      <c r="O61" s="23">
        <v>66</v>
      </c>
      <c r="P61" s="24">
        <v>77</v>
      </c>
      <c r="Q61" s="38" t="str">
        <f t="shared" si="0"/>
        <v>Weekday</v>
      </c>
    </row>
    <row r="62" spans="1:17">
      <c r="A62" s="1">
        <v>61</v>
      </c>
      <c r="B62" s="2">
        <v>40546</v>
      </c>
      <c r="C62" s="1">
        <v>1</v>
      </c>
      <c r="D62" s="1">
        <v>0</v>
      </c>
      <c r="E62" s="1">
        <v>1</v>
      </c>
      <c r="F62" s="1">
        <v>15</v>
      </c>
      <c r="G62" s="1" t="b">
        <v>0</v>
      </c>
      <c r="H62" s="1">
        <v>1</v>
      </c>
      <c r="I62" s="1">
        <v>1</v>
      </c>
      <c r="J62" s="1">
        <v>0.26</v>
      </c>
      <c r="K62" s="19">
        <v>0.2424</v>
      </c>
      <c r="L62" s="21">
        <v>0.3</v>
      </c>
      <c r="M62" s="21">
        <v>0.25369999999999998</v>
      </c>
      <c r="N62" s="21">
        <v>14</v>
      </c>
      <c r="O62" s="21">
        <v>58</v>
      </c>
      <c r="P62" s="22">
        <v>72</v>
      </c>
      <c r="Q62" s="38" t="str">
        <f t="shared" si="0"/>
        <v>Weekday</v>
      </c>
    </row>
    <row r="63" spans="1:17">
      <c r="A63" s="1">
        <v>62</v>
      </c>
      <c r="B63" s="2">
        <v>40546</v>
      </c>
      <c r="C63" s="1">
        <v>1</v>
      </c>
      <c r="D63" s="1">
        <v>0</v>
      </c>
      <c r="E63" s="1">
        <v>1</v>
      </c>
      <c r="F63" s="1">
        <v>16</v>
      </c>
      <c r="G63" s="1" t="b">
        <v>0</v>
      </c>
      <c r="H63" s="1">
        <v>1</v>
      </c>
      <c r="I63" s="1">
        <v>1</v>
      </c>
      <c r="J63" s="1">
        <v>0.26</v>
      </c>
      <c r="K63" s="20">
        <v>0.2424</v>
      </c>
      <c r="L63" s="23">
        <v>0.3</v>
      </c>
      <c r="M63" s="23">
        <v>0.25369999999999998</v>
      </c>
      <c r="N63" s="23">
        <v>9</v>
      </c>
      <c r="O63" s="23">
        <v>67</v>
      </c>
      <c r="P63" s="24">
        <v>76</v>
      </c>
      <c r="Q63" s="38" t="str">
        <f t="shared" si="0"/>
        <v>Weekday</v>
      </c>
    </row>
    <row r="64" spans="1:17">
      <c r="A64" s="1">
        <v>63</v>
      </c>
      <c r="B64" s="2">
        <v>40546</v>
      </c>
      <c r="C64" s="1">
        <v>1</v>
      </c>
      <c r="D64" s="1">
        <v>0</v>
      </c>
      <c r="E64" s="1">
        <v>1</v>
      </c>
      <c r="F64" s="1">
        <v>17</v>
      </c>
      <c r="G64" s="1" t="b">
        <v>0</v>
      </c>
      <c r="H64" s="1">
        <v>1</v>
      </c>
      <c r="I64" s="1">
        <v>1</v>
      </c>
      <c r="J64" s="1">
        <v>0.24</v>
      </c>
      <c r="K64" s="19">
        <v>0.2273</v>
      </c>
      <c r="L64" s="21">
        <v>0.3</v>
      </c>
      <c r="M64" s="21">
        <v>0.22389999999999999</v>
      </c>
      <c r="N64" s="21">
        <v>11</v>
      </c>
      <c r="O64" s="21">
        <v>146</v>
      </c>
      <c r="P64" s="22">
        <v>157</v>
      </c>
      <c r="Q64" s="38" t="str">
        <f t="shared" si="0"/>
        <v>Weekday</v>
      </c>
    </row>
    <row r="65" spans="1:17">
      <c r="A65" s="1">
        <v>64</v>
      </c>
      <c r="B65" s="2">
        <v>40546</v>
      </c>
      <c r="C65" s="1">
        <v>1</v>
      </c>
      <c r="D65" s="1">
        <v>0</v>
      </c>
      <c r="E65" s="1">
        <v>1</v>
      </c>
      <c r="F65" s="1">
        <v>18</v>
      </c>
      <c r="G65" s="1" t="b">
        <v>0</v>
      </c>
      <c r="H65" s="1">
        <v>1</v>
      </c>
      <c r="I65" s="1">
        <v>1</v>
      </c>
      <c r="J65" s="1">
        <v>0.24</v>
      </c>
      <c r="K65" s="20">
        <v>0.2576</v>
      </c>
      <c r="L65" s="23">
        <v>0.32</v>
      </c>
      <c r="M65" s="23">
        <v>0.1045</v>
      </c>
      <c r="N65" s="23">
        <v>9</v>
      </c>
      <c r="O65" s="23">
        <v>148</v>
      </c>
      <c r="P65" s="24">
        <v>157</v>
      </c>
      <c r="Q65" s="38" t="str">
        <f t="shared" si="0"/>
        <v>Weekday</v>
      </c>
    </row>
    <row r="66" spans="1:17">
      <c r="A66" s="1">
        <v>65</v>
      </c>
      <c r="B66" s="2">
        <v>40546</v>
      </c>
      <c r="C66" s="1">
        <v>1</v>
      </c>
      <c r="D66" s="1">
        <v>0</v>
      </c>
      <c r="E66" s="1">
        <v>1</v>
      </c>
      <c r="F66" s="1">
        <v>19</v>
      </c>
      <c r="G66" s="1" t="b">
        <v>0</v>
      </c>
      <c r="H66" s="1">
        <v>1</v>
      </c>
      <c r="I66" s="1">
        <v>1</v>
      </c>
      <c r="J66" s="1">
        <v>0.2</v>
      </c>
      <c r="K66" s="19">
        <v>0.2576</v>
      </c>
      <c r="L66" s="21">
        <v>0.47</v>
      </c>
      <c r="M66" s="21">
        <v>0</v>
      </c>
      <c r="N66" s="21">
        <v>8</v>
      </c>
      <c r="O66" s="21">
        <v>102</v>
      </c>
      <c r="P66" s="22">
        <v>110</v>
      </c>
      <c r="Q66" s="38" t="str">
        <f t="shared" ref="Q66:Q129" si="1">IF(H66&gt;=6,"Weekend","Weekday")</f>
        <v>Weekday</v>
      </c>
    </row>
    <row r="67" spans="1:17">
      <c r="A67" s="1">
        <v>66</v>
      </c>
      <c r="B67" s="2">
        <v>40546</v>
      </c>
      <c r="C67" s="1">
        <v>1</v>
      </c>
      <c r="D67" s="1">
        <v>0</v>
      </c>
      <c r="E67" s="1">
        <v>1</v>
      </c>
      <c r="F67" s="1">
        <v>20</v>
      </c>
      <c r="G67" s="1" t="b">
        <v>0</v>
      </c>
      <c r="H67" s="1">
        <v>1</v>
      </c>
      <c r="I67" s="1">
        <v>1</v>
      </c>
      <c r="J67" s="1">
        <v>0.2</v>
      </c>
      <c r="K67" s="20">
        <v>0</v>
      </c>
      <c r="L67" s="23">
        <v>0.47</v>
      </c>
      <c r="M67" s="23">
        <v>0.1045</v>
      </c>
      <c r="N67" s="23">
        <v>3</v>
      </c>
      <c r="O67" s="23">
        <v>49</v>
      </c>
      <c r="P67" s="24">
        <v>52</v>
      </c>
      <c r="Q67" s="38" t="str">
        <f t="shared" si="1"/>
        <v>Weekday</v>
      </c>
    </row>
    <row r="68" spans="1:17">
      <c r="A68" s="1">
        <v>67</v>
      </c>
      <c r="B68" s="2">
        <v>40546</v>
      </c>
      <c r="C68" s="1">
        <v>1</v>
      </c>
      <c r="D68" s="1">
        <v>0</v>
      </c>
      <c r="E68" s="1">
        <v>1</v>
      </c>
      <c r="F68" s="1">
        <v>21</v>
      </c>
      <c r="G68" s="1" t="b">
        <v>0</v>
      </c>
      <c r="H68" s="1">
        <v>1</v>
      </c>
      <c r="I68" s="1">
        <v>1</v>
      </c>
      <c r="J68" s="1">
        <v>0.18</v>
      </c>
      <c r="K68" s="19">
        <v>0.19700000000000001</v>
      </c>
      <c r="L68" s="21">
        <v>0.64</v>
      </c>
      <c r="M68" s="21">
        <v>0.1343</v>
      </c>
      <c r="N68" s="21">
        <v>3</v>
      </c>
      <c r="O68" s="21">
        <v>49</v>
      </c>
      <c r="P68" s="22">
        <v>52</v>
      </c>
      <c r="Q68" s="38" t="str">
        <f t="shared" si="1"/>
        <v>Weekday</v>
      </c>
    </row>
    <row r="69" spans="1:17">
      <c r="A69" s="1">
        <v>68</v>
      </c>
      <c r="B69" s="2">
        <v>40546</v>
      </c>
      <c r="C69" s="1">
        <v>1</v>
      </c>
      <c r="D69" s="1">
        <v>0</v>
      </c>
      <c r="E69" s="1">
        <v>1</v>
      </c>
      <c r="F69" s="1">
        <v>22</v>
      </c>
      <c r="G69" s="1" t="b">
        <v>0</v>
      </c>
      <c r="H69" s="1">
        <v>1</v>
      </c>
      <c r="I69" s="1">
        <v>1</v>
      </c>
      <c r="J69" s="1">
        <v>0.14000000000000001</v>
      </c>
      <c r="K69" s="20">
        <v>0.1515</v>
      </c>
      <c r="L69" s="23">
        <v>0.69</v>
      </c>
      <c r="M69" s="23">
        <v>0.1343</v>
      </c>
      <c r="N69" s="23">
        <v>0</v>
      </c>
      <c r="O69" s="23">
        <v>20</v>
      </c>
      <c r="P69" s="24">
        <v>20</v>
      </c>
      <c r="Q69" s="38" t="str">
        <f t="shared" si="1"/>
        <v>Weekday</v>
      </c>
    </row>
    <row r="70" spans="1:17">
      <c r="A70" s="1">
        <v>69</v>
      </c>
      <c r="B70" s="2">
        <v>40546</v>
      </c>
      <c r="C70" s="1">
        <v>1</v>
      </c>
      <c r="D70" s="1">
        <v>0</v>
      </c>
      <c r="E70" s="1">
        <v>1</v>
      </c>
      <c r="F70" s="1">
        <v>23</v>
      </c>
      <c r="G70" s="1" t="b">
        <v>0</v>
      </c>
      <c r="H70" s="1">
        <v>1</v>
      </c>
      <c r="I70" s="1">
        <v>1</v>
      </c>
      <c r="J70" s="1">
        <v>0.18</v>
      </c>
      <c r="K70" s="19">
        <v>0.21210000000000001</v>
      </c>
      <c r="L70" s="21">
        <v>0.55000000000000004</v>
      </c>
      <c r="M70" s="21">
        <v>0.1045</v>
      </c>
      <c r="N70" s="21">
        <v>1</v>
      </c>
      <c r="O70" s="21">
        <v>11</v>
      </c>
      <c r="P70" s="22">
        <v>12</v>
      </c>
      <c r="Q70" s="38" t="str">
        <f t="shared" si="1"/>
        <v>Weekday</v>
      </c>
    </row>
    <row r="71" spans="1:17">
      <c r="A71" s="1">
        <v>70</v>
      </c>
      <c r="B71" s="2">
        <v>40547</v>
      </c>
      <c r="C71" s="1">
        <v>1</v>
      </c>
      <c r="D71" s="1">
        <v>0</v>
      </c>
      <c r="E71" s="1">
        <v>1</v>
      </c>
      <c r="F71" s="1">
        <v>0</v>
      </c>
      <c r="G71" s="1" t="b">
        <v>0</v>
      </c>
      <c r="H71" s="1">
        <v>2</v>
      </c>
      <c r="I71" s="1">
        <v>1</v>
      </c>
      <c r="J71" s="1">
        <v>0.16</v>
      </c>
      <c r="K71" s="20">
        <v>0</v>
      </c>
      <c r="L71" s="23">
        <v>0.55000000000000004</v>
      </c>
      <c r="M71" s="23">
        <v>0.1045</v>
      </c>
      <c r="N71" s="23">
        <v>0</v>
      </c>
      <c r="O71" s="23">
        <v>5</v>
      </c>
      <c r="P71" s="24">
        <v>5</v>
      </c>
      <c r="Q71" s="38" t="str">
        <f t="shared" si="1"/>
        <v>Weekday</v>
      </c>
    </row>
    <row r="72" spans="1:17">
      <c r="A72" s="1">
        <v>71</v>
      </c>
      <c r="B72" s="2">
        <v>40547</v>
      </c>
      <c r="C72" s="1">
        <v>1</v>
      </c>
      <c r="D72" s="1">
        <v>0</v>
      </c>
      <c r="E72" s="1">
        <v>1</v>
      </c>
      <c r="F72" s="1">
        <v>1</v>
      </c>
      <c r="G72" s="1" t="b">
        <v>0</v>
      </c>
      <c r="H72" s="1">
        <v>2</v>
      </c>
      <c r="I72" s="1">
        <v>1</v>
      </c>
      <c r="J72" s="1">
        <v>0.16</v>
      </c>
      <c r="K72" s="19">
        <v>0.18179999999999999</v>
      </c>
      <c r="L72" s="21">
        <v>0.59</v>
      </c>
      <c r="M72" s="21">
        <v>0.1045</v>
      </c>
      <c r="N72" s="21">
        <v>0</v>
      </c>
      <c r="O72" s="21">
        <v>2</v>
      </c>
      <c r="P72" s="22">
        <v>2</v>
      </c>
      <c r="Q72" s="38" t="str">
        <f t="shared" si="1"/>
        <v>Weekday</v>
      </c>
    </row>
    <row r="73" spans="1:17">
      <c r="A73" s="1">
        <v>72</v>
      </c>
      <c r="B73" s="2">
        <v>40547</v>
      </c>
      <c r="C73" s="1">
        <v>1</v>
      </c>
      <c r="D73" s="1">
        <v>0</v>
      </c>
      <c r="E73" s="1">
        <v>1</v>
      </c>
      <c r="F73" s="1">
        <v>2</v>
      </c>
      <c r="G73" s="1" t="b">
        <v>0</v>
      </c>
      <c r="H73" s="1">
        <v>2</v>
      </c>
      <c r="I73" s="1">
        <v>1</v>
      </c>
      <c r="J73" s="1">
        <v>0.14000000000000001</v>
      </c>
      <c r="K73" s="20">
        <v>0.1515</v>
      </c>
      <c r="L73" s="23">
        <v>0.63</v>
      </c>
      <c r="M73" s="23">
        <v>0.1343</v>
      </c>
      <c r="N73" s="23">
        <v>0</v>
      </c>
      <c r="O73" s="23">
        <v>1</v>
      </c>
      <c r="P73" s="24">
        <v>1</v>
      </c>
      <c r="Q73" s="38" t="str">
        <f t="shared" si="1"/>
        <v>Weekday</v>
      </c>
    </row>
    <row r="74" spans="1:17">
      <c r="A74" s="1">
        <v>73</v>
      </c>
      <c r="B74" s="2">
        <v>40547</v>
      </c>
      <c r="C74" s="1">
        <v>1</v>
      </c>
      <c r="D74" s="1">
        <v>0</v>
      </c>
      <c r="E74" s="1">
        <v>1</v>
      </c>
      <c r="F74" s="1">
        <v>4</v>
      </c>
      <c r="G74" s="1" t="b">
        <v>0</v>
      </c>
      <c r="H74" s="1">
        <v>2</v>
      </c>
      <c r="I74" s="1">
        <v>1</v>
      </c>
      <c r="J74" s="1">
        <v>0.14000000000000001</v>
      </c>
      <c r="K74" s="19">
        <v>0.18179999999999999</v>
      </c>
      <c r="L74" s="21">
        <v>0.63</v>
      </c>
      <c r="M74" s="21">
        <v>8.9599999999999999E-2</v>
      </c>
      <c r="N74" s="21">
        <v>0</v>
      </c>
      <c r="O74" s="21">
        <v>2</v>
      </c>
      <c r="P74" s="22">
        <v>2</v>
      </c>
      <c r="Q74" s="38" t="str">
        <f t="shared" si="1"/>
        <v>Weekday</v>
      </c>
    </row>
    <row r="75" spans="1:17">
      <c r="A75" s="1">
        <v>74</v>
      </c>
      <c r="B75" s="2">
        <v>40547</v>
      </c>
      <c r="C75" s="1">
        <v>1</v>
      </c>
      <c r="D75" s="1">
        <v>0</v>
      </c>
      <c r="E75" s="1">
        <v>1</v>
      </c>
      <c r="F75" s="1">
        <v>5</v>
      </c>
      <c r="G75" s="1" t="b">
        <v>0</v>
      </c>
      <c r="H75" s="1">
        <v>2</v>
      </c>
      <c r="I75" s="1">
        <v>1</v>
      </c>
      <c r="J75" s="1">
        <v>0.12</v>
      </c>
      <c r="K75" s="20">
        <v>0.1515</v>
      </c>
      <c r="L75" s="23">
        <v>0.68</v>
      </c>
      <c r="M75" s="23">
        <v>0.1045</v>
      </c>
      <c r="N75" s="23">
        <v>0</v>
      </c>
      <c r="O75" s="23">
        <v>4</v>
      </c>
      <c r="P75" s="24">
        <v>4</v>
      </c>
      <c r="Q75" s="38" t="str">
        <f t="shared" si="1"/>
        <v>Weekday</v>
      </c>
    </row>
    <row r="76" spans="1:17">
      <c r="A76" s="1">
        <v>75</v>
      </c>
      <c r="B76" s="2">
        <v>40547</v>
      </c>
      <c r="C76" s="1">
        <v>1</v>
      </c>
      <c r="D76" s="1">
        <v>0</v>
      </c>
      <c r="E76" s="1">
        <v>1</v>
      </c>
      <c r="F76" s="1">
        <v>6</v>
      </c>
      <c r="G76" s="1" t="b">
        <v>0</v>
      </c>
      <c r="H76" s="1">
        <v>2</v>
      </c>
      <c r="I76" s="1">
        <v>1</v>
      </c>
      <c r="J76" s="1">
        <v>0.12</v>
      </c>
      <c r="K76" s="19">
        <v>0.1515</v>
      </c>
      <c r="L76" s="21">
        <v>0.74</v>
      </c>
      <c r="M76" s="21">
        <v>0.1045</v>
      </c>
      <c r="N76" s="21">
        <v>0</v>
      </c>
      <c r="O76" s="21">
        <v>36</v>
      </c>
      <c r="P76" s="22">
        <v>36</v>
      </c>
      <c r="Q76" s="38" t="str">
        <f t="shared" si="1"/>
        <v>Weekday</v>
      </c>
    </row>
    <row r="77" spans="1:17">
      <c r="A77" s="1">
        <v>76</v>
      </c>
      <c r="B77" s="2">
        <v>40547</v>
      </c>
      <c r="C77" s="1">
        <v>1</v>
      </c>
      <c r="D77" s="1">
        <v>0</v>
      </c>
      <c r="E77" s="1">
        <v>1</v>
      </c>
      <c r="F77" s="1">
        <v>7</v>
      </c>
      <c r="G77" s="1" t="b">
        <v>0</v>
      </c>
      <c r="H77" s="1">
        <v>2</v>
      </c>
      <c r="I77" s="1">
        <v>1</v>
      </c>
      <c r="J77" s="1">
        <v>0.12</v>
      </c>
      <c r="K77" s="20">
        <v>0.1515</v>
      </c>
      <c r="L77" s="23">
        <v>0.74</v>
      </c>
      <c r="M77" s="23">
        <v>0.1343</v>
      </c>
      <c r="N77" s="23">
        <v>2</v>
      </c>
      <c r="O77" s="23">
        <v>92</v>
      </c>
      <c r="P77" s="24">
        <v>94</v>
      </c>
      <c r="Q77" s="38" t="str">
        <f t="shared" si="1"/>
        <v>Weekday</v>
      </c>
    </row>
    <row r="78" spans="1:17">
      <c r="A78" s="1">
        <v>77</v>
      </c>
      <c r="B78" s="2">
        <v>40547</v>
      </c>
      <c r="C78" s="1">
        <v>1</v>
      </c>
      <c r="D78" s="1">
        <v>0</v>
      </c>
      <c r="E78" s="1">
        <v>1</v>
      </c>
      <c r="F78" s="1">
        <v>8</v>
      </c>
      <c r="G78" s="1" t="b">
        <v>0</v>
      </c>
      <c r="H78" s="1">
        <v>2</v>
      </c>
      <c r="I78" s="1">
        <v>1</v>
      </c>
      <c r="J78" s="1">
        <v>0.14000000000000001</v>
      </c>
      <c r="K78" s="19">
        <v>0.1515</v>
      </c>
      <c r="L78" s="21">
        <v>0.69</v>
      </c>
      <c r="M78" s="21">
        <v>0.16420000000000001</v>
      </c>
      <c r="N78" s="21">
        <v>2</v>
      </c>
      <c r="O78" s="21">
        <v>177</v>
      </c>
      <c r="P78" s="22">
        <v>179</v>
      </c>
      <c r="Q78" s="38" t="str">
        <f t="shared" si="1"/>
        <v>Weekday</v>
      </c>
    </row>
    <row r="79" spans="1:17">
      <c r="A79" s="1">
        <v>78</v>
      </c>
      <c r="B79" s="2">
        <v>40547</v>
      </c>
      <c r="C79" s="1">
        <v>1</v>
      </c>
      <c r="D79" s="1">
        <v>0</v>
      </c>
      <c r="E79" s="1">
        <v>1</v>
      </c>
      <c r="F79" s="1">
        <v>9</v>
      </c>
      <c r="G79" s="1" t="b">
        <v>0</v>
      </c>
      <c r="H79" s="1">
        <v>2</v>
      </c>
      <c r="I79" s="1">
        <v>1</v>
      </c>
      <c r="J79" s="1">
        <v>0.16</v>
      </c>
      <c r="K79" s="20">
        <v>0.1515</v>
      </c>
      <c r="L79" s="23">
        <v>0.64</v>
      </c>
      <c r="M79" s="23">
        <v>0.22389999999999999</v>
      </c>
      <c r="N79" s="23">
        <v>2</v>
      </c>
      <c r="O79" s="23">
        <v>98</v>
      </c>
      <c r="P79" s="24">
        <v>100</v>
      </c>
      <c r="Q79" s="38" t="str">
        <f t="shared" si="1"/>
        <v>Weekday</v>
      </c>
    </row>
    <row r="80" spans="1:17">
      <c r="A80" s="1">
        <v>79</v>
      </c>
      <c r="B80" s="2">
        <v>40547</v>
      </c>
      <c r="C80" s="1">
        <v>1</v>
      </c>
      <c r="D80" s="1">
        <v>0</v>
      </c>
      <c r="E80" s="1">
        <v>1</v>
      </c>
      <c r="F80" s="1">
        <v>10</v>
      </c>
      <c r="G80" s="1" t="b">
        <v>0</v>
      </c>
      <c r="H80" s="1">
        <v>2</v>
      </c>
      <c r="I80" s="1">
        <v>2</v>
      </c>
      <c r="J80" s="1">
        <v>0.16</v>
      </c>
      <c r="K80" s="19">
        <v>0.13639999999999999</v>
      </c>
      <c r="L80" s="21">
        <v>0.69</v>
      </c>
      <c r="M80" s="21">
        <v>0.32840000000000003</v>
      </c>
      <c r="N80" s="21">
        <v>5</v>
      </c>
      <c r="O80" s="21">
        <v>37</v>
      </c>
      <c r="P80" s="22">
        <v>42</v>
      </c>
      <c r="Q80" s="38" t="str">
        <f t="shared" si="1"/>
        <v>Weekday</v>
      </c>
    </row>
    <row r="81" spans="1:17">
      <c r="A81" s="1">
        <v>80</v>
      </c>
      <c r="B81" s="2">
        <v>40547</v>
      </c>
      <c r="C81" s="1">
        <v>1</v>
      </c>
      <c r="D81" s="1">
        <v>0</v>
      </c>
      <c r="E81" s="1">
        <v>1</v>
      </c>
      <c r="F81" s="1">
        <v>11</v>
      </c>
      <c r="G81" s="1" t="b">
        <v>0</v>
      </c>
      <c r="H81" s="1">
        <v>2</v>
      </c>
      <c r="I81" s="1">
        <v>1</v>
      </c>
      <c r="J81" s="1">
        <v>0.22</v>
      </c>
      <c r="K81" s="20">
        <v>0.21210000000000001</v>
      </c>
      <c r="L81" s="23">
        <v>0.51</v>
      </c>
      <c r="M81" s="23">
        <v>0.29849999999999999</v>
      </c>
      <c r="N81" s="23">
        <v>7</v>
      </c>
      <c r="O81" s="23">
        <v>50</v>
      </c>
      <c r="P81" s="24">
        <v>57</v>
      </c>
      <c r="Q81" s="38" t="str">
        <f t="shared" si="1"/>
        <v>Weekday</v>
      </c>
    </row>
    <row r="82" spans="1:17">
      <c r="A82" s="1">
        <v>81</v>
      </c>
      <c r="B82" s="2">
        <v>40547</v>
      </c>
      <c r="C82" s="1">
        <v>1</v>
      </c>
      <c r="D82" s="1">
        <v>0</v>
      </c>
      <c r="E82" s="1">
        <v>1</v>
      </c>
      <c r="F82" s="1">
        <v>12</v>
      </c>
      <c r="G82" s="1" t="b">
        <v>0</v>
      </c>
      <c r="H82" s="1">
        <v>2</v>
      </c>
      <c r="I82" s="1">
        <v>1</v>
      </c>
      <c r="J82" s="1">
        <v>0.22</v>
      </c>
      <c r="K82" s="19">
        <v>0.2273</v>
      </c>
      <c r="L82" s="21">
        <v>0.51</v>
      </c>
      <c r="M82" s="21">
        <v>0.16420000000000001</v>
      </c>
      <c r="N82" s="21">
        <v>12</v>
      </c>
      <c r="O82" s="21">
        <v>66</v>
      </c>
      <c r="P82" s="22">
        <v>78</v>
      </c>
      <c r="Q82" s="38" t="str">
        <f t="shared" si="1"/>
        <v>Weekday</v>
      </c>
    </row>
    <row r="83" spans="1:17">
      <c r="A83" s="1">
        <v>82</v>
      </c>
      <c r="B83" s="2">
        <v>40547</v>
      </c>
      <c r="C83" s="1">
        <v>1</v>
      </c>
      <c r="D83" s="1">
        <v>0</v>
      </c>
      <c r="E83" s="1">
        <v>1</v>
      </c>
      <c r="F83" s="1">
        <v>13</v>
      </c>
      <c r="G83" s="1" t="b">
        <v>0</v>
      </c>
      <c r="H83" s="1">
        <v>2</v>
      </c>
      <c r="I83" s="1">
        <v>1</v>
      </c>
      <c r="J83" s="1">
        <v>0.24</v>
      </c>
      <c r="K83" s="20">
        <v>0.2273</v>
      </c>
      <c r="L83" s="23">
        <v>0.56000000000000005</v>
      </c>
      <c r="M83" s="23">
        <v>0.19400000000000001</v>
      </c>
      <c r="N83" s="23">
        <v>18</v>
      </c>
      <c r="O83" s="23">
        <v>79</v>
      </c>
      <c r="P83" s="24">
        <v>97</v>
      </c>
      <c r="Q83" s="38" t="str">
        <f t="shared" si="1"/>
        <v>Weekday</v>
      </c>
    </row>
    <row r="84" spans="1:17">
      <c r="A84" s="1">
        <v>83</v>
      </c>
      <c r="B84" s="2">
        <v>40547</v>
      </c>
      <c r="C84" s="1">
        <v>1</v>
      </c>
      <c r="D84" s="1">
        <v>0</v>
      </c>
      <c r="E84" s="1">
        <v>1</v>
      </c>
      <c r="F84" s="1">
        <v>14</v>
      </c>
      <c r="G84" s="1" t="b">
        <v>0</v>
      </c>
      <c r="H84" s="1">
        <v>2</v>
      </c>
      <c r="I84" s="1">
        <v>1</v>
      </c>
      <c r="J84" s="1">
        <v>0.26</v>
      </c>
      <c r="K84" s="19">
        <v>0.2576</v>
      </c>
      <c r="L84" s="21">
        <v>0.52</v>
      </c>
      <c r="M84" s="21">
        <v>0.22389999999999999</v>
      </c>
      <c r="N84" s="21">
        <v>9</v>
      </c>
      <c r="O84" s="21">
        <v>54</v>
      </c>
      <c r="P84" s="22">
        <v>63</v>
      </c>
      <c r="Q84" s="38" t="str">
        <f t="shared" si="1"/>
        <v>Weekday</v>
      </c>
    </row>
    <row r="85" spans="1:17">
      <c r="A85" s="1">
        <v>84</v>
      </c>
      <c r="B85" s="2">
        <v>40547</v>
      </c>
      <c r="C85" s="1">
        <v>1</v>
      </c>
      <c r="D85" s="1">
        <v>0</v>
      </c>
      <c r="E85" s="1">
        <v>1</v>
      </c>
      <c r="F85" s="1">
        <v>15</v>
      </c>
      <c r="G85" s="1" t="b">
        <v>0</v>
      </c>
      <c r="H85" s="1">
        <v>2</v>
      </c>
      <c r="I85" s="1">
        <v>1</v>
      </c>
      <c r="J85" s="1">
        <v>0.28000000000000003</v>
      </c>
      <c r="K85" s="20">
        <v>0.2727</v>
      </c>
      <c r="L85" s="23">
        <v>0.52</v>
      </c>
      <c r="M85" s="23">
        <v>0.25369999999999998</v>
      </c>
      <c r="N85" s="23">
        <v>17</v>
      </c>
      <c r="O85" s="23">
        <v>48</v>
      </c>
      <c r="P85" s="24">
        <v>65</v>
      </c>
      <c r="Q85" s="38" t="str">
        <f t="shared" si="1"/>
        <v>Weekday</v>
      </c>
    </row>
    <row r="86" spans="1:17">
      <c r="A86" s="1">
        <v>85</v>
      </c>
      <c r="B86" s="2">
        <v>40547</v>
      </c>
      <c r="C86" s="1">
        <v>1</v>
      </c>
      <c r="D86" s="1">
        <v>0</v>
      </c>
      <c r="E86" s="1">
        <v>1</v>
      </c>
      <c r="F86" s="1">
        <v>16</v>
      </c>
      <c r="G86" s="1" t="b">
        <v>0</v>
      </c>
      <c r="H86" s="1">
        <v>2</v>
      </c>
      <c r="I86" s="1">
        <v>1</v>
      </c>
      <c r="J86" s="1">
        <v>0.3</v>
      </c>
      <c r="K86" s="19">
        <v>0.28789999999999999</v>
      </c>
      <c r="L86" s="21">
        <v>0.49</v>
      </c>
      <c r="M86" s="21">
        <v>0.25369999999999998</v>
      </c>
      <c r="N86" s="21">
        <v>15</v>
      </c>
      <c r="O86" s="21">
        <v>68</v>
      </c>
      <c r="P86" s="22">
        <v>83</v>
      </c>
      <c r="Q86" s="38" t="str">
        <f t="shared" si="1"/>
        <v>Weekday</v>
      </c>
    </row>
    <row r="87" spans="1:17">
      <c r="A87" s="1">
        <v>86</v>
      </c>
      <c r="B87" s="2">
        <v>40547</v>
      </c>
      <c r="C87" s="1">
        <v>1</v>
      </c>
      <c r="D87" s="1">
        <v>0</v>
      </c>
      <c r="E87" s="1">
        <v>1</v>
      </c>
      <c r="F87" s="1">
        <v>17</v>
      </c>
      <c r="G87" s="1" t="b">
        <v>0</v>
      </c>
      <c r="H87" s="1">
        <v>2</v>
      </c>
      <c r="I87" s="1">
        <v>1</v>
      </c>
      <c r="J87" s="1">
        <v>0.28000000000000003</v>
      </c>
      <c r="K87" s="20">
        <v>0.2727</v>
      </c>
      <c r="L87" s="23">
        <v>0.48</v>
      </c>
      <c r="M87" s="23">
        <v>0.22389999999999999</v>
      </c>
      <c r="N87" s="23">
        <v>10</v>
      </c>
      <c r="O87" s="23">
        <v>202</v>
      </c>
      <c r="P87" s="24">
        <v>212</v>
      </c>
      <c r="Q87" s="38" t="str">
        <f t="shared" si="1"/>
        <v>Weekday</v>
      </c>
    </row>
    <row r="88" spans="1:17">
      <c r="A88" s="1">
        <v>87</v>
      </c>
      <c r="B88" s="2">
        <v>40547</v>
      </c>
      <c r="C88" s="1">
        <v>1</v>
      </c>
      <c r="D88" s="1">
        <v>0</v>
      </c>
      <c r="E88" s="1">
        <v>1</v>
      </c>
      <c r="F88" s="1">
        <v>18</v>
      </c>
      <c r="G88" s="1" t="b">
        <v>0</v>
      </c>
      <c r="H88" s="1">
        <v>2</v>
      </c>
      <c r="I88" s="1">
        <v>1</v>
      </c>
      <c r="J88" s="1">
        <v>0.26</v>
      </c>
      <c r="K88" s="19">
        <v>0.2576</v>
      </c>
      <c r="L88" s="21">
        <v>0.48</v>
      </c>
      <c r="M88" s="21">
        <v>0.19400000000000001</v>
      </c>
      <c r="N88" s="21">
        <v>3</v>
      </c>
      <c r="O88" s="21">
        <v>179</v>
      </c>
      <c r="P88" s="22">
        <v>182</v>
      </c>
      <c r="Q88" s="38" t="str">
        <f t="shared" si="1"/>
        <v>Weekday</v>
      </c>
    </row>
    <row r="89" spans="1:17">
      <c r="A89" s="1">
        <v>88</v>
      </c>
      <c r="B89" s="2">
        <v>40547</v>
      </c>
      <c r="C89" s="1">
        <v>1</v>
      </c>
      <c r="D89" s="1">
        <v>0</v>
      </c>
      <c r="E89" s="1">
        <v>1</v>
      </c>
      <c r="F89" s="1">
        <v>19</v>
      </c>
      <c r="G89" s="1" t="b">
        <v>0</v>
      </c>
      <c r="H89" s="1">
        <v>2</v>
      </c>
      <c r="I89" s="1">
        <v>1</v>
      </c>
      <c r="J89" s="1">
        <v>0.24</v>
      </c>
      <c r="K89" s="20">
        <v>0.2576</v>
      </c>
      <c r="L89" s="23">
        <v>0.48</v>
      </c>
      <c r="M89" s="23">
        <v>0.1045</v>
      </c>
      <c r="N89" s="23">
        <v>2</v>
      </c>
      <c r="O89" s="23">
        <v>110</v>
      </c>
      <c r="P89" s="24">
        <v>112</v>
      </c>
      <c r="Q89" s="38" t="str">
        <f t="shared" si="1"/>
        <v>Weekday</v>
      </c>
    </row>
    <row r="90" spans="1:17">
      <c r="A90" s="1">
        <v>89</v>
      </c>
      <c r="B90" s="2">
        <v>40547</v>
      </c>
      <c r="C90" s="1">
        <v>1</v>
      </c>
      <c r="D90" s="1">
        <v>0</v>
      </c>
      <c r="E90" s="1">
        <v>1</v>
      </c>
      <c r="F90" s="1">
        <v>20</v>
      </c>
      <c r="G90" s="1" t="b">
        <v>0</v>
      </c>
      <c r="H90" s="1">
        <v>2</v>
      </c>
      <c r="I90" s="1">
        <v>1</v>
      </c>
      <c r="J90" s="1">
        <v>0.24</v>
      </c>
      <c r="K90" s="19">
        <v>0.2576</v>
      </c>
      <c r="L90" s="21">
        <v>0.48</v>
      </c>
      <c r="M90" s="21">
        <v>0.1045</v>
      </c>
      <c r="N90" s="21">
        <v>1</v>
      </c>
      <c r="O90" s="21">
        <v>53</v>
      </c>
      <c r="P90" s="22">
        <v>54</v>
      </c>
      <c r="Q90" s="38" t="str">
        <f t="shared" si="1"/>
        <v>Weekday</v>
      </c>
    </row>
    <row r="91" spans="1:17">
      <c r="A91" s="1">
        <v>90</v>
      </c>
      <c r="B91" s="2">
        <v>40547</v>
      </c>
      <c r="C91" s="1">
        <v>1</v>
      </c>
      <c r="D91" s="1">
        <v>0</v>
      </c>
      <c r="E91" s="1">
        <v>1</v>
      </c>
      <c r="F91" s="1">
        <v>21</v>
      </c>
      <c r="G91" s="1" t="b">
        <v>0</v>
      </c>
      <c r="H91" s="1">
        <v>2</v>
      </c>
      <c r="I91" s="1">
        <v>1</v>
      </c>
      <c r="J91" s="1">
        <v>0.22</v>
      </c>
      <c r="K91" s="20">
        <v>0.2727</v>
      </c>
      <c r="L91" s="23">
        <v>0.64</v>
      </c>
      <c r="M91" s="23">
        <v>0</v>
      </c>
      <c r="N91" s="23">
        <v>0</v>
      </c>
      <c r="O91" s="23">
        <v>48</v>
      </c>
      <c r="P91" s="24">
        <v>48</v>
      </c>
      <c r="Q91" s="38" t="str">
        <f t="shared" si="1"/>
        <v>Weekday</v>
      </c>
    </row>
    <row r="92" spans="1:17">
      <c r="A92" s="1">
        <v>91</v>
      </c>
      <c r="B92" s="2">
        <v>40547</v>
      </c>
      <c r="C92" s="1">
        <v>1</v>
      </c>
      <c r="D92" s="1">
        <v>0</v>
      </c>
      <c r="E92" s="1">
        <v>1</v>
      </c>
      <c r="F92" s="1">
        <v>22</v>
      </c>
      <c r="G92" s="1" t="b">
        <v>0</v>
      </c>
      <c r="H92" s="1">
        <v>2</v>
      </c>
      <c r="I92" s="1">
        <v>1</v>
      </c>
      <c r="J92" s="1">
        <v>0.22</v>
      </c>
      <c r="K92" s="19">
        <v>0.2576</v>
      </c>
      <c r="L92" s="21">
        <v>0.64</v>
      </c>
      <c r="M92" s="21">
        <v>8.9599999999999999E-2</v>
      </c>
      <c r="N92" s="21">
        <v>1</v>
      </c>
      <c r="O92" s="21">
        <v>34</v>
      </c>
      <c r="P92" s="22">
        <v>35</v>
      </c>
      <c r="Q92" s="38" t="str">
        <f t="shared" si="1"/>
        <v>Weekday</v>
      </c>
    </row>
    <row r="93" spans="1:17">
      <c r="A93" s="1">
        <v>92</v>
      </c>
      <c r="B93" s="2">
        <v>40547</v>
      </c>
      <c r="C93" s="1">
        <v>1</v>
      </c>
      <c r="D93" s="1">
        <v>0</v>
      </c>
      <c r="E93" s="1">
        <v>1</v>
      </c>
      <c r="F93" s="1">
        <v>23</v>
      </c>
      <c r="G93" s="1" t="b">
        <v>0</v>
      </c>
      <c r="H93" s="1">
        <v>2</v>
      </c>
      <c r="I93" s="1">
        <v>1</v>
      </c>
      <c r="J93" s="1">
        <v>0.2</v>
      </c>
      <c r="K93" s="20">
        <v>0.2273</v>
      </c>
      <c r="L93" s="23">
        <v>0.69</v>
      </c>
      <c r="M93" s="23">
        <v>8.9599999999999999E-2</v>
      </c>
      <c r="N93" s="23">
        <v>2</v>
      </c>
      <c r="O93" s="23">
        <v>9</v>
      </c>
      <c r="P93" s="24">
        <v>11</v>
      </c>
      <c r="Q93" s="38" t="str">
        <f t="shared" si="1"/>
        <v>Weekday</v>
      </c>
    </row>
    <row r="94" spans="1:17">
      <c r="A94" s="1">
        <v>93</v>
      </c>
      <c r="B94" s="2">
        <v>40548</v>
      </c>
      <c r="C94" s="1">
        <v>1</v>
      </c>
      <c r="D94" s="1">
        <v>0</v>
      </c>
      <c r="E94" s="1">
        <v>1</v>
      </c>
      <c r="F94" s="1">
        <v>0</v>
      </c>
      <c r="G94" s="1" t="b">
        <v>0</v>
      </c>
      <c r="H94" s="1">
        <v>3</v>
      </c>
      <c r="I94" s="1">
        <v>1</v>
      </c>
      <c r="J94" s="1">
        <v>0.2</v>
      </c>
      <c r="K94" s="19">
        <v>0.2576</v>
      </c>
      <c r="L94" s="21">
        <v>0.64</v>
      </c>
      <c r="M94" s="21">
        <v>0</v>
      </c>
      <c r="N94" s="21">
        <v>0</v>
      </c>
      <c r="O94" s="21">
        <v>6</v>
      </c>
      <c r="P94" s="22">
        <v>6</v>
      </c>
      <c r="Q94" s="38" t="str">
        <f t="shared" si="1"/>
        <v>Weekday</v>
      </c>
    </row>
    <row r="95" spans="1:17">
      <c r="A95" s="1">
        <v>94</v>
      </c>
      <c r="B95" s="2">
        <v>40548</v>
      </c>
      <c r="C95" s="1">
        <v>1</v>
      </c>
      <c r="D95" s="1">
        <v>0</v>
      </c>
      <c r="E95" s="1">
        <v>1</v>
      </c>
      <c r="F95" s="1">
        <v>1</v>
      </c>
      <c r="G95" s="1" t="b">
        <v>0</v>
      </c>
      <c r="H95" s="1">
        <v>3</v>
      </c>
      <c r="I95" s="1">
        <v>1</v>
      </c>
      <c r="J95" s="1">
        <v>0.16</v>
      </c>
      <c r="K95" s="20">
        <v>0.19700000000000001</v>
      </c>
      <c r="L95" s="23">
        <v>0.74</v>
      </c>
      <c r="M95" s="23">
        <v>8.9599999999999999E-2</v>
      </c>
      <c r="N95" s="23">
        <v>0</v>
      </c>
      <c r="O95" s="23">
        <v>6</v>
      </c>
      <c r="P95" s="24">
        <v>6</v>
      </c>
      <c r="Q95" s="38" t="str">
        <f t="shared" si="1"/>
        <v>Weekday</v>
      </c>
    </row>
    <row r="96" spans="1:17">
      <c r="A96" s="1">
        <v>95</v>
      </c>
      <c r="B96" s="2">
        <v>40548</v>
      </c>
      <c r="C96" s="1">
        <v>1</v>
      </c>
      <c r="D96" s="1">
        <v>0</v>
      </c>
      <c r="E96" s="1">
        <v>1</v>
      </c>
      <c r="F96" s="1">
        <v>2</v>
      </c>
      <c r="G96" s="1" t="b">
        <v>0</v>
      </c>
      <c r="H96" s="1">
        <v>3</v>
      </c>
      <c r="I96" s="1">
        <v>1</v>
      </c>
      <c r="J96" s="1">
        <v>0.16</v>
      </c>
      <c r="K96" s="19">
        <v>0.19700000000000001</v>
      </c>
      <c r="L96" s="21">
        <v>0.74</v>
      </c>
      <c r="M96" s="21">
        <v>8.9599999999999999E-2</v>
      </c>
      <c r="N96" s="21">
        <v>0</v>
      </c>
      <c r="O96" s="21">
        <v>2</v>
      </c>
      <c r="P96" s="22">
        <v>2</v>
      </c>
      <c r="Q96" s="38" t="str">
        <f t="shared" si="1"/>
        <v>Weekday</v>
      </c>
    </row>
    <row r="97" spans="1:17">
      <c r="A97" s="1">
        <v>96</v>
      </c>
      <c r="B97" s="2">
        <v>40548</v>
      </c>
      <c r="C97" s="1">
        <v>1</v>
      </c>
      <c r="D97" s="1">
        <v>0</v>
      </c>
      <c r="E97" s="1">
        <v>1</v>
      </c>
      <c r="F97" s="1">
        <v>4</v>
      </c>
      <c r="G97" s="1" t="b">
        <v>0</v>
      </c>
      <c r="H97" s="1">
        <v>3</v>
      </c>
      <c r="I97" s="1">
        <v>1</v>
      </c>
      <c r="J97" s="1">
        <v>0.24</v>
      </c>
      <c r="K97" s="20">
        <v>0.2273</v>
      </c>
      <c r="L97" s="23">
        <v>0.48</v>
      </c>
      <c r="M97" s="23">
        <v>0.22389999999999999</v>
      </c>
      <c r="N97" s="23">
        <v>0</v>
      </c>
      <c r="O97" s="23">
        <v>2</v>
      </c>
      <c r="P97" s="24">
        <v>2</v>
      </c>
      <c r="Q97" s="38" t="str">
        <f t="shared" si="1"/>
        <v>Weekday</v>
      </c>
    </row>
    <row r="98" spans="1:17">
      <c r="A98" s="1">
        <v>97</v>
      </c>
      <c r="B98" s="2">
        <v>40548</v>
      </c>
      <c r="C98" s="1">
        <v>1</v>
      </c>
      <c r="D98" s="1">
        <v>0</v>
      </c>
      <c r="E98" s="1">
        <v>1</v>
      </c>
      <c r="F98" s="1">
        <v>5</v>
      </c>
      <c r="G98" s="1" t="b">
        <v>0</v>
      </c>
      <c r="H98" s="1">
        <v>3</v>
      </c>
      <c r="I98" s="1">
        <v>1</v>
      </c>
      <c r="J98" s="1">
        <v>0.22</v>
      </c>
      <c r="K98" s="19">
        <v>0.2273</v>
      </c>
      <c r="L98" s="21">
        <v>0.47</v>
      </c>
      <c r="M98" s="21">
        <v>0.16420000000000001</v>
      </c>
      <c r="N98" s="21">
        <v>0</v>
      </c>
      <c r="O98" s="21">
        <v>3</v>
      </c>
      <c r="P98" s="22">
        <v>3</v>
      </c>
      <c r="Q98" s="38" t="str">
        <f t="shared" si="1"/>
        <v>Weekday</v>
      </c>
    </row>
    <row r="99" spans="1:17">
      <c r="A99" s="1">
        <v>98</v>
      </c>
      <c r="B99" s="2">
        <v>40548</v>
      </c>
      <c r="C99" s="1">
        <v>1</v>
      </c>
      <c r="D99" s="1">
        <v>0</v>
      </c>
      <c r="E99" s="1">
        <v>1</v>
      </c>
      <c r="F99" s="1">
        <v>6</v>
      </c>
      <c r="G99" s="1" t="b">
        <v>0</v>
      </c>
      <c r="H99" s="1">
        <v>3</v>
      </c>
      <c r="I99" s="1">
        <v>1</v>
      </c>
      <c r="J99" s="1">
        <v>0.2</v>
      </c>
      <c r="K99" s="20">
        <v>0.19700000000000001</v>
      </c>
      <c r="L99" s="23">
        <v>0.47</v>
      </c>
      <c r="M99" s="23">
        <v>0.22389999999999999</v>
      </c>
      <c r="N99" s="23">
        <v>0</v>
      </c>
      <c r="O99" s="23">
        <v>33</v>
      </c>
      <c r="P99" s="24">
        <v>33</v>
      </c>
      <c r="Q99" s="38" t="str">
        <f t="shared" si="1"/>
        <v>Weekday</v>
      </c>
    </row>
    <row r="100" spans="1:17">
      <c r="A100" s="1">
        <v>99</v>
      </c>
      <c r="B100" s="2">
        <v>40548</v>
      </c>
      <c r="C100" s="1">
        <v>1</v>
      </c>
      <c r="D100" s="1">
        <v>0</v>
      </c>
      <c r="E100" s="1">
        <v>1</v>
      </c>
      <c r="F100" s="1">
        <v>7</v>
      </c>
      <c r="G100" s="1" t="b">
        <v>0</v>
      </c>
      <c r="H100" s="1">
        <v>3</v>
      </c>
      <c r="I100" s="1">
        <v>1</v>
      </c>
      <c r="J100" s="1">
        <v>0.18</v>
      </c>
      <c r="K100" s="19">
        <v>0.18179999999999999</v>
      </c>
      <c r="L100" s="21">
        <v>0.43</v>
      </c>
      <c r="M100" s="21">
        <v>0.19400000000000001</v>
      </c>
      <c r="N100" s="21">
        <v>1</v>
      </c>
      <c r="O100" s="21">
        <v>87</v>
      </c>
      <c r="P100" s="22">
        <v>88</v>
      </c>
      <c r="Q100" s="38" t="str">
        <f t="shared" si="1"/>
        <v>Weekday</v>
      </c>
    </row>
    <row r="101" spans="1:17">
      <c r="A101" s="1">
        <v>100</v>
      </c>
      <c r="B101" s="2">
        <v>40548</v>
      </c>
      <c r="C101" s="1">
        <v>1</v>
      </c>
      <c r="D101" s="1">
        <v>0</v>
      </c>
      <c r="E101" s="1">
        <v>1</v>
      </c>
      <c r="F101" s="1">
        <v>8</v>
      </c>
      <c r="G101" s="1" t="b">
        <v>0</v>
      </c>
      <c r="H101" s="1">
        <v>3</v>
      </c>
      <c r="I101" s="1">
        <v>1</v>
      </c>
      <c r="J101" s="1">
        <v>0.2</v>
      </c>
      <c r="K101" s="20">
        <v>0.18179999999999999</v>
      </c>
      <c r="L101" s="23">
        <v>0.4</v>
      </c>
      <c r="M101" s="23">
        <v>0.29849999999999999</v>
      </c>
      <c r="N101" s="23">
        <v>3</v>
      </c>
      <c r="O101" s="23">
        <v>192</v>
      </c>
      <c r="P101" s="24">
        <v>195</v>
      </c>
      <c r="Q101" s="38" t="str">
        <f t="shared" si="1"/>
        <v>Weekday</v>
      </c>
    </row>
    <row r="102" spans="1:17">
      <c r="A102" s="1">
        <v>101</v>
      </c>
      <c r="B102" s="2">
        <v>40548</v>
      </c>
      <c r="C102" s="1">
        <v>1</v>
      </c>
      <c r="D102" s="1">
        <v>0</v>
      </c>
      <c r="E102" s="1">
        <v>1</v>
      </c>
      <c r="F102" s="1">
        <v>9</v>
      </c>
      <c r="G102" s="1" t="b">
        <v>0</v>
      </c>
      <c r="H102" s="1">
        <v>3</v>
      </c>
      <c r="I102" s="1">
        <v>1</v>
      </c>
      <c r="J102" s="1">
        <v>0.22</v>
      </c>
      <c r="K102" s="19">
        <v>0.19700000000000001</v>
      </c>
      <c r="L102" s="21">
        <v>0.37</v>
      </c>
      <c r="M102" s="21">
        <v>0.32840000000000003</v>
      </c>
      <c r="N102" s="21">
        <v>6</v>
      </c>
      <c r="O102" s="21">
        <v>109</v>
      </c>
      <c r="P102" s="22">
        <v>115</v>
      </c>
      <c r="Q102" s="38" t="str">
        <f t="shared" si="1"/>
        <v>Weekday</v>
      </c>
    </row>
    <row r="103" spans="1:17">
      <c r="A103" s="1">
        <v>102</v>
      </c>
      <c r="B103" s="2">
        <v>40548</v>
      </c>
      <c r="C103" s="1">
        <v>1</v>
      </c>
      <c r="D103" s="1">
        <v>0</v>
      </c>
      <c r="E103" s="1">
        <v>1</v>
      </c>
      <c r="F103" s="1">
        <v>10</v>
      </c>
      <c r="G103" s="1" t="b">
        <v>0</v>
      </c>
      <c r="H103" s="1">
        <v>3</v>
      </c>
      <c r="I103" s="1">
        <v>1</v>
      </c>
      <c r="J103" s="1">
        <v>0.22</v>
      </c>
      <c r="K103" s="20">
        <v>0.19700000000000001</v>
      </c>
      <c r="L103" s="23">
        <v>0.37</v>
      </c>
      <c r="M103" s="23">
        <v>0.32840000000000003</v>
      </c>
      <c r="N103" s="23">
        <v>4</v>
      </c>
      <c r="O103" s="23">
        <v>53</v>
      </c>
      <c r="P103" s="24">
        <v>57</v>
      </c>
      <c r="Q103" s="38" t="str">
        <f t="shared" si="1"/>
        <v>Weekday</v>
      </c>
    </row>
    <row r="104" spans="1:17">
      <c r="A104" s="1">
        <v>103</v>
      </c>
      <c r="B104" s="2">
        <v>40548</v>
      </c>
      <c r="C104" s="1">
        <v>1</v>
      </c>
      <c r="D104" s="1">
        <v>0</v>
      </c>
      <c r="E104" s="1">
        <v>1</v>
      </c>
      <c r="F104" s="1">
        <v>11</v>
      </c>
      <c r="G104" s="1" t="b">
        <v>0</v>
      </c>
      <c r="H104" s="1">
        <v>3</v>
      </c>
      <c r="I104" s="1">
        <v>1</v>
      </c>
      <c r="J104" s="1">
        <v>0.26</v>
      </c>
      <c r="K104" s="19">
        <v>0.2273</v>
      </c>
      <c r="L104" s="21">
        <v>0.33</v>
      </c>
      <c r="M104" s="21">
        <v>0.32840000000000003</v>
      </c>
      <c r="N104" s="21">
        <v>12</v>
      </c>
      <c r="O104" s="21">
        <v>34</v>
      </c>
      <c r="P104" s="22">
        <v>46</v>
      </c>
      <c r="Q104" s="38" t="str">
        <f t="shared" si="1"/>
        <v>Weekday</v>
      </c>
    </row>
    <row r="105" spans="1:17">
      <c r="A105" s="1">
        <v>104</v>
      </c>
      <c r="B105" s="2">
        <v>40548</v>
      </c>
      <c r="C105" s="1">
        <v>1</v>
      </c>
      <c r="D105" s="1">
        <v>0</v>
      </c>
      <c r="E105" s="1">
        <v>1</v>
      </c>
      <c r="F105" s="1">
        <v>12</v>
      </c>
      <c r="G105" s="1" t="b">
        <v>0</v>
      </c>
      <c r="H105" s="1">
        <v>3</v>
      </c>
      <c r="I105" s="1">
        <v>1</v>
      </c>
      <c r="J105" s="1">
        <v>0.26</v>
      </c>
      <c r="K105" s="20">
        <v>0.2273</v>
      </c>
      <c r="L105" s="23">
        <v>0.33</v>
      </c>
      <c r="M105" s="23">
        <v>0.32840000000000003</v>
      </c>
      <c r="N105" s="23">
        <v>5</v>
      </c>
      <c r="O105" s="23">
        <v>74</v>
      </c>
      <c r="P105" s="24">
        <v>79</v>
      </c>
      <c r="Q105" s="38" t="str">
        <f t="shared" si="1"/>
        <v>Weekday</v>
      </c>
    </row>
    <row r="106" spans="1:17">
      <c r="A106" s="1">
        <v>105</v>
      </c>
      <c r="B106" s="2">
        <v>40548</v>
      </c>
      <c r="C106" s="1">
        <v>1</v>
      </c>
      <c r="D106" s="1">
        <v>0</v>
      </c>
      <c r="E106" s="1">
        <v>1</v>
      </c>
      <c r="F106" s="1">
        <v>13</v>
      </c>
      <c r="G106" s="1" t="b">
        <v>0</v>
      </c>
      <c r="H106" s="1">
        <v>3</v>
      </c>
      <c r="I106" s="1">
        <v>1</v>
      </c>
      <c r="J106" s="1">
        <v>0.28000000000000003</v>
      </c>
      <c r="K106" s="19">
        <v>0.2576</v>
      </c>
      <c r="L106" s="21">
        <v>0.3</v>
      </c>
      <c r="M106" s="21">
        <v>0.29849999999999999</v>
      </c>
      <c r="N106" s="21">
        <v>6</v>
      </c>
      <c r="O106" s="21">
        <v>65</v>
      </c>
      <c r="P106" s="22">
        <v>71</v>
      </c>
      <c r="Q106" s="38" t="str">
        <f t="shared" si="1"/>
        <v>Weekday</v>
      </c>
    </row>
    <row r="107" spans="1:17">
      <c r="A107" s="1">
        <v>106</v>
      </c>
      <c r="B107" s="2">
        <v>40548</v>
      </c>
      <c r="C107" s="1">
        <v>1</v>
      </c>
      <c r="D107" s="1">
        <v>0</v>
      </c>
      <c r="E107" s="1">
        <v>1</v>
      </c>
      <c r="F107" s="1">
        <v>14</v>
      </c>
      <c r="G107" s="1" t="b">
        <v>0</v>
      </c>
      <c r="H107" s="1">
        <v>3</v>
      </c>
      <c r="I107" s="1">
        <v>1</v>
      </c>
      <c r="J107" s="1">
        <v>0.3</v>
      </c>
      <c r="K107" s="20">
        <v>0.28789999999999999</v>
      </c>
      <c r="L107" s="23">
        <v>0.28000000000000003</v>
      </c>
      <c r="M107" s="23">
        <v>0.19400000000000001</v>
      </c>
      <c r="N107" s="23">
        <v>10</v>
      </c>
      <c r="O107" s="23">
        <v>52</v>
      </c>
      <c r="P107" s="24">
        <v>62</v>
      </c>
      <c r="Q107" s="38" t="str">
        <f t="shared" si="1"/>
        <v>Weekday</v>
      </c>
    </row>
    <row r="108" spans="1:17">
      <c r="A108" s="1">
        <v>107</v>
      </c>
      <c r="B108" s="2">
        <v>40548</v>
      </c>
      <c r="C108" s="1">
        <v>1</v>
      </c>
      <c r="D108" s="1">
        <v>0</v>
      </c>
      <c r="E108" s="1">
        <v>1</v>
      </c>
      <c r="F108" s="1">
        <v>15</v>
      </c>
      <c r="G108" s="1" t="b">
        <v>0</v>
      </c>
      <c r="H108" s="1">
        <v>3</v>
      </c>
      <c r="I108" s="1">
        <v>1</v>
      </c>
      <c r="J108" s="1">
        <v>0.3</v>
      </c>
      <c r="K108" s="19">
        <v>0.28789999999999999</v>
      </c>
      <c r="L108" s="21">
        <v>0.28000000000000003</v>
      </c>
      <c r="M108" s="21">
        <v>0.19400000000000001</v>
      </c>
      <c r="N108" s="21">
        <v>7</v>
      </c>
      <c r="O108" s="21">
        <v>55</v>
      </c>
      <c r="P108" s="22">
        <v>62</v>
      </c>
      <c r="Q108" s="38" t="str">
        <f t="shared" si="1"/>
        <v>Weekday</v>
      </c>
    </row>
    <row r="109" spans="1:17">
      <c r="A109" s="1">
        <v>108</v>
      </c>
      <c r="B109" s="2">
        <v>40548</v>
      </c>
      <c r="C109" s="1">
        <v>1</v>
      </c>
      <c r="D109" s="1">
        <v>0</v>
      </c>
      <c r="E109" s="1">
        <v>1</v>
      </c>
      <c r="F109" s="1">
        <v>16</v>
      </c>
      <c r="G109" s="1" t="b">
        <v>0</v>
      </c>
      <c r="H109" s="1">
        <v>3</v>
      </c>
      <c r="I109" s="1">
        <v>1</v>
      </c>
      <c r="J109" s="1">
        <v>0.3</v>
      </c>
      <c r="K109" s="20">
        <v>0.31819999999999998</v>
      </c>
      <c r="L109" s="23">
        <v>0.28000000000000003</v>
      </c>
      <c r="M109" s="23">
        <v>8.9599999999999999E-2</v>
      </c>
      <c r="N109" s="23">
        <v>4</v>
      </c>
      <c r="O109" s="23">
        <v>85</v>
      </c>
      <c r="P109" s="24">
        <v>89</v>
      </c>
      <c r="Q109" s="38" t="str">
        <f t="shared" si="1"/>
        <v>Weekday</v>
      </c>
    </row>
    <row r="110" spans="1:17">
      <c r="A110" s="1">
        <v>109</v>
      </c>
      <c r="B110" s="2">
        <v>40548</v>
      </c>
      <c r="C110" s="1">
        <v>1</v>
      </c>
      <c r="D110" s="1">
        <v>0</v>
      </c>
      <c r="E110" s="1">
        <v>1</v>
      </c>
      <c r="F110" s="1">
        <v>17</v>
      </c>
      <c r="G110" s="1" t="b">
        <v>0</v>
      </c>
      <c r="H110" s="1">
        <v>3</v>
      </c>
      <c r="I110" s="1">
        <v>1</v>
      </c>
      <c r="J110" s="1">
        <v>0.24</v>
      </c>
      <c r="K110" s="19">
        <v>0.2273</v>
      </c>
      <c r="L110" s="21">
        <v>0.38</v>
      </c>
      <c r="M110" s="21">
        <v>0.19400000000000001</v>
      </c>
      <c r="N110" s="21">
        <v>4</v>
      </c>
      <c r="O110" s="21">
        <v>186</v>
      </c>
      <c r="P110" s="22">
        <v>190</v>
      </c>
      <c r="Q110" s="38" t="str">
        <f t="shared" si="1"/>
        <v>Weekday</v>
      </c>
    </row>
    <row r="111" spans="1:17">
      <c r="A111" s="1">
        <v>110</v>
      </c>
      <c r="B111" s="2">
        <v>40548</v>
      </c>
      <c r="C111" s="1">
        <v>1</v>
      </c>
      <c r="D111" s="1">
        <v>0</v>
      </c>
      <c r="E111" s="1">
        <v>1</v>
      </c>
      <c r="F111" s="1">
        <v>18</v>
      </c>
      <c r="G111" s="1" t="b">
        <v>0</v>
      </c>
      <c r="H111" s="1">
        <v>3</v>
      </c>
      <c r="I111" s="1">
        <v>1</v>
      </c>
      <c r="J111" s="1">
        <v>0.24</v>
      </c>
      <c r="K111" s="20">
        <v>0.2424</v>
      </c>
      <c r="L111" s="23">
        <v>0.38</v>
      </c>
      <c r="M111" s="23">
        <v>0.1343</v>
      </c>
      <c r="N111" s="23">
        <v>3</v>
      </c>
      <c r="O111" s="23">
        <v>166</v>
      </c>
      <c r="P111" s="24">
        <v>169</v>
      </c>
      <c r="Q111" s="38" t="str">
        <f t="shared" si="1"/>
        <v>Weekday</v>
      </c>
    </row>
    <row r="112" spans="1:17">
      <c r="A112" s="1">
        <v>111</v>
      </c>
      <c r="B112" s="2">
        <v>40548</v>
      </c>
      <c r="C112" s="1">
        <v>1</v>
      </c>
      <c r="D112" s="1">
        <v>0</v>
      </c>
      <c r="E112" s="1">
        <v>1</v>
      </c>
      <c r="F112" s="1">
        <v>19</v>
      </c>
      <c r="G112" s="1" t="b">
        <v>0</v>
      </c>
      <c r="H112" s="1">
        <v>3</v>
      </c>
      <c r="I112" s="1">
        <v>1</v>
      </c>
      <c r="J112" s="1">
        <v>0.24</v>
      </c>
      <c r="K112" s="19">
        <v>0.2576</v>
      </c>
      <c r="L112" s="21">
        <v>0.38</v>
      </c>
      <c r="M112" s="21">
        <v>0.1045</v>
      </c>
      <c r="N112" s="21">
        <v>5</v>
      </c>
      <c r="O112" s="21">
        <v>127</v>
      </c>
      <c r="P112" s="22">
        <v>132</v>
      </c>
      <c r="Q112" s="38" t="str">
        <f t="shared" si="1"/>
        <v>Weekday</v>
      </c>
    </row>
    <row r="113" spans="1:17">
      <c r="A113" s="1">
        <v>112</v>
      </c>
      <c r="B113" s="2">
        <v>40548</v>
      </c>
      <c r="C113" s="1">
        <v>1</v>
      </c>
      <c r="D113" s="1">
        <v>0</v>
      </c>
      <c r="E113" s="1">
        <v>1</v>
      </c>
      <c r="F113" s="1">
        <v>20</v>
      </c>
      <c r="G113" s="1" t="b">
        <v>0</v>
      </c>
      <c r="H113" s="1">
        <v>3</v>
      </c>
      <c r="I113" s="1">
        <v>1</v>
      </c>
      <c r="J113" s="1">
        <v>0.22</v>
      </c>
      <c r="K113" s="20">
        <v>0.2273</v>
      </c>
      <c r="L113" s="23">
        <v>0.47</v>
      </c>
      <c r="M113" s="23">
        <v>0.16420000000000001</v>
      </c>
      <c r="N113" s="23">
        <v>7</v>
      </c>
      <c r="O113" s="23">
        <v>82</v>
      </c>
      <c r="P113" s="24">
        <v>89</v>
      </c>
      <c r="Q113" s="38" t="str">
        <f t="shared" si="1"/>
        <v>Weekday</v>
      </c>
    </row>
    <row r="114" spans="1:17">
      <c r="A114" s="1">
        <v>113</v>
      </c>
      <c r="B114" s="2">
        <v>40548</v>
      </c>
      <c r="C114" s="1">
        <v>1</v>
      </c>
      <c r="D114" s="1">
        <v>0</v>
      </c>
      <c r="E114" s="1">
        <v>1</v>
      </c>
      <c r="F114" s="1">
        <v>21</v>
      </c>
      <c r="G114" s="1" t="b">
        <v>0</v>
      </c>
      <c r="H114" s="1">
        <v>3</v>
      </c>
      <c r="I114" s="1">
        <v>1</v>
      </c>
      <c r="J114" s="1">
        <v>0.2</v>
      </c>
      <c r="K114" s="19">
        <v>0.19700000000000001</v>
      </c>
      <c r="L114" s="21">
        <v>0.51</v>
      </c>
      <c r="M114" s="21">
        <v>0.19400000000000001</v>
      </c>
      <c r="N114" s="21">
        <v>3</v>
      </c>
      <c r="O114" s="21">
        <v>40</v>
      </c>
      <c r="P114" s="22">
        <v>43</v>
      </c>
      <c r="Q114" s="38" t="str">
        <f t="shared" si="1"/>
        <v>Weekday</v>
      </c>
    </row>
    <row r="115" spans="1:17">
      <c r="A115" s="1">
        <v>114</v>
      </c>
      <c r="B115" s="2">
        <v>40548</v>
      </c>
      <c r="C115" s="1">
        <v>1</v>
      </c>
      <c r="D115" s="1">
        <v>0</v>
      </c>
      <c r="E115" s="1">
        <v>1</v>
      </c>
      <c r="F115" s="1">
        <v>22</v>
      </c>
      <c r="G115" s="1" t="b">
        <v>0</v>
      </c>
      <c r="H115" s="1">
        <v>3</v>
      </c>
      <c r="I115" s="1">
        <v>1</v>
      </c>
      <c r="J115" s="1">
        <v>0.18</v>
      </c>
      <c r="K115" s="20">
        <v>0.19700000000000001</v>
      </c>
      <c r="L115" s="23">
        <v>0.55000000000000004</v>
      </c>
      <c r="M115" s="23">
        <v>0.1343</v>
      </c>
      <c r="N115" s="23">
        <v>1</v>
      </c>
      <c r="O115" s="23">
        <v>41</v>
      </c>
      <c r="P115" s="24">
        <v>42</v>
      </c>
      <c r="Q115" s="38" t="str">
        <f t="shared" si="1"/>
        <v>Weekday</v>
      </c>
    </row>
    <row r="116" spans="1:17">
      <c r="A116" s="1">
        <v>115</v>
      </c>
      <c r="B116" s="2">
        <v>40548</v>
      </c>
      <c r="C116" s="1">
        <v>1</v>
      </c>
      <c r="D116" s="1">
        <v>0</v>
      </c>
      <c r="E116" s="1">
        <v>1</v>
      </c>
      <c r="F116" s="1">
        <v>23</v>
      </c>
      <c r="G116" s="1" t="b">
        <v>0</v>
      </c>
      <c r="H116" s="1">
        <v>3</v>
      </c>
      <c r="I116" s="1">
        <v>1</v>
      </c>
      <c r="J116" s="1">
        <v>0.2</v>
      </c>
      <c r="K116" s="19">
        <v>0.2576</v>
      </c>
      <c r="L116" s="21">
        <v>0.47</v>
      </c>
      <c r="M116" s="21">
        <v>0</v>
      </c>
      <c r="N116" s="21">
        <v>1</v>
      </c>
      <c r="O116" s="21">
        <v>18</v>
      </c>
      <c r="P116" s="22">
        <v>19</v>
      </c>
      <c r="Q116" s="38" t="str">
        <f t="shared" si="1"/>
        <v>Weekday</v>
      </c>
    </row>
    <row r="117" spans="1:17">
      <c r="A117" s="1">
        <v>116</v>
      </c>
      <c r="B117" s="2">
        <v>40549</v>
      </c>
      <c r="C117" s="1">
        <v>1</v>
      </c>
      <c r="D117" s="1">
        <v>0</v>
      </c>
      <c r="E117" s="1">
        <v>1</v>
      </c>
      <c r="F117" s="1">
        <v>0</v>
      </c>
      <c r="G117" s="1" t="b">
        <v>0</v>
      </c>
      <c r="H117" s="1">
        <v>4</v>
      </c>
      <c r="I117" s="1">
        <v>1</v>
      </c>
      <c r="J117" s="1">
        <v>0.18</v>
      </c>
      <c r="K117" s="20">
        <v>0.2424</v>
      </c>
      <c r="L117" s="23">
        <v>0.55000000000000004</v>
      </c>
      <c r="M117" s="23">
        <v>0</v>
      </c>
      <c r="N117" s="23">
        <v>0</v>
      </c>
      <c r="O117" s="23">
        <v>11</v>
      </c>
      <c r="P117" s="24">
        <v>11</v>
      </c>
      <c r="Q117" s="38" t="str">
        <f t="shared" si="1"/>
        <v>Weekday</v>
      </c>
    </row>
    <row r="118" spans="1:17">
      <c r="A118" s="1">
        <v>117</v>
      </c>
      <c r="B118" s="2">
        <v>40549</v>
      </c>
      <c r="C118" s="1">
        <v>1</v>
      </c>
      <c r="D118" s="1">
        <v>0</v>
      </c>
      <c r="E118" s="1">
        <v>1</v>
      </c>
      <c r="F118" s="1">
        <v>1</v>
      </c>
      <c r="G118" s="1" t="b">
        <v>0</v>
      </c>
      <c r="H118" s="1">
        <v>4</v>
      </c>
      <c r="I118" s="1">
        <v>1</v>
      </c>
      <c r="J118" s="1">
        <v>0.16</v>
      </c>
      <c r="K118" s="19">
        <v>0.2273</v>
      </c>
      <c r="L118" s="21">
        <v>0.64</v>
      </c>
      <c r="M118" s="21">
        <v>0</v>
      </c>
      <c r="N118" s="21">
        <v>0</v>
      </c>
      <c r="O118" s="21">
        <v>4</v>
      </c>
      <c r="P118" s="22">
        <v>4</v>
      </c>
      <c r="Q118" s="38" t="str">
        <f t="shared" si="1"/>
        <v>Weekday</v>
      </c>
    </row>
    <row r="119" spans="1:17">
      <c r="A119" s="1">
        <v>118</v>
      </c>
      <c r="B119" s="2">
        <v>40549</v>
      </c>
      <c r="C119" s="1">
        <v>1</v>
      </c>
      <c r="D119" s="1">
        <v>0</v>
      </c>
      <c r="E119" s="1">
        <v>1</v>
      </c>
      <c r="F119" s="1">
        <v>2</v>
      </c>
      <c r="G119" s="1" t="b">
        <v>0</v>
      </c>
      <c r="H119" s="1">
        <v>4</v>
      </c>
      <c r="I119" s="1">
        <v>1</v>
      </c>
      <c r="J119" s="1">
        <v>0.16</v>
      </c>
      <c r="K119" s="20">
        <v>0.2273</v>
      </c>
      <c r="L119" s="23">
        <v>0.64</v>
      </c>
      <c r="M119" s="23">
        <v>0</v>
      </c>
      <c r="N119" s="23">
        <v>0</v>
      </c>
      <c r="O119" s="23">
        <v>2</v>
      </c>
      <c r="P119" s="24">
        <v>2</v>
      </c>
      <c r="Q119" s="38" t="str">
        <f t="shared" si="1"/>
        <v>Weekday</v>
      </c>
    </row>
    <row r="120" spans="1:17">
      <c r="A120" s="1">
        <v>119</v>
      </c>
      <c r="B120" s="2">
        <v>40549</v>
      </c>
      <c r="C120" s="1">
        <v>1</v>
      </c>
      <c r="D120" s="1">
        <v>0</v>
      </c>
      <c r="E120" s="1">
        <v>1</v>
      </c>
      <c r="F120" s="1">
        <v>4</v>
      </c>
      <c r="G120" s="1" t="b">
        <v>0</v>
      </c>
      <c r="H120" s="1">
        <v>4</v>
      </c>
      <c r="I120" s="1">
        <v>2</v>
      </c>
      <c r="J120" s="1">
        <v>0.16</v>
      </c>
      <c r="K120" s="19">
        <v>0.19700000000000001</v>
      </c>
      <c r="L120" s="21">
        <v>0.64</v>
      </c>
      <c r="M120" s="21">
        <v>8.9599999999999999E-2</v>
      </c>
      <c r="N120" s="21">
        <v>0</v>
      </c>
      <c r="O120" s="21">
        <v>1</v>
      </c>
      <c r="P120" s="22">
        <v>1</v>
      </c>
      <c r="Q120" s="38" t="str">
        <f t="shared" si="1"/>
        <v>Weekday</v>
      </c>
    </row>
    <row r="121" spans="1:17">
      <c r="A121" s="1">
        <v>120</v>
      </c>
      <c r="B121" s="2">
        <v>40549</v>
      </c>
      <c r="C121" s="1">
        <v>1</v>
      </c>
      <c r="D121" s="1">
        <v>0</v>
      </c>
      <c r="E121" s="1">
        <v>1</v>
      </c>
      <c r="F121" s="1">
        <v>5</v>
      </c>
      <c r="G121" s="1" t="b">
        <v>0</v>
      </c>
      <c r="H121" s="1">
        <v>4</v>
      </c>
      <c r="I121" s="1">
        <v>2</v>
      </c>
      <c r="J121" s="1">
        <v>0.14000000000000001</v>
      </c>
      <c r="K121" s="20">
        <v>0.18179999999999999</v>
      </c>
      <c r="L121" s="23">
        <v>0.69</v>
      </c>
      <c r="M121" s="23">
        <v>8.9599999999999999E-2</v>
      </c>
      <c r="N121" s="23">
        <v>0</v>
      </c>
      <c r="O121" s="23">
        <v>4</v>
      </c>
      <c r="P121" s="24">
        <v>4</v>
      </c>
      <c r="Q121" s="38" t="str">
        <f t="shared" si="1"/>
        <v>Weekday</v>
      </c>
    </row>
    <row r="122" spans="1:17">
      <c r="A122" s="1">
        <v>121</v>
      </c>
      <c r="B122" s="2">
        <v>40549</v>
      </c>
      <c r="C122" s="1">
        <v>1</v>
      </c>
      <c r="D122" s="1">
        <v>0</v>
      </c>
      <c r="E122" s="1">
        <v>1</v>
      </c>
      <c r="F122" s="1">
        <v>6</v>
      </c>
      <c r="G122" s="1" t="b">
        <v>0</v>
      </c>
      <c r="H122" s="1">
        <v>4</v>
      </c>
      <c r="I122" s="1">
        <v>2</v>
      </c>
      <c r="J122" s="1">
        <v>0.14000000000000001</v>
      </c>
      <c r="K122" s="19">
        <v>0.16669999999999999</v>
      </c>
      <c r="L122" s="21">
        <v>0.63</v>
      </c>
      <c r="M122" s="21">
        <v>0.1045</v>
      </c>
      <c r="N122" s="21">
        <v>0</v>
      </c>
      <c r="O122" s="21">
        <v>36</v>
      </c>
      <c r="P122" s="22">
        <v>36</v>
      </c>
      <c r="Q122" s="38" t="str">
        <f t="shared" si="1"/>
        <v>Weekday</v>
      </c>
    </row>
    <row r="123" spans="1:17">
      <c r="A123" s="1">
        <v>122</v>
      </c>
      <c r="B123" s="2">
        <v>40549</v>
      </c>
      <c r="C123" s="1">
        <v>1</v>
      </c>
      <c r="D123" s="1">
        <v>0</v>
      </c>
      <c r="E123" s="1">
        <v>1</v>
      </c>
      <c r="F123" s="1">
        <v>7</v>
      </c>
      <c r="G123" s="1" t="b">
        <v>0</v>
      </c>
      <c r="H123" s="1">
        <v>4</v>
      </c>
      <c r="I123" s="1">
        <v>2</v>
      </c>
      <c r="J123" s="1">
        <v>0.16</v>
      </c>
      <c r="K123" s="20">
        <v>0.2273</v>
      </c>
      <c r="L123" s="23">
        <v>0.59</v>
      </c>
      <c r="M123" s="23">
        <v>0</v>
      </c>
      <c r="N123" s="23">
        <v>0</v>
      </c>
      <c r="O123" s="23">
        <v>95</v>
      </c>
      <c r="P123" s="24">
        <v>95</v>
      </c>
      <c r="Q123" s="38" t="str">
        <f t="shared" si="1"/>
        <v>Weekday</v>
      </c>
    </row>
    <row r="124" spans="1:17">
      <c r="A124" s="1">
        <v>123</v>
      </c>
      <c r="B124" s="2">
        <v>40549</v>
      </c>
      <c r="C124" s="1">
        <v>1</v>
      </c>
      <c r="D124" s="1">
        <v>0</v>
      </c>
      <c r="E124" s="1">
        <v>1</v>
      </c>
      <c r="F124" s="1">
        <v>8</v>
      </c>
      <c r="G124" s="1" t="b">
        <v>0</v>
      </c>
      <c r="H124" s="1">
        <v>4</v>
      </c>
      <c r="I124" s="1">
        <v>1</v>
      </c>
      <c r="J124" s="1">
        <v>0.16</v>
      </c>
      <c r="K124" s="19">
        <v>0.2273</v>
      </c>
      <c r="L124" s="21">
        <v>0.59</v>
      </c>
      <c r="M124" s="21">
        <v>0</v>
      </c>
      <c r="N124" s="21">
        <v>3</v>
      </c>
      <c r="O124" s="21">
        <v>216</v>
      </c>
      <c r="P124" s="22">
        <v>219</v>
      </c>
      <c r="Q124" s="38" t="str">
        <f t="shared" si="1"/>
        <v>Weekday</v>
      </c>
    </row>
    <row r="125" spans="1:17">
      <c r="A125" s="1">
        <v>124</v>
      </c>
      <c r="B125" s="2">
        <v>40549</v>
      </c>
      <c r="C125" s="1">
        <v>1</v>
      </c>
      <c r="D125" s="1">
        <v>0</v>
      </c>
      <c r="E125" s="1">
        <v>1</v>
      </c>
      <c r="F125" s="1">
        <v>9</v>
      </c>
      <c r="G125" s="1" t="b">
        <v>0</v>
      </c>
      <c r="H125" s="1">
        <v>4</v>
      </c>
      <c r="I125" s="1">
        <v>2</v>
      </c>
      <c r="J125" s="1">
        <v>0.18</v>
      </c>
      <c r="K125" s="20">
        <v>0.2424</v>
      </c>
      <c r="L125" s="23">
        <v>0.51</v>
      </c>
      <c r="M125" s="23">
        <v>0</v>
      </c>
      <c r="N125" s="23">
        <v>6</v>
      </c>
      <c r="O125" s="23">
        <v>116</v>
      </c>
      <c r="P125" s="24">
        <v>122</v>
      </c>
      <c r="Q125" s="38" t="str">
        <f t="shared" si="1"/>
        <v>Weekday</v>
      </c>
    </row>
    <row r="126" spans="1:17">
      <c r="A126" s="1">
        <v>125</v>
      </c>
      <c r="B126" s="2">
        <v>40549</v>
      </c>
      <c r="C126" s="1">
        <v>1</v>
      </c>
      <c r="D126" s="1">
        <v>0</v>
      </c>
      <c r="E126" s="1">
        <v>1</v>
      </c>
      <c r="F126" s="1">
        <v>10</v>
      </c>
      <c r="G126" s="1" t="b">
        <v>0</v>
      </c>
      <c r="H126" s="1">
        <v>4</v>
      </c>
      <c r="I126" s="1">
        <v>1</v>
      </c>
      <c r="J126" s="1">
        <v>0.2</v>
      </c>
      <c r="K126" s="19">
        <v>0.2576</v>
      </c>
      <c r="L126" s="21">
        <v>0.47</v>
      </c>
      <c r="M126" s="21">
        <v>0</v>
      </c>
      <c r="N126" s="21">
        <v>3</v>
      </c>
      <c r="O126" s="21">
        <v>42</v>
      </c>
      <c r="P126" s="22">
        <v>45</v>
      </c>
      <c r="Q126" s="38" t="str">
        <f t="shared" si="1"/>
        <v>Weekday</v>
      </c>
    </row>
    <row r="127" spans="1:17">
      <c r="A127" s="1">
        <v>126</v>
      </c>
      <c r="B127" s="2">
        <v>40549</v>
      </c>
      <c r="C127" s="1">
        <v>1</v>
      </c>
      <c r="D127" s="1">
        <v>0</v>
      </c>
      <c r="E127" s="1">
        <v>1</v>
      </c>
      <c r="F127" s="1">
        <v>11</v>
      </c>
      <c r="G127" s="1" t="b">
        <v>0</v>
      </c>
      <c r="H127" s="1">
        <v>4</v>
      </c>
      <c r="I127" s="1">
        <v>1</v>
      </c>
      <c r="J127" s="1">
        <v>0.22</v>
      </c>
      <c r="K127" s="20">
        <v>0.2576</v>
      </c>
      <c r="L127" s="23">
        <v>0.44</v>
      </c>
      <c r="M127" s="23">
        <v>8.9599999999999999E-2</v>
      </c>
      <c r="N127" s="23">
        <v>2</v>
      </c>
      <c r="O127" s="23">
        <v>57</v>
      </c>
      <c r="P127" s="24">
        <v>59</v>
      </c>
      <c r="Q127" s="38" t="str">
        <f t="shared" si="1"/>
        <v>Weekday</v>
      </c>
    </row>
    <row r="128" spans="1:17">
      <c r="A128" s="1">
        <v>127</v>
      </c>
      <c r="B128" s="2">
        <v>40549</v>
      </c>
      <c r="C128" s="1">
        <v>1</v>
      </c>
      <c r="D128" s="1">
        <v>0</v>
      </c>
      <c r="E128" s="1">
        <v>1</v>
      </c>
      <c r="F128" s="1">
        <v>12</v>
      </c>
      <c r="G128" s="1" t="b">
        <v>0</v>
      </c>
      <c r="H128" s="1">
        <v>4</v>
      </c>
      <c r="I128" s="1">
        <v>1</v>
      </c>
      <c r="J128" s="1">
        <v>0.26</v>
      </c>
      <c r="K128" s="19">
        <v>0.28789999999999999</v>
      </c>
      <c r="L128" s="21">
        <v>0.35</v>
      </c>
      <c r="M128" s="21">
        <v>0</v>
      </c>
      <c r="N128" s="21">
        <v>6</v>
      </c>
      <c r="O128" s="21">
        <v>78</v>
      </c>
      <c r="P128" s="22">
        <v>84</v>
      </c>
      <c r="Q128" s="38" t="str">
        <f t="shared" si="1"/>
        <v>Weekday</v>
      </c>
    </row>
    <row r="129" spans="1:17">
      <c r="A129" s="1">
        <v>128</v>
      </c>
      <c r="B129" s="2">
        <v>40549</v>
      </c>
      <c r="C129" s="1">
        <v>1</v>
      </c>
      <c r="D129" s="1">
        <v>0</v>
      </c>
      <c r="E129" s="1">
        <v>1</v>
      </c>
      <c r="F129" s="1">
        <v>13</v>
      </c>
      <c r="G129" s="1" t="b">
        <v>0</v>
      </c>
      <c r="H129" s="1">
        <v>4</v>
      </c>
      <c r="I129" s="1">
        <v>1</v>
      </c>
      <c r="J129" s="1">
        <v>0.26</v>
      </c>
      <c r="K129" s="20">
        <v>0.2727</v>
      </c>
      <c r="L129" s="23">
        <v>0.35</v>
      </c>
      <c r="M129" s="23">
        <v>0.1045</v>
      </c>
      <c r="N129" s="23">
        <v>12</v>
      </c>
      <c r="O129" s="23">
        <v>55</v>
      </c>
      <c r="P129" s="24">
        <v>67</v>
      </c>
      <c r="Q129" s="38" t="str">
        <f t="shared" si="1"/>
        <v>Weekday</v>
      </c>
    </row>
    <row r="130" spans="1:17">
      <c r="A130" s="1">
        <v>129</v>
      </c>
      <c r="B130" s="2">
        <v>40549</v>
      </c>
      <c r="C130" s="1">
        <v>1</v>
      </c>
      <c r="D130" s="1">
        <v>0</v>
      </c>
      <c r="E130" s="1">
        <v>1</v>
      </c>
      <c r="F130" s="1">
        <v>14</v>
      </c>
      <c r="G130" s="1" t="b">
        <v>0</v>
      </c>
      <c r="H130" s="1">
        <v>4</v>
      </c>
      <c r="I130" s="1">
        <v>1</v>
      </c>
      <c r="J130" s="1">
        <v>0.28000000000000003</v>
      </c>
      <c r="K130" s="19">
        <v>0.2727</v>
      </c>
      <c r="L130" s="21">
        <v>0.36</v>
      </c>
      <c r="M130" s="21">
        <v>0.16420000000000001</v>
      </c>
      <c r="N130" s="21">
        <v>11</v>
      </c>
      <c r="O130" s="21">
        <v>59</v>
      </c>
      <c r="P130" s="22">
        <v>70</v>
      </c>
      <c r="Q130" s="38" t="str">
        <f t="shared" ref="Q130:Q193" si="2">IF(H130&gt;=6,"Weekend","Weekday")</f>
        <v>Weekday</v>
      </c>
    </row>
    <row r="131" spans="1:17">
      <c r="A131" s="1">
        <v>130</v>
      </c>
      <c r="B131" s="2">
        <v>40549</v>
      </c>
      <c r="C131" s="1">
        <v>1</v>
      </c>
      <c r="D131" s="1">
        <v>0</v>
      </c>
      <c r="E131" s="1">
        <v>1</v>
      </c>
      <c r="F131" s="1">
        <v>15</v>
      </c>
      <c r="G131" s="1" t="b">
        <v>0</v>
      </c>
      <c r="H131" s="1">
        <v>4</v>
      </c>
      <c r="I131" s="1">
        <v>1</v>
      </c>
      <c r="J131" s="1">
        <v>0.28000000000000003</v>
      </c>
      <c r="K131" s="20">
        <v>0.2727</v>
      </c>
      <c r="L131" s="23">
        <v>0.36</v>
      </c>
      <c r="M131" s="23">
        <v>0</v>
      </c>
      <c r="N131" s="23">
        <v>8</v>
      </c>
      <c r="O131" s="23">
        <v>54</v>
      </c>
      <c r="P131" s="24">
        <v>62</v>
      </c>
      <c r="Q131" s="38" t="str">
        <f t="shared" si="2"/>
        <v>Weekday</v>
      </c>
    </row>
    <row r="132" spans="1:17">
      <c r="A132" s="1">
        <v>131</v>
      </c>
      <c r="B132" s="2">
        <v>40549</v>
      </c>
      <c r="C132" s="1">
        <v>1</v>
      </c>
      <c r="D132" s="1">
        <v>0</v>
      </c>
      <c r="E132" s="1">
        <v>1</v>
      </c>
      <c r="F132" s="1">
        <v>16</v>
      </c>
      <c r="G132" s="1" t="b">
        <v>0</v>
      </c>
      <c r="H132" s="1">
        <v>4</v>
      </c>
      <c r="I132" s="1">
        <v>1</v>
      </c>
      <c r="J132" s="1">
        <v>0.26</v>
      </c>
      <c r="K132" s="19">
        <v>0.2576</v>
      </c>
      <c r="L132" s="21">
        <v>0.38</v>
      </c>
      <c r="M132" s="21">
        <v>0.16420000000000001</v>
      </c>
      <c r="N132" s="21">
        <v>12</v>
      </c>
      <c r="O132" s="21">
        <v>74</v>
      </c>
      <c r="P132" s="22">
        <v>86</v>
      </c>
      <c r="Q132" s="38" t="str">
        <f t="shared" si="2"/>
        <v>Weekday</v>
      </c>
    </row>
    <row r="133" spans="1:17">
      <c r="A133" s="1">
        <v>132</v>
      </c>
      <c r="B133" s="2">
        <v>40549</v>
      </c>
      <c r="C133" s="1">
        <v>1</v>
      </c>
      <c r="D133" s="1">
        <v>0</v>
      </c>
      <c r="E133" s="1">
        <v>1</v>
      </c>
      <c r="F133" s="1">
        <v>17</v>
      </c>
      <c r="G133" s="1" t="b">
        <v>0</v>
      </c>
      <c r="H133" s="1">
        <v>4</v>
      </c>
      <c r="I133" s="1">
        <v>1</v>
      </c>
      <c r="J133" s="1">
        <v>0.22</v>
      </c>
      <c r="K133" s="20">
        <v>0.2273</v>
      </c>
      <c r="L133" s="23">
        <v>0.51</v>
      </c>
      <c r="M133" s="23">
        <v>0.16420000000000001</v>
      </c>
      <c r="N133" s="23">
        <v>9</v>
      </c>
      <c r="O133" s="23">
        <v>163</v>
      </c>
      <c r="P133" s="24">
        <v>172</v>
      </c>
      <c r="Q133" s="38" t="str">
        <f t="shared" si="2"/>
        <v>Weekday</v>
      </c>
    </row>
    <row r="134" spans="1:17">
      <c r="A134" s="1">
        <v>133</v>
      </c>
      <c r="B134" s="2">
        <v>40549</v>
      </c>
      <c r="C134" s="1">
        <v>1</v>
      </c>
      <c r="D134" s="1">
        <v>0</v>
      </c>
      <c r="E134" s="1">
        <v>1</v>
      </c>
      <c r="F134" s="1">
        <v>18</v>
      </c>
      <c r="G134" s="1" t="b">
        <v>0</v>
      </c>
      <c r="H134" s="1">
        <v>4</v>
      </c>
      <c r="I134" s="1">
        <v>1</v>
      </c>
      <c r="J134" s="1">
        <v>0.22</v>
      </c>
      <c r="K134" s="19">
        <v>0.2273</v>
      </c>
      <c r="L134" s="21">
        <v>0.51</v>
      </c>
      <c r="M134" s="21">
        <v>0.1343</v>
      </c>
      <c r="N134" s="21">
        <v>5</v>
      </c>
      <c r="O134" s="21">
        <v>158</v>
      </c>
      <c r="P134" s="22">
        <v>163</v>
      </c>
      <c r="Q134" s="38" t="str">
        <f t="shared" si="2"/>
        <v>Weekday</v>
      </c>
    </row>
    <row r="135" spans="1:17">
      <c r="A135" s="1">
        <v>134</v>
      </c>
      <c r="B135" s="2">
        <v>40549</v>
      </c>
      <c r="C135" s="1">
        <v>1</v>
      </c>
      <c r="D135" s="1">
        <v>0</v>
      </c>
      <c r="E135" s="1">
        <v>1</v>
      </c>
      <c r="F135" s="1">
        <v>19</v>
      </c>
      <c r="G135" s="1" t="b">
        <v>0</v>
      </c>
      <c r="H135" s="1">
        <v>4</v>
      </c>
      <c r="I135" s="1">
        <v>1</v>
      </c>
      <c r="J135" s="1">
        <v>0.22</v>
      </c>
      <c r="K135" s="20">
        <v>0.2576</v>
      </c>
      <c r="L135" s="23">
        <v>0.55000000000000004</v>
      </c>
      <c r="M135" s="23">
        <v>8.9599999999999999E-2</v>
      </c>
      <c r="N135" s="23">
        <v>3</v>
      </c>
      <c r="O135" s="23">
        <v>109</v>
      </c>
      <c r="P135" s="24">
        <v>112</v>
      </c>
      <c r="Q135" s="38" t="str">
        <f t="shared" si="2"/>
        <v>Weekday</v>
      </c>
    </row>
    <row r="136" spans="1:17">
      <c r="A136" s="1">
        <v>135</v>
      </c>
      <c r="B136" s="2">
        <v>40549</v>
      </c>
      <c r="C136" s="1">
        <v>1</v>
      </c>
      <c r="D136" s="1">
        <v>0</v>
      </c>
      <c r="E136" s="1">
        <v>1</v>
      </c>
      <c r="F136" s="1">
        <v>20</v>
      </c>
      <c r="G136" s="1" t="b">
        <v>0</v>
      </c>
      <c r="H136" s="1">
        <v>4</v>
      </c>
      <c r="I136" s="1">
        <v>1</v>
      </c>
      <c r="J136" s="1">
        <v>0.2</v>
      </c>
      <c r="K136" s="19">
        <v>0.21210000000000001</v>
      </c>
      <c r="L136" s="21">
        <v>0.51</v>
      </c>
      <c r="M136" s="21">
        <v>0.16420000000000001</v>
      </c>
      <c r="N136" s="21">
        <v>3</v>
      </c>
      <c r="O136" s="21">
        <v>66</v>
      </c>
      <c r="P136" s="22">
        <v>69</v>
      </c>
      <c r="Q136" s="38" t="str">
        <f t="shared" si="2"/>
        <v>Weekday</v>
      </c>
    </row>
    <row r="137" spans="1:17">
      <c r="A137" s="1">
        <v>136</v>
      </c>
      <c r="B137" s="2">
        <v>40549</v>
      </c>
      <c r="C137" s="1">
        <v>1</v>
      </c>
      <c r="D137" s="1">
        <v>0</v>
      </c>
      <c r="E137" s="1">
        <v>1</v>
      </c>
      <c r="F137" s="1">
        <v>21</v>
      </c>
      <c r="G137" s="1" t="b">
        <v>0</v>
      </c>
      <c r="H137" s="1">
        <v>4</v>
      </c>
      <c r="I137" s="1">
        <v>2</v>
      </c>
      <c r="J137" s="1">
        <v>0.22</v>
      </c>
      <c r="K137" s="20">
        <v>0.21210000000000001</v>
      </c>
      <c r="L137" s="23">
        <v>0.55000000000000004</v>
      </c>
      <c r="M137" s="23">
        <v>0.22389999999999999</v>
      </c>
      <c r="N137" s="23">
        <v>0</v>
      </c>
      <c r="O137" s="23">
        <v>48</v>
      </c>
      <c r="P137" s="24">
        <v>48</v>
      </c>
      <c r="Q137" s="38" t="str">
        <f t="shared" si="2"/>
        <v>Weekday</v>
      </c>
    </row>
    <row r="138" spans="1:17">
      <c r="A138" s="1">
        <v>137</v>
      </c>
      <c r="B138" s="2">
        <v>40549</v>
      </c>
      <c r="C138" s="1">
        <v>1</v>
      </c>
      <c r="D138" s="1">
        <v>0</v>
      </c>
      <c r="E138" s="1">
        <v>1</v>
      </c>
      <c r="F138" s="1">
        <v>22</v>
      </c>
      <c r="G138" s="1" t="b">
        <v>0</v>
      </c>
      <c r="H138" s="1">
        <v>4</v>
      </c>
      <c r="I138" s="1">
        <v>2</v>
      </c>
      <c r="J138" s="1">
        <v>0.22</v>
      </c>
      <c r="K138" s="19">
        <v>0.21210000000000001</v>
      </c>
      <c r="L138" s="21">
        <v>0.51</v>
      </c>
      <c r="M138" s="21">
        <v>0.28360000000000002</v>
      </c>
      <c r="N138" s="21">
        <v>1</v>
      </c>
      <c r="O138" s="21">
        <v>51</v>
      </c>
      <c r="P138" s="22">
        <v>52</v>
      </c>
      <c r="Q138" s="38" t="str">
        <f t="shared" si="2"/>
        <v>Weekday</v>
      </c>
    </row>
    <row r="139" spans="1:17">
      <c r="A139" s="1">
        <v>138</v>
      </c>
      <c r="B139" s="2">
        <v>40549</v>
      </c>
      <c r="C139" s="1">
        <v>1</v>
      </c>
      <c r="D139" s="1">
        <v>0</v>
      </c>
      <c r="E139" s="1">
        <v>1</v>
      </c>
      <c r="F139" s="1">
        <v>23</v>
      </c>
      <c r="G139" s="1" t="b">
        <v>0</v>
      </c>
      <c r="H139" s="1">
        <v>4</v>
      </c>
      <c r="I139" s="1">
        <v>2</v>
      </c>
      <c r="J139" s="1">
        <v>0.2</v>
      </c>
      <c r="K139" s="20">
        <v>0.19700000000000001</v>
      </c>
      <c r="L139" s="23">
        <v>0.59</v>
      </c>
      <c r="M139" s="23">
        <v>0.19400000000000001</v>
      </c>
      <c r="N139" s="23">
        <v>4</v>
      </c>
      <c r="O139" s="23">
        <v>19</v>
      </c>
      <c r="P139" s="24">
        <v>23</v>
      </c>
      <c r="Q139" s="38" t="str">
        <f t="shared" si="2"/>
        <v>Weekday</v>
      </c>
    </row>
    <row r="140" spans="1:17">
      <c r="A140" s="1">
        <v>139</v>
      </c>
      <c r="B140" s="2">
        <v>40550</v>
      </c>
      <c r="C140" s="1">
        <v>1</v>
      </c>
      <c r="D140" s="1">
        <v>0</v>
      </c>
      <c r="E140" s="1">
        <v>1</v>
      </c>
      <c r="F140" s="1">
        <v>0</v>
      </c>
      <c r="G140" s="1" t="b">
        <v>0</v>
      </c>
      <c r="H140" s="1">
        <v>5</v>
      </c>
      <c r="I140" s="1">
        <v>2</v>
      </c>
      <c r="J140" s="1">
        <v>0.2</v>
      </c>
      <c r="K140" s="19">
        <v>0.19700000000000001</v>
      </c>
      <c r="L140" s="21">
        <v>0.64</v>
      </c>
      <c r="M140" s="21">
        <v>0.19400000000000001</v>
      </c>
      <c r="N140" s="21">
        <v>4</v>
      </c>
      <c r="O140" s="21">
        <v>13</v>
      </c>
      <c r="P140" s="22">
        <v>17</v>
      </c>
      <c r="Q140" s="38" t="str">
        <f t="shared" si="2"/>
        <v>Weekday</v>
      </c>
    </row>
    <row r="141" spans="1:17">
      <c r="A141" s="1">
        <v>140</v>
      </c>
      <c r="B141" s="2">
        <v>40550</v>
      </c>
      <c r="C141" s="1">
        <v>1</v>
      </c>
      <c r="D141" s="1">
        <v>0</v>
      </c>
      <c r="E141" s="1">
        <v>1</v>
      </c>
      <c r="F141" s="1">
        <v>1</v>
      </c>
      <c r="G141" s="1" t="b">
        <v>0</v>
      </c>
      <c r="H141" s="1">
        <v>5</v>
      </c>
      <c r="I141" s="1">
        <v>2</v>
      </c>
      <c r="J141" s="1">
        <v>0.2</v>
      </c>
      <c r="K141" s="20">
        <v>0.19700000000000001</v>
      </c>
      <c r="L141" s="23">
        <v>0.69</v>
      </c>
      <c r="M141" s="23">
        <v>0.22389999999999999</v>
      </c>
      <c r="N141" s="23">
        <v>2</v>
      </c>
      <c r="O141" s="23">
        <v>5</v>
      </c>
      <c r="P141" s="24">
        <v>7</v>
      </c>
      <c r="Q141" s="38" t="str">
        <f t="shared" si="2"/>
        <v>Weekday</v>
      </c>
    </row>
    <row r="142" spans="1:17">
      <c r="A142" s="1">
        <v>141</v>
      </c>
      <c r="B142" s="2">
        <v>40550</v>
      </c>
      <c r="C142" s="1">
        <v>1</v>
      </c>
      <c r="D142" s="1">
        <v>0</v>
      </c>
      <c r="E142" s="1">
        <v>1</v>
      </c>
      <c r="F142" s="1">
        <v>2</v>
      </c>
      <c r="G142" s="1" t="b">
        <v>0</v>
      </c>
      <c r="H142" s="1">
        <v>5</v>
      </c>
      <c r="I142" s="1">
        <v>2</v>
      </c>
      <c r="J142" s="1">
        <v>0.2</v>
      </c>
      <c r="K142" s="19">
        <v>0.19700000000000001</v>
      </c>
      <c r="L142" s="21">
        <v>0.69</v>
      </c>
      <c r="M142" s="21">
        <v>0.22389999999999999</v>
      </c>
      <c r="N142" s="21">
        <v>0</v>
      </c>
      <c r="O142" s="21">
        <v>1</v>
      </c>
      <c r="P142" s="22">
        <v>1</v>
      </c>
      <c r="Q142" s="38" t="str">
        <f t="shared" si="2"/>
        <v>Weekday</v>
      </c>
    </row>
    <row r="143" spans="1:17">
      <c r="A143" s="1">
        <v>142</v>
      </c>
      <c r="B143" s="2">
        <v>40550</v>
      </c>
      <c r="C143" s="1">
        <v>1</v>
      </c>
      <c r="D143" s="1">
        <v>0</v>
      </c>
      <c r="E143" s="1">
        <v>1</v>
      </c>
      <c r="F143" s="1">
        <v>4</v>
      </c>
      <c r="G143" s="1" t="b">
        <v>0</v>
      </c>
      <c r="H143" s="1">
        <v>5</v>
      </c>
      <c r="I143" s="1">
        <v>2</v>
      </c>
      <c r="J143" s="1">
        <v>0.2</v>
      </c>
      <c r="K143" s="20">
        <v>0.21210000000000001</v>
      </c>
      <c r="L143" s="23">
        <v>0.69</v>
      </c>
      <c r="M143" s="23">
        <v>0.1343</v>
      </c>
      <c r="N143" s="23">
        <v>0</v>
      </c>
      <c r="O143" s="23">
        <v>1</v>
      </c>
      <c r="P143" s="24">
        <v>1</v>
      </c>
      <c r="Q143" s="38" t="str">
        <f t="shared" si="2"/>
        <v>Weekday</v>
      </c>
    </row>
    <row r="144" spans="1:17">
      <c r="A144" s="1">
        <v>143</v>
      </c>
      <c r="B144" s="2">
        <v>40550</v>
      </c>
      <c r="C144" s="1">
        <v>1</v>
      </c>
      <c r="D144" s="1">
        <v>0</v>
      </c>
      <c r="E144" s="1">
        <v>1</v>
      </c>
      <c r="F144" s="1">
        <v>5</v>
      </c>
      <c r="G144" s="1" t="b">
        <v>0</v>
      </c>
      <c r="H144" s="1">
        <v>5</v>
      </c>
      <c r="I144" s="1">
        <v>3</v>
      </c>
      <c r="J144" s="1">
        <v>0.22</v>
      </c>
      <c r="K144" s="19">
        <v>0.2727</v>
      </c>
      <c r="L144" s="21">
        <v>0.55000000000000004</v>
      </c>
      <c r="M144" s="21">
        <v>0</v>
      </c>
      <c r="N144" s="21">
        <v>0</v>
      </c>
      <c r="O144" s="21">
        <v>5</v>
      </c>
      <c r="P144" s="22">
        <v>5</v>
      </c>
      <c r="Q144" s="38" t="str">
        <f t="shared" si="2"/>
        <v>Weekday</v>
      </c>
    </row>
    <row r="145" spans="1:17">
      <c r="A145" s="1">
        <v>144</v>
      </c>
      <c r="B145" s="2">
        <v>40550</v>
      </c>
      <c r="C145" s="1">
        <v>1</v>
      </c>
      <c r="D145" s="1">
        <v>0</v>
      </c>
      <c r="E145" s="1">
        <v>1</v>
      </c>
      <c r="F145" s="1">
        <v>6</v>
      </c>
      <c r="G145" s="1" t="b">
        <v>0</v>
      </c>
      <c r="H145" s="1">
        <v>5</v>
      </c>
      <c r="I145" s="1">
        <v>2</v>
      </c>
      <c r="J145" s="1">
        <v>0.2</v>
      </c>
      <c r="K145" s="20">
        <v>0.2576</v>
      </c>
      <c r="L145" s="23">
        <v>0.69</v>
      </c>
      <c r="M145" s="23">
        <v>0</v>
      </c>
      <c r="N145" s="23">
        <v>8</v>
      </c>
      <c r="O145" s="23">
        <v>26</v>
      </c>
      <c r="P145" s="24">
        <v>34</v>
      </c>
      <c r="Q145" s="38" t="str">
        <f t="shared" si="2"/>
        <v>Weekday</v>
      </c>
    </row>
    <row r="146" spans="1:17">
      <c r="A146" s="1">
        <v>145</v>
      </c>
      <c r="B146" s="2">
        <v>40550</v>
      </c>
      <c r="C146" s="1">
        <v>1</v>
      </c>
      <c r="D146" s="1">
        <v>0</v>
      </c>
      <c r="E146" s="1">
        <v>1</v>
      </c>
      <c r="F146" s="1">
        <v>7</v>
      </c>
      <c r="G146" s="1" t="b">
        <v>0</v>
      </c>
      <c r="H146" s="1">
        <v>5</v>
      </c>
      <c r="I146" s="1">
        <v>1</v>
      </c>
      <c r="J146" s="1">
        <v>0.2</v>
      </c>
      <c r="K146" s="19">
        <v>0.21210000000000001</v>
      </c>
      <c r="L146" s="21">
        <v>0.69</v>
      </c>
      <c r="M146" s="21">
        <v>0.1343</v>
      </c>
      <c r="N146" s="21">
        <v>8</v>
      </c>
      <c r="O146" s="21">
        <v>76</v>
      </c>
      <c r="P146" s="22">
        <v>84</v>
      </c>
      <c r="Q146" s="38" t="str">
        <f t="shared" si="2"/>
        <v>Weekday</v>
      </c>
    </row>
    <row r="147" spans="1:17">
      <c r="A147" s="1">
        <v>146</v>
      </c>
      <c r="B147" s="2">
        <v>40550</v>
      </c>
      <c r="C147" s="1">
        <v>1</v>
      </c>
      <c r="D147" s="1">
        <v>0</v>
      </c>
      <c r="E147" s="1">
        <v>1</v>
      </c>
      <c r="F147" s="1">
        <v>8</v>
      </c>
      <c r="G147" s="1" t="b">
        <v>0</v>
      </c>
      <c r="H147" s="1">
        <v>5</v>
      </c>
      <c r="I147" s="1">
        <v>1</v>
      </c>
      <c r="J147" s="1">
        <v>0.2</v>
      </c>
      <c r="K147" s="20">
        <v>0.19700000000000001</v>
      </c>
      <c r="L147" s="23">
        <v>0.51</v>
      </c>
      <c r="M147" s="23">
        <v>0.25369999999999998</v>
      </c>
      <c r="N147" s="23">
        <v>20</v>
      </c>
      <c r="O147" s="23">
        <v>190</v>
      </c>
      <c r="P147" s="24">
        <v>210</v>
      </c>
      <c r="Q147" s="38" t="str">
        <f t="shared" si="2"/>
        <v>Weekday</v>
      </c>
    </row>
    <row r="148" spans="1:17">
      <c r="A148" s="1">
        <v>147</v>
      </c>
      <c r="B148" s="2">
        <v>40550</v>
      </c>
      <c r="C148" s="1">
        <v>1</v>
      </c>
      <c r="D148" s="1">
        <v>0</v>
      </c>
      <c r="E148" s="1">
        <v>1</v>
      </c>
      <c r="F148" s="1">
        <v>9</v>
      </c>
      <c r="G148" s="1" t="b">
        <v>0</v>
      </c>
      <c r="H148" s="1">
        <v>5</v>
      </c>
      <c r="I148" s="1">
        <v>1</v>
      </c>
      <c r="J148" s="1">
        <v>0.2</v>
      </c>
      <c r="K148" s="19">
        <v>0.18179999999999999</v>
      </c>
      <c r="L148" s="21">
        <v>0.47</v>
      </c>
      <c r="M148" s="21">
        <v>0.29849999999999999</v>
      </c>
      <c r="N148" s="21">
        <v>9</v>
      </c>
      <c r="O148" s="21">
        <v>125</v>
      </c>
      <c r="P148" s="22">
        <v>134</v>
      </c>
      <c r="Q148" s="38" t="str">
        <f t="shared" si="2"/>
        <v>Weekday</v>
      </c>
    </row>
    <row r="149" spans="1:17">
      <c r="A149" s="1">
        <v>148</v>
      </c>
      <c r="B149" s="2">
        <v>40550</v>
      </c>
      <c r="C149" s="1">
        <v>1</v>
      </c>
      <c r="D149" s="1">
        <v>0</v>
      </c>
      <c r="E149" s="1">
        <v>1</v>
      </c>
      <c r="F149" s="1">
        <v>10</v>
      </c>
      <c r="G149" s="1" t="b">
        <v>0</v>
      </c>
      <c r="H149" s="1">
        <v>5</v>
      </c>
      <c r="I149" s="1">
        <v>1</v>
      </c>
      <c r="J149" s="1">
        <v>0.22</v>
      </c>
      <c r="K149" s="20">
        <v>0.19700000000000001</v>
      </c>
      <c r="L149" s="23">
        <v>0.37</v>
      </c>
      <c r="M149" s="23">
        <v>0.32840000000000003</v>
      </c>
      <c r="N149" s="23">
        <v>16</v>
      </c>
      <c r="O149" s="23">
        <v>47</v>
      </c>
      <c r="P149" s="24">
        <v>63</v>
      </c>
      <c r="Q149" s="38" t="str">
        <f t="shared" si="2"/>
        <v>Weekday</v>
      </c>
    </row>
    <row r="150" spans="1:17">
      <c r="A150" s="1">
        <v>149</v>
      </c>
      <c r="B150" s="2">
        <v>40550</v>
      </c>
      <c r="C150" s="1">
        <v>1</v>
      </c>
      <c r="D150" s="1">
        <v>0</v>
      </c>
      <c r="E150" s="1">
        <v>1</v>
      </c>
      <c r="F150" s="1">
        <v>11</v>
      </c>
      <c r="G150" s="1" t="b">
        <v>0</v>
      </c>
      <c r="H150" s="1">
        <v>5</v>
      </c>
      <c r="I150" s="1">
        <v>2</v>
      </c>
      <c r="J150" s="1">
        <v>0.2</v>
      </c>
      <c r="K150" s="19">
        <v>0.19700000000000001</v>
      </c>
      <c r="L150" s="21">
        <v>0.4</v>
      </c>
      <c r="M150" s="21">
        <v>0.22389999999999999</v>
      </c>
      <c r="N150" s="21">
        <v>19</v>
      </c>
      <c r="O150" s="21">
        <v>48</v>
      </c>
      <c r="P150" s="22">
        <v>67</v>
      </c>
      <c r="Q150" s="38" t="str">
        <f t="shared" si="2"/>
        <v>Weekday</v>
      </c>
    </row>
    <row r="151" spans="1:17">
      <c r="A151" s="1">
        <v>150</v>
      </c>
      <c r="B151" s="2">
        <v>40550</v>
      </c>
      <c r="C151" s="1">
        <v>1</v>
      </c>
      <c r="D151" s="1">
        <v>0</v>
      </c>
      <c r="E151" s="1">
        <v>1</v>
      </c>
      <c r="F151" s="1">
        <v>12</v>
      </c>
      <c r="G151" s="1" t="b">
        <v>0</v>
      </c>
      <c r="H151" s="1">
        <v>5</v>
      </c>
      <c r="I151" s="1">
        <v>2</v>
      </c>
      <c r="J151" s="1">
        <v>0.2</v>
      </c>
      <c r="K151" s="20">
        <v>0.19700000000000001</v>
      </c>
      <c r="L151" s="23">
        <v>0.37</v>
      </c>
      <c r="M151" s="23">
        <v>0.25369999999999998</v>
      </c>
      <c r="N151" s="23">
        <v>9</v>
      </c>
      <c r="O151" s="23">
        <v>50</v>
      </c>
      <c r="P151" s="24">
        <v>59</v>
      </c>
      <c r="Q151" s="38" t="str">
        <f t="shared" si="2"/>
        <v>Weekday</v>
      </c>
    </row>
    <row r="152" spans="1:17">
      <c r="A152" s="1">
        <v>151</v>
      </c>
      <c r="B152" s="2">
        <v>40550</v>
      </c>
      <c r="C152" s="1">
        <v>1</v>
      </c>
      <c r="D152" s="1">
        <v>0</v>
      </c>
      <c r="E152" s="1">
        <v>1</v>
      </c>
      <c r="F152" s="1">
        <v>13</v>
      </c>
      <c r="G152" s="1" t="b">
        <v>0</v>
      </c>
      <c r="H152" s="1">
        <v>5</v>
      </c>
      <c r="I152" s="1">
        <v>2</v>
      </c>
      <c r="J152" s="1">
        <v>0.2</v>
      </c>
      <c r="K152" s="19">
        <v>0.18179999999999999</v>
      </c>
      <c r="L152" s="21">
        <v>0.37</v>
      </c>
      <c r="M152" s="21">
        <v>0.28360000000000002</v>
      </c>
      <c r="N152" s="21">
        <v>9</v>
      </c>
      <c r="O152" s="21">
        <v>64</v>
      </c>
      <c r="P152" s="22">
        <v>73</v>
      </c>
      <c r="Q152" s="38" t="str">
        <f t="shared" si="2"/>
        <v>Weekday</v>
      </c>
    </row>
    <row r="153" spans="1:17">
      <c r="A153" s="1">
        <v>152</v>
      </c>
      <c r="B153" s="2">
        <v>40550</v>
      </c>
      <c r="C153" s="1">
        <v>1</v>
      </c>
      <c r="D153" s="1">
        <v>0</v>
      </c>
      <c r="E153" s="1">
        <v>1</v>
      </c>
      <c r="F153" s="1">
        <v>14</v>
      </c>
      <c r="G153" s="1" t="b">
        <v>0</v>
      </c>
      <c r="H153" s="1">
        <v>5</v>
      </c>
      <c r="I153" s="1">
        <v>2</v>
      </c>
      <c r="J153" s="1">
        <v>0.2</v>
      </c>
      <c r="K153" s="20">
        <v>0.19700000000000001</v>
      </c>
      <c r="L153" s="23">
        <v>0.4</v>
      </c>
      <c r="M153" s="23">
        <v>0.25369999999999998</v>
      </c>
      <c r="N153" s="23">
        <v>7</v>
      </c>
      <c r="O153" s="23">
        <v>43</v>
      </c>
      <c r="P153" s="24">
        <v>50</v>
      </c>
      <c r="Q153" s="38" t="str">
        <f t="shared" si="2"/>
        <v>Weekday</v>
      </c>
    </row>
    <row r="154" spans="1:17">
      <c r="A154" s="1">
        <v>153</v>
      </c>
      <c r="B154" s="2">
        <v>40550</v>
      </c>
      <c r="C154" s="1">
        <v>1</v>
      </c>
      <c r="D154" s="1">
        <v>0</v>
      </c>
      <c r="E154" s="1">
        <v>1</v>
      </c>
      <c r="F154" s="1">
        <v>15</v>
      </c>
      <c r="G154" s="1" t="b">
        <v>0</v>
      </c>
      <c r="H154" s="1">
        <v>5</v>
      </c>
      <c r="I154" s="1">
        <v>2</v>
      </c>
      <c r="J154" s="1">
        <v>0.2</v>
      </c>
      <c r="K154" s="19">
        <v>0.21210000000000001</v>
      </c>
      <c r="L154" s="21">
        <v>0.37</v>
      </c>
      <c r="M154" s="21">
        <v>0.16420000000000001</v>
      </c>
      <c r="N154" s="21">
        <v>9</v>
      </c>
      <c r="O154" s="21">
        <v>63</v>
      </c>
      <c r="P154" s="22">
        <v>72</v>
      </c>
      <c r="Q154" s="38" t="str">
        <f t="shared" si="2"/>
        <v>Weekday</v>
      </c>
    </row>
    <row r="155" spans="1:17">
      <c r="A155" s="1">
        <v>154</v>
      </c>
      <c r="B155" s="2">
        <v>40550</v>
      </c>
      <c r="C155" s="1">
        <v>1</v>
      </c>
      <c r="D155" s="1">
        <v>0</v>
      </c>
      <c r="E155" s="1">
        <v>1</v>
      </c>
      <c r="F155" s="1">
        <v>16</v>
      </c>
      <c r="G155" s="1" t="b">
        <v>0</v>
      </c>
      <c r="H155" s="1">
        <v>5</v>
      </c>
      <c r="I155" s="1">
        <v>2</v>
      </c>
      <c r="J155" s="1">
        <v>0.2</v>
      </c>
      <c r="K155" s="20">
        <v>0.21210000000000001</v>
      </c>
      <c r="L155" s="23">
        <v>0.37</v>
      </c>
      <c r="M155" s="23">
        <v>0.16420000000000001</v>
      </c>
      <c r="N155" s="23">
        <v>5</v>
      </c>
      <c r="O155" s="23">
        <v>82</v>
      </c>
      <c r="P155" s="24">
        <v>87</v>
      </c>
      <c r="Q155" s="38" t="str">
        <f t="shared" si="2"/>
        <v>Weekday</v>
      </c>
    </row>
    <row r="156" spans="1:17">
      <c r="A156" s="1">
        <v>155</v>
      </c>
      <c r="B156" s="2">
        <v>40550</v>
      </c>
      <c r="C156" s="1">
        <v>1</v>
      </c>
      <c r="D156" s="1">
        <v>0</v>
      </c>
      <c r="E156" s="1">
        <v>1</v>
      </c>
      <c r="F156" s="1">
        <v>17</v>
      </c>
      <c r="G156" s="1" t="b">
        <v>0</v>
      </c>
      <c r="H156" s="1">
        <v>5</v>
      </c>
      <c r="I156" s="1">
        <v>2</v>
      </c>
      <c r="J156" s="1">
        <v>0.2</v>
      </c>
      <c r="K156" s="19">
        <v>0.2576</v>
      </c>
      <c r="L156" s="21">
        <v>0.37</v>
      </c>
      <c r="M156" s="21">
        <v>0</v>
      </c>
      <c r="N156" s="21">
        <v>9</v>
      </c>
      <c r="O156" s="21">
        <v>178</v>
      </c>
      <c r="P156" s="22">
        <v>187</v>
      </c>
      <c r="Q156" s="38" t="str">
        <f t="shared" si="2"/>
        <v>Weekday</v>
      </c>
    </row>
    <row r="157" spans="1:17">
      <c r="A157" s="1">
        <v>156</v>
      </c>
      <c r="B157" s="2">
        <v>40550</v>
      </c>
      <c r="C157" s="1">
        <v>1</v>
      </c>
      <c r="D157" s="1">
        <v>0</v>
      </c>
      <c r="E157" s="1">
        <v>1</v>
      </c>
      <c r="F157" s="1">
        <v>18</v>
      </c>
      <c r="G157" s="1" t="b">
        <v>0</v>
      </c>
      <c r="H157" s="1">
        <v>5</v>
      </c>
      <c r="I157" s="1">
        <v>1</v>
      </c>
      <c r="J157" s="1">
        <v>0.2</v>
      </c>
      <c r="K157" s="20">
        <v>0.2273</v>
      </c>
      <c r="L157" s="23">
        <v>0.4</v>
      </c>
      <c r="M157" s="23">
        <v>8.9599999999999999E-2</v>
      </c>
      <c r="N157" s="23">
        <v>7</v>
      </c>
      <c r="O157" s="23">
        <v>116</v>
      </c>
      <c r="P157" s="24">
        <v>123</v>
      </c>
      <c r="Q157" s="38" t="str">
        <f t="shared" si="2"/>
        <v>Weekday</v>
      </c>
    </row>
    <row r="158" spans="1:17">
      <c r="A158" s="1">
        <v>157</v>
      </c>
      <c r="B158" s="2">
        <v>40550</v>
      </c>
      <c r="C158" s="1">
        <v>1</v>
      </c>
      <c r="D158" s="1">
        <v>0</v>
      </c>
      <c r="E158" s="1">
        <v>1</v>
      </c>
      <c r="F158" s="1">
        <v>19</v>
      </c>
      <c r="G158" s="1" t="b">
        <v>0</v>
      </c>
      <c r="H158" s="1">
        <v>5</v>
      </c>
      <c r="I158" s="1">
        <v>1</v>
      </c>
      <c r="J158" s="1">
        <v>0.16</v>
      </c>
      <c r="K158" s="19">
        <v>0.19700000000000001</v>
      </c>
      <c r="L158" s="21">
        <v>0.55000000000000004</v>
      </c>
      <c r="M158" s="21">
        <v>8.9599999999999999E-2</v>
      </c>
      <c r="N158" s="21">
        <v>3</v>
      </c>
      <c r="O158" s="21">
        <v>92</v>
      </c>
      <c r="P158" s="22">
        <v>95</v>
      </c>
      <c r="Q158" s="38" t="str">
        <f t="shared" si="2"/>
        <v>Weekday</v>
      </c>
    </row>
    <row r="159" spans="1:17">
      <c r="A159" s="1">
        <v>158</v>
      </c>
      <c r="B159" s="2">
        <v>40550</v>
      </c>
      <c r="C159" s="1">
        <v>1</v>
      </c>
      <c r="D159" s="1">
        <v>0</v>
      </c>
      <c r="E159" s="1">
        <v>1</v>
      </c>
      <c r="F159" s="1">
        <v>20</v>
      </c>
      <c r="G159" s="1" t="b">
        <v>0</v>
      </c>
      <c r="H159" s="1">
        <v>5</v>
      </c>
      <c r="I159" s="1">
        <v>1</v>
      </c>
      <c r="J159" s="1">
        <v>0.18</v>
      </c>
      <c r="K159" s="20">
        <v>0.21210000000000001</v>
      </c>
      <c r="L159" s="23">
        <v>0.47</v>
      </c>
      <c r="M159" s="23">
        <v>0.1045</v>
      </c>
      <c r="N159" s="23">
        <v>1</v>
      </c>
      <c r="O159" s="23">
        <v>50</v>
      </c>
      <c r="P159" s="24">
        <v>51</v>
      </c>
      <c r="Q159" s="38" t="str">
        <f t="shared" si="2"/>
        <v>Weekday</v>
      </c>
    </row>
    <row r="160" spans="1:17">
      <c r="A160" s="1">
        <v>159</v>
      </c>
      <c r="B160" s="2">
        <v>40550</v>
      </c>
      <c r="C160" s="1">
        <v>1</v>
      </c>
      <c r="D160" s="1">
        <v>0</v>
      </c>
      <c r="E160" s="1">
        <v>1</v>
      </c>
      <c r="F160" s="1">
        <v>21</v>
      </c>
      <c r="G160" s="1" t="b">
        <v>0</v>
      </c>
      <c r="H160" s="1">
        <v>5</v>
      </c>
      <c r="I160" s="1">
        <v>1</v>
      </c>
      <c r="J160" s="1">
        <v>0.18</v>
      </c>
      <c r="K160" s="19">
        <v>0.19700000000000001</v>
      </c>
      <c r="L160" s="21">
        <v>0.47</v>
      </c>
      <c r="M160" s="21">
        <v>0.1343</v>
      </c>
      <c r="N160" s="21">
        <v>0</v>
      </c>
      <c r="O160" s="21">
        <v>39</v>
      </c>
      <c r="P160" s="22">
        <v>39</v>
      </c>
      <c r="Q160" s="38" t="str">
        <f t="shared" si="2"/>
        <v>Weekday</v>
      </c>
    </row>
    <row r="161" spans="1:17">
      <c r="A161" s="1">
        <v>160</v>
      </c>
      <c r="B161" s="2">
        <v>40550</v>
      </c>
      <c r="C161" s="1">
        <v>1</v>
      </c>
      <c r="D161" s="1">
        <v>0</v>
      </c>
      <c r="E161" s="1">
        <v>1</v>
      </c>
      <c r="F161" s="1">
        <v>22</v>
      </c>
      <c r="G161" s="1" t="b">
        <v>0</v>
      </c>
      <c r="H161" s="1">
        <v>5</v>
      </c>
      <c r="I161" s="1">
        <v>2</v>
      </c>
      <c r="J161" s="1">
        <v>0.18</v>
      </c>
      <c r="K161" s="20">
        <v>0.19700000000000001</v>
      </c>
      <c r="L161" s="23">
        <v>0.43</v>
      </c>
      <c r="M161" s="23">
        <v>0.16420000000000001</v>
      </c>
      <c r="N161" s="23">
        <v>2</v>
      </c>
      <c r="O161" s="23">
        <v>34</v>
      </c>
      <c r="P161" s="24">
        <v>36</v>
      </c>
      <c r="Q161" s="38" t="str">
        <f t="shared" si="2"/>
        <v>Weekday</v>
      </c>
    </row>
    <row r="162" spans="1:17">
      <c r="A162" s="1">
        <v>161</v>
      </c>
      <c r="B162" s="2">
        <v>40550</v>
      </c>
      <c r="C162" s="1">
        <v>1</v>
      </c>
      <c r="D162" s="1">
        <v>0</v>
      </c>
      <c r="E162" s="1">
        <v>1</v>
      </c>
      <c r="F162" s="1">
        <v>23</v>
      </c>
      <c r="G162" s="1" t="b">
        <v>0</v>
      </c>
      <c r="H162" s="1">
        <v>5</v>
      </c>
      <c r="I162" s="1">
        <v>2</v>
      </c>
      <c r="J162" s="1">
        <v>0.18</v>
      </c>
      <c r="K162" s="19">
        <v>0.19700000000000001</v>
      </c>
      <c r="L162" s="21">
        <v>0.51</v>
      </c>
      <c r="M162" s="21">
        <v>0.16420000000000001</v>
      </c>
      <c r="N162" s="21">
        <v>1</v>
      </c>
      <c r="O162" s="21">
        <v>14</v>
      </c>
      <c r="P162" s="22">
        <v>15</v>
      </c>
      <c r="Q162" s="38" t="str">
        <f t="shared" si="2"/>
        <v>Weekday</v>
      </c>
    </row>
    <row r="163" spans="1:17">
      <c r="A163" s="1">
        <v>162</v>
      </c>
      <c r="B163" s="2">
        <v>40551</v>
      </c>
      <c r="C163" s="1">
        <v>1</v>
      </c>
      <c r="D163" s="1">
        <v>0</v>
      </c>
      <c r="E163" s="1">
        <v>1</v>
      </c>
      <c r="F163" s="1">
        <v>0</v>
      </c>
      <c r="G163" s="1" t="b">
        <v>0</v>
      </c>
      <c r="H163" s="1">
        <v>6</v>
      </c>
      <c r="I163" s="1">
        <v>2</v>
      </c>
      <c r="J163" s="1">
        <v>0.18</v>
      </c>
      <c r="K163" s="20">
        <v>0.19700000000000001</v>
      </c>
      <c r="L163" s="23">
        <v>0.51</v>
      </c>
      <c r="M163" s="23">
        <v>0.16420000000000001</v>
      </c>
      <c r="N163" s="23">
        <v>1</v>
      </c>
      <c r="O163" s="23">
        <v>24</v>
      </c>
      <c r="P163" s="24">
        <v>25</v>
      </c>
      <c r="Q163" s="38" t="str">
        <f t="shared" si="2"/>
        <v>Weekend</v>
      </c>
    </row>
    <row r="164" spans="1:17">
      <c r="A164" s="1">
        <v>163</v>
      </c>
      <c r="B164" s="2">
        <v>40551</v>
      </c>
      <c r="C164" s="1">
        <v>1</v>
      </c>
      <c r="D164" s="1">
        <v>0</v>
      </c>
      <c r="E164" s="1">
        <v>1</v>
      </c>
      <c r="F164" s="1">
        <v>1</v>
      </c>
      <c r="G164" s="1" t="b">
        <v>0</v>
      </c>
      <c r="H164" s="1">
        <v>6</v>
      </c>
      <c r="I164" s="1">
        <v>2</v>
      </c>
      <c r="J164" s="1">
        <v>0.18</v>
      </c>
      <c r="K164" s="19">
        <v>0.21210000000000001</v>
      </c>
      <c r="L164" s="21">
        <v>0.55000000000000004</v>
      </c>
      <c r="M164" s="21">
        <v>8.9599999999999999E-2</v>
      </c>
      <c r="N164" s="21">
        <v>1</v>
      </c>
      <c r="O164" s="21">
        <v>15</v>
      </c>
      <c r="P164" s="22">
        <v>16</v>
      </c>
      <c r="Q164" s="38" t="str">
        <f t="shared" si="2"/>
        <v>Weekend</v>
      </c>
    </row>
    <row r="165" spans="1:17">
      <c r="A165" s="1">
        <v>164</v>
      </c>
      <c r="B165" s="2">
        <v>40551</v>
      </c>
      <c r="C165" s="1">
        <v>1</v>
      </c>
      <c r="D165" s="1">
        <v>0</v>
      </c>
      <c r="E165" s="1">
        <v>1</v>
      </c>
      <c r="F165" s="1">
        <v>2</v>
      </c>
      <c r="G165" s="1" t="b">
        <v>0</v>
      </c>
      <c r="H165" s="1">
        <v>6</v>
      </c>
      <c r="I165" s="1">
        <v>2</v>
      </c>
      <c r="J165" s="1">
        <v>0.18</v>
      </c>
      <c r="K165" s="20">
        <v>0.2424</v>
      </c>
      <c r="L165" s="23">
        <v>0.55000000000000004</v>
      </c>
      <c r="M165" s="23">
        <v>0</v>
      </c>
      <c r="N165" s="23">
        <v>3</v>
      </c>
      <c r="O165" s="23">
        <v>13</v>
      </c>
      <c r="P165" s="24">
        <v>16</v>
      </c>
      <c r="Q165" s="38" t="str">
        <f t="shared" si="2"/>
        <v>Weekend</v>
      </c>
    </row>
    <row r="166" spans="1:17">
      <c r="A166" s="1">
        <v>165</v>
      </c>
      <c r="B166" s="2">
        <v>40551</v>
      </c>
      <c r="C166" s="1">
        <v>1</v>
      </c>
      <c r="D166" s="1">
        <v>0</v>
      </c>
      <c r="E166" s="1">
        <v>1</v>
      </c>
      <c r="F166" s="1">
        <v>3</v>
      </c>
      <c r="G166" s="1" t="b">
        <v>0</v>
      </c>
      <c r="H166" s="1">
        <v>6</v>
      </c>
      <c r="I166" s="1">
        <v>3</v>
      </c>
      <c r="J166" s="1">
        <v>0.18</v>
      </c>
      <c r="K166" s="19">
        <v>0.19700000000000001</v>
      </c>
      <c r="L166" s="21">
        <v>0.55000000000000004</v>
      </c>
      <c r="M166" s="21">
        <v>0.16420000000000001</v>
      </c>
      <c r="N166" s="21">
        <v>0</v>
      </c>
      <c r="O166" s="21">
        <v>7</v>
      </c>
      <c r="P166" s="22">
        <v>7</v>
      </c>
      <c r="Q166" s="38" t="str">
        <f t="shared" si="2"/>
        <v>Weekend</v>
      </c>
    </row>
    <row r="167" spans="1:17">
      <c r="A167" s="1">
        <v>166</v>
      </c>
      <c r="B167" s="2">
        <v>40551</v>
      </c>
      <c r="C167" s="1">
        <v>1</v>
      </c>
      <c r="D167" s="1">
        <v>0</v>
      </c>
      <c r="E167" s="1">
        <v>1</v>
      </c>
      <c r="F167" s="1">
        <v>4</v>
      </c>
      <c r="G167" s="1" t="b">
        <v>0</v>
      </c>
      <c r="H167" s="1">
        <v>6</v>
      </c>
      <c r="I167" s="1">
        <v>3</v>
      </c>
      <c r="J167" s="1">
        <v>0.18</v>
      </c>
      <c r="K167" s="20">
        <v>0.19700000000000001</v>
      </c>
      <c r="L167" s="23">
        <v>0.55000000000000004</v>
      </c>
      <c r="M167" s="23">
        <v>0.16420000000000001</v>
      </c>
      <c r="N167" s="23">
        <v>0</v>
      </c>
      <c r="O167" s="23">
        <v>1</v>
      </c>
      <c r="P167" s="24">
        <v>1</v>
      </c>
      <c r="Q167" s="38" t="str">
        <f t="shared" si="2"/>
        <v>Weekend</v>
      </c>
    </row>
    <row r="168" spans="1:17">
      <c r="A168" s="1">
        <v>167</v>
      </c>
      <c r="B168" s="2">
        <v>40551</v>
      </c>
      <c r="C168" s="1">
        <v>1</v>
      </c>
      <c r="D168" s="1">
        <v>0</v>
      </c>
      <c r="E168" s="1">
        <v>1</v>
      </c>
      <c r="F168" s="1">
        <v>5</v>
      </c>
      <c r="G168" s="1" t="b">
        <v>0</v>
      </c>
      <c r="H168" s="1">
        <v>6</v>
      </c>
      <c r="I168" s="1">
        <v>2</v>
      </c>
      <c r="J168" s="1">
        <v>0.16</v>
      </c>
      <c r="K168" s="19">
        <v>0.16669999999999999</v>
      </c>
      <c r="L168" s="21">
        <v>0.74</v>
      </c>
      <c r="M168" s="21">
        <v>0.16420000000000001</v>
      </c>
      <c r="N168" s="21">
        <v>0</v>
      </c>
      <c r="O168" s="21">
        <v>5</v>
      </c>
      <c r="P168" s="22">
        <v>5</v>
      </c>
      <c r="Q168" s="38" t="str">
        <f t="shared" si="2"/>
        <v>Weekend</v>
      </c>
    </row>
    <row r="169" spans="1:17">
      <c r="A169" s="1">
        <v>168</v>
      </c>
      <c r="B169" s="2">
        <v>40551</v>
      </c>
      <c r="C169" s="1">
        <v>1</v>
      </c>
      <c r="D169" s="1">
        <v>0</v>
      </c>
      <c r="E169" s="1">
        <v>1</v>
      </c>
      <c r="F169" s="1">
        <v>6</v>
      </c>
      <c r="G169" s="1" t="b">
        <v>0</v>
      </c>
      <c r="H169" s="1">
        <v>6</v>
      </c>
      <c r="I169" s="1">
        <v>2</v>
      </c>
      <c r="J169" s="1">
        <v>0.16</v>
      </c>
      <c r="K169" s="20">
        <v>0.16669999999999999</v>
      </c>
      <c r="L169" s="23">
        <v>0.74</v>
      </c>
      <c r="M169" s="23">
        <v>0.16420000000000001</v>
      </c>
      <c r="N169" s="23">
        <v>0</v>
      </c>
      <c r="O169" s="23">
        <v>2</v>
      </c>
      <c r="P169" s="24">
        <v>2</v>
      </c>
      <c r="Q169" s="38" t="str">
        <f t="shared" si="2"/>
        <v>Weekend</v>
      </c>
    </row>
    <row r="170" spans="1:17">
      <c r="A170" s="1">
        <v>169</v>
      </c>
      <c r="B170" s="2">
        <v>40551</v>
      </c>
      <c r="C170" s="1">
        <v>1</v>
      </c>
      <c r="D170" s="1">
        <v>0</v>
      </c>
      <c r="E170" s="1">
        <v>1</v>
      </c>
      <c r="F170" s="1">
        <v>7</v>
      </c>
      <c r="G170" s="1" t="b">
        <v>0</v>
      </c>
      <c r="H170" s="1">
        <v>6</v>
      </c>
      <c r="I170" s="1">
        <v>2</v>
      </c>
      <c r="J170" s="1">
        <v>0.16</v>
      </c>
      <c r="K170" s="19">
        <v>0.18179999999999999</v>
      </c>
      <c r="L170" s="21">
        <v>0.74</v>
      </c>
      <c r="M170" s="21">
        <v>0.1045</v>
      </c>
      <c r="N170" s="21">
        <v>1</v>
      </c>
      <c r="O170" s="21">
        <v>8</v>
      </c>
      <c r="P170" s="22">
        <v>9</v>
      </c>
      <c r="Q170" s="38" t="str">
        <f t="shared" si="2"/>
        <v>Weekend</v>
      </c>
    </row>
    <row r="171" spans="1:17">
      <c r="A171" s="1">
        <v>170</v>
      </c>
      <c r="B171" s="2">
        <v>40551</v>
      </c>
      <c r="C171" s="1">
        <v>1</v>
      </c>
      <c r="D171" s="1">
        <v>0</v>
      </c>
      <c r="E171" s="1">
        <v>1</v>
      </c>
      <c r="F171" s="1">
        <v>8</v>
      </c>
      <c r="G171" s="1" t="b">
        <v>0</v>
      </c>
      <c r="H171" s="1">
        <v>6</v>
      </c>
      <c r="I171" s="1">
        <v>3</v>
      </c>
      <c r="J171" s="1">
        <v>0.16</v>
      </c>
      <c r="K171" s="20">
        <v>0.18179999999999999</v>
      </c>
      <c r="L171" s="23">
        <v>0.93</v>
      </c>
      <c r="M171" s="23">
        <v>0.1045</v>
      </c>
      <c r="N171" s="23">
        <v>0</v>
      </c>
      <c r="O171" s="23">
        <v>15</v>
      </c>
      <c r="P171" s="24">
        <v>15</v>
      </c>
      <c r="Q171" s="38" t="str">
        <f t="shared" si="2"/>
        <v>Weekend</v>
      </c>
    </row>
    <row r="172" spans="1:17">
      <c r="A172" s="1">
        <v>171</v>
      </c>
      <c r="B172" s="2">
        <v>40551</v>
      </c>
      <c r="C172" s="1">
        <v>1</v>
      </c>
      <c r="D172" s="1">
        <v>0</v>
      </c>
      <c r="E172" s="1">
        <v>1</v>
      </c>
      <c r="F172" s="1">
        <v>9</v>
      </c>
      <c r="G172" s="1" t="b">
        <v>0</v>
      </c>
      <c r="H172" s="1">
        <v>6</v>
      </c>
      <c r="I172" s="1">
        <v>3</v>
      </c>
      <c r="J172" s="1">
        <v>0.16</v>
      </c>
      <c r="K172" s="19">
        <v>0.18179999999999999</v>
      </c>
      <c r="L172" s="21">
        <v>0.93</v>
      </c>
      <c r="M172" s="21">
        <v>0.1045</v>
      </c>
      <c r="N172" s="21">
        <v>0</v>
      </c>
      <c r="O172" s="21">
        <v>20</v>
      </c>
      <c r="P172" s="22">
        <v>20</v>
      </c>
      <c r="Q172" s="38" t="str">
        <f t="shared" si="2"/>
        <v>Weekend</v>
      </c>
    </row>
    <row r="173" spans="1:17">
      <c r="A173" s="1">
        <v>172</v>
      </c>
      <c r="B173" s="2">
        <v>40551</v>
      </c>
      <c r="C173" s="1">
        <v>1</v>
      </c>
      <c r="D173" s="1">
        <v>0</v>
      </c>
      <c r="E173" s="1">
        <v>1</v>
      </c>
      <c r="F173" s="1">
        <v>10</v>
      </c>
      <c r="G173" s="1" t="b">
        <v>0</v>
      </c>
      <c r="H173" s="1">
        <v>6</v>
      </c>
      <c r="I173" s="1">
        <v>2</v>
      </c>
      <c r="J173" s="1">
        <v>0.18</v>
      </c>
      <c r="K173" s="20">
        <v>0.19700000000000001</v>
      </c>
      <c r="L173" s="23">
        <v>0.8</v>
      </c>
      <c r="M173" s="23">
        <v>0.16420000000000001</v>
      </c>
      <c r="N173" s="23">
        <v>5</v>
      </c>
      <c r="O173" s="23">
        <v>56</v>
      </c>
      <c r="P173" s="24">
        <v>61</v>
      </c>
      <c r="Q173" s="38" t="str">
        <f t="shared" si="2"/>
        <v>Weekend</v>
      </c>
    </row>
    <row r="174" spans="1:17">
      <c r="A174" s="1">
        <v>173</v>
      </c>
      <c r="B174" s="2">
        <v>40551</v>
      </c>
      <c r="C174" s="1">
        <v>1</v>
      </c>
      <c r="D174" s="1">
        <v>0</v>
      </c>
      <c r="E174" s="1">
        <v>1</v>
      </c>
      <c r="F174" s="1">
        <v>11</v>
      </c>
      <c r="G174" s="1" t="b">
        <v>0</v>
      </c>
      <c r="H174" s="1">
        <v>6</v>
      </c>
      <c r="I174" s="1">
        <v>2</v>
      </c>
      <c r="J174" s="1">
        <v>0.2</v>
      </c>
      <c r="K174" s="19">
        <v>0.18179999999999999</v>
      </c>
      <c r="L174" s="21">
        <v>0.69</v>
      </c>
      <c r="M174" s="21">
        <v>0.3881</v>
      </c>
      <c r="N174" s="21">
        <v>2</v>
      </c>
      <c r="O174" s="21">
        <v>60</v>
      </c>
      <c r="P174" s="22">
        <v>62</v>
      </c>
      <c r="Q174" s="38" t="str">
        <f t="shared" si="2"/>
        <v>Weekend</v>
      </c>
    </row>
    <row r="175" spans="1:17">
      <c r="A175" s="1">
        <v>174</v>
      </c>
      <c r="B175" s="2">
        <v>40551</v>
      </c>
      <c r="C175" s="1">
        <v>1</v>
      </c>
      <c r="D175" s="1">
        <v>0</v>
      </c>
      <c r="E175" s="1">
        <v>1</v>
      </c>
      <c r="F175" s="1">
        <v>12</v>
      </c>
      <c r="G175" s="1" t="b">
        <v>0</v>
      </c>
      <c r="H175" s="1">
        <v>6</v>
      </c>
      <c r="I175" s="1">
        <v>2</v>
      </c>
      <c r="J175" s="1">
        <v>0.2</v>
      </c>
      <c r="K175" s="20">
        <v>0.18179999999999999</v>
      </c>
      <c r="L175" s="23">
        <v>0.59</v>
      </c>
      <c r="M175" s="23">
        <v>0.35820000000000002</v>
      </c>
      <c r="N175" s="23">
        <v>8</v>
      </c>
      <c r="O175" s="23">
        <v>90</v>
      </c>
      <c r="P175" s="24">
        <v>98</v>
      </c>
      <c r="Q175" s="38" t="str">
        <f t="shared" si="2"/>
        <v>Weekend</v>
      </c>
    </row>
    <row r="176" spans="1:17">
      <c r="A176" s="1">
        <v>175</v>
      </c>
      <c r="B176" s="2">
        <v>40551</v>
      </c>
      <c r="C176" s="1">
        <v>1</v>
      </c>
      <c r="D176" s="1">
        <v>0</v>
      </c>
      <c r="E176" s="1">
        <v>1</v>
      </c>
      <c r="F176" s="1">
        <v>13</v>
      </c>
      <c r="G176" s="1" t="b">
        <v>0</v>
      </c>
      <c r="H176" s="1">
        <v>6</v>
      </c>
      <c r="I176" s="1">
        <v>1</v>
      </c>
      <c r="J176" s="1">
        <v>0.2</v>
      </c>
      <c r="K176" s="19">
        <v>0.18179999999999999</v>
      </c>
      <c r="L176" s="21">
        <v>0.44</v>
      </c>
      <c r="M176" s="21">
        <v>0.32840000000000003</v>
      </c>
      <c r="N176" s="21">
        <v>7</v>
      </c>
      <c r="O176" s="21">
        <v>95</v>
      </c>
      <c r="P176" s="22">
        <v>102</v>
      </c>
      <c r="Q176" s="38" t="str">
        <f t="shared" si="2"/>
        <v>Weekend</v>
      </c>
    </row>
    <row r="177" spans="1:17">
      <c r="A177" s="1">
        <v>176</v>
      </c>
      <c r="B177" s="2">
        <v>40551</v>
      </c>
      <c r="C177" s="1">
        <v>1</v>
      </c>
      <c r="D177" s="1">
        <v>0</v>
      </c>
      <c r="E177" s="1">
        <v>1</v>
      </c>
      <c r="F177" s="1">
        <v>14</v>
      </c>
      <c r="G177" s="1" t="b">
        <v>0</v>
      </c>
      <c r="H177" s="1">
        <v>6</v>
      </c>
      <c r="I177" s="1">
        <v>1</v>
      </c>
      <c r="J177" s="1">
        <v>0.2</v>
      </c>
      <c r="K177" s="20">
        <v>0.16669999999999999</v>
      </c>
      <c r="L177" s="23">
        <v>0.32</v>
      </c>
      <c r="M177" s="23">
        <v>0.49249999999999999</v>
      </c>
      <c r="N177" s="23">
        <v>12</v>
      </c>
      <c r="O177" s="23">
        <v>83</v>
      </c>
      <c r="P177" s="24">
        <v>95</v>
      </c>
      <c r="Q177" s="38" t="str">
        <f t="shared" si="2"/>
        <v>Weekend</v>
      </c>
    </row>
    <row r="178" spans="1:17">
      <c r="A178" s="1">
        <v>177</v>
      </c>
      <c r="B178" s="2">
        <v>40551</v>
      </c>
      <c r="C178" s="1">
        <v>1</v>
      </c>
      <c r="D178" s="1">
        <v>0</v>
      </c>
      <c r="E178" s="1">
        <v>1</v>
      </c>
      <c r="F178" s="1">
        <v>15</v>
      </c>
      <c r="G178" s="1" t="b">
        <v>0</v>
      </c>
      <c r="H178" s="1">
        <v>6</v>
      </c>
      <c r="I178" s="1">
        <v>1</v>
      </c>
      <c r="J178" s="1">
        <v>0.2</v>
      </c>
      <c r="K178" s="19">
        <v>0.16669999999999999</v>
      </c>
      <c r="L178" s="21">
        <v>0.32</v>
      </c>
      <c r="M178" s="21">
        <v>0.44779999999999998</v>
      </c>
      <c r="N178" s="21">
        <v>5</v>
      </c>
      <c r="O178" s="21">
        <v>69</v>
      </c>
      <c r="P178" s="22">
        <v>74</v>
      </c>
      <c r="Q178" s="38" t="str">
        <f t="shared" si="2"/>
        <v>Weekend</v>
      </c>
    </row>
    <row r="179" spans="1:17">
      <c r="A179" s="1">
        <v>178</v>
      </c>
      <c r="B179" s="2">
        <v>40551</v>
      </c>
      <c r="C179" s="1">
        <v>1</v>
      </c>
      <c r="D179" s="1">
        <v>0</v>
      </c>
      <c r="E179" s="1">
        <v>1</v>
      </c>
      <c r="F179" s="1">
        <v>16</v>
      </c>
      <c r="G179" s="1" t="b">
        <v>0</v>
      </c>
      <c r="H179" s="1">
        <v>6</v>
      </c>
      <c r="I179" s="1">
        <v>1</v>
      </c>
      <c r="J179" s="1">
        <v>0.18</v>
      </c>
      <c r="K179" s="20">
        <v>0.13639999999999999</v>
      </c>
      <c r="L179" s="23">
        <v>0.28999999999999998</v>
      </c>
      <c r="M179" s="23">
        <v>0.44779999999999998</v>
      </c>
      <c r="N179" s="23">
        <v>8</v>
      </c>
      <c r="O179" s="23">
        <v>68</v>
      </c>
      <c r="P179" s="24">
        <v>76</v>
      </c>
      <c r="Q179" s="38" t="str">
        <f t="shared" si="2"/>
        <v>Weekend</v>
      </c>
    </row>
    <row r="180" spans="1:17">
      <c r="A180" s="1">
        <v>179</v>
      </c>
      <c r="B180" s="2">
        <v>40551</v>
      </c>
      <c r="C180" s="1">
        <v>1</v>
      </c>
      <c r="D180" s="1">
        <v>0</v>
      </c>
      <c r="E180" s="1">
        <v>1</v>
      </c>
      <c r="F180" s="1">
        <v>17</v>
      </c>
      <c r="G180" s="1" t="b">
        <v>0</v>
      </c>
      <c r="H180" s="1">
        <v>6</v>
      </c>
      <c r="I180" s="1">
        <v>1</v>
      </c>
      <c r="J180" s="1">
        <v>0.16</v>
      </c>
      <c r="K180" s="19">
        <v>0.1212</v>
      </c>
      <c r="L180" s="21">
        <v>0.37</v>
      </c>
      <c r="M180" s="21">
        <v>0.55220000000000002</v>
      </c>
      <c r="N180" s="21">
        <v>5</v>
      </c>
      <c r="O180" s="21">
        <v>64</v>
      </c>
      <c r="P180" s="22">
        <v>69</v>
      </c>
      <c r="Q180" s="38" t="str">
        <f t="shared" si="2"/>
        <v>Weekend</v>
      </c>
    </row>
    <row r="181" spans="1:17">
      <c r="A181" s="1">
        <v>180</v>
      </c>
      <c r="B181" s="2">
        <v>40551</v>
      </c>
      <c r="C181" s="1">
        <v>1</v>
      </c>
      <c r="D181" s="1">
        <v>0</v>
      </c>
      <c r="E181" s="1">
        <v>1</v>
      </c>
      <c r="F181" s="1">
        <v>18</v>
      </c>
      <c r="G181" s="1" t="b">
        <v>0</v>
      </c>
      <c r="H181" s="1">
        <v>6</v>
      </c>
      <c r="I181" s="1">
        <v>1</v>
      </c>
      <c r="J181" s="1">
        <v>0.14000000000000001</v>
      </c>
      <c r="K181" s="20">
        <v>0.1212</v>
      </c>
      <c r="L181" s="23">
        <v>0.39</v>
      </c>
      <c r="M181" s="23">
        <v>0.29849999999999999</v>
      </c>
      <c r="N181" s="23">
        <v>3</v>
      </c>
      <c r="O181" s="23">
        <v>52</v>
      </c>
      <c r="P181" s="24">
        <v>55</v>
      </c>
      <c r="Q181" s="38" t="str">
        <f t="shared" si="2"/>
        <v>Weekend</v>
      </c>
    </row>
    <row r="182" spans="1:17">
      <c r="A182" s="1">
        <v>181</v>
      </c>
      <c r="B182" s="2">
        <v>40551</v>
      </c>
      <c r="C182" s="1">
        <v>1</v>
      </c>
      <c r="D182" s="1">
        <v>0</v>
      </c>
      <c r="E182" s="1">
        <v>1</v>
      </c>
      <c r="F182" s="1">
        <v>19</v>
      </c>
      <c r="G182" s="1" t="b">
        <v>0</v>
      </c>
      <c r="H182" s="1">
        <v>6</v>
      </c>
      <c r="I182" s="1">
        <v>1</v>
      </c>
      <c r="J182" s="1">
        <v>0.14000000000000001</v>
      </c>
      <c r="K182" s="19">
        <v>0.1212</v>
      </c>
      <c r="L182" s="21">
        <v>0.36</v>
      </c>
      <c r="M182" s="21">
        <v>0.25369999999999998</v>
      </c>
      <c r="N182" s="21">
        <v>4</v>
      </c>
      <c r="O182" s="21">
        <v>26</v>
      </c>
      <c r="P182" s="22">
        <v>30</v>
      </c>
      <c r="Q182" s="38" t="str">
        <f t="shared" si="2"/>
        <v>Weekend</v>
      </c>
    </row>
    <row r="183" spans="1:17">
      <c r="A183" s="1">
        <v>182</v>
      </c>
      <c r="B183" s="2">
        <v>40551</v>
      </c>
      <c r="C183" s="1">
        <v>1</v>
      </c>
      <c r="D183" s="1">
        <v>0</v>
      </c>
      <c r="E183" s="1">
        <v>1</v>
      </c>
      <c r="F183" s="1">
        <v>20</v>
      </c>
      <c r="G183" s="1" t="b">
        <v>0</v>
      </c>
      <c r="H183" s="1">
        <v>6</v>
      </c>
      <c r="I183" s="1">
        <v>1</v>
      </c>
      <c r="J183" s="1">
        <v>0.12</v>
      </c>
      <c r="K183" s="20">
        <v>0.1212</v>
      </c>
      <c r="L183" s="23">
        <v>0.36</v>
      </c>
      <c r="M183" s="23">
        <v>0.25369999999999998</v>
      </c>
      <c r="N183" s="23">
        <v>0</v>
      </c>
      <c r="O183" s="23">
        <v>28</v>
      </c>
      <c r="P183" s="24">
        <v>28</v>
      </c>
      <c r="Q183" s="38" t="str">
        <f t="shared" si="2"/>
        <v>Weekend</v>
      </c>
    </row>
    <row r="184" spans="1:17">
      <c r="A184" s="1">
        <v>183</v>
      </c>
      <c r="B184" s="2">
        <v>40551</v>
      </c>
      <c r="C184" s="1">
        <v>1</v>
      </c>
      <c r="D184" s="1">
        <v>0</v>
      </c>
      <c r="E184" s="1">
        <v>1</v>
      </c>
      <c r="F184" s="1">
        <v>21</v>
      </c>
      <c r="G184" s="1" t="b">
        <v>0</v>
      </c>
      <c r="H184" s="1">
        <v>6</v>
      </c>
      <c r="I184" s="1">
        <v>1</v>
      </c>
      <c r="J184" s="1">
        <v>0.12</v>
      </c>
      <c r="K184" s="19">
        <v>0.1061</v>
      </c>
      <c r="L184" s="21">
        <v>0.39</v>
      </c>
      <c r="M184" s="21">
        <v>0.35820000000000002</v>
      </c>
      <c r="N184" s="21">
        <v>2</v>
      </c>
      <c r="O184" s="21">
        <v>35</v>
      </c>
      <c r="P184" s="22">
        <v>37</v>
      </c>
      <c r="Q184" s="38" t="str">
        <f t="shared" si="2"/>
        <v>Weekend</v>
      </c>
    </row>
    <row r="185" spans="1:17">
      <c r="A185" s="1">
        <v>184</v>
      </c>
      <c r="B185" s="2">
        <v>40551</v>
      </c>
      <c r="C185" s="1">
        <v>1</v>
      </c>
      <c r="D185" s="1">
        <v>0</v>
      </c>
      <c r="E185" s="1">
        <v>1</v>
      </c>
      <c r="F185" s="1">
        <v>22</v>
      </c>
      <c r="G185" s="1" t="b">
        <v>0</v>
      </c>
      <c r="H185" s="1">
        <v>6</v>
      </c>
      <c r="I185" s="1">
        <v>1</v>
      </c>
      <c r="J185" s="1">
        <v>0.12</v>
      </c>
      <c r="K185" s="20">
        <v>0.1061</v>
      </c>
      <c r="L185" s="23">
        <v>0.36</v>
      </c>
      <c r="M185" s="23">
        <v>0.3881</v>
      </c>
      <c r="N185" s="23">
        <v>1</v>
      </c>
      <c r="O185" s="23">
        <v>33</v>
      </c>
      <c r="P185" s="24">
        <v>34</v>
      </c>
      <c r="Q185" s="38" t="str">
        <f t="shared" si="2"/>
        <v>Weekend</v>
      </c>
    </row>
    <row r="186" spans="1:17">
      <c r="A186" s="1">
        <v>185</v>
      </c>
      <c r="B186" s="2">
        <v>40551</v>
      </c>
      <c r="C186" s="1">
        <v>1</v>
      </c>
      <c r="D186" s="1">
        <v>0</v>
      </c>
      <c r="E186" s="1">
        <v>1</v>
      </c>
      <c r="F186" s="1">
        <v>23</v>
      </c>
      <c r="G186" s="1" t="b">
        <v>0</v>
      </c>
      <c r="H186" s="1">
        <v>6</v>
      </c>
      <c r="I186" s="1">
        <v>1</v>
      </c>
      <c r="J186" s="1">
        <v>0.1</v>
      </c>
      <c r="K186" s="19">
        <v>6.0600000000000001E-2</v>
      </c>
      <c r="L186" s="21">
        <v>0.39</v>
      </c>
      <c r="M186" s="21">
        <v>0.44779999999999998</v>
      </c>
      <c r="N186" s="21">
        <v>0</v>
      </c>
      <c r="O186" s="21">
        <v>22</v>
      </c>
      <c r="P186" s="22">
        <v>22</v>
      </c>
      <c r="Q186" s="38" t="str">
        <f t="shared" si="2"/>
        <v>Weekend</v>
      </c>
    </row>
    <row r="187" spans="1:17">
      <c r="A187" s="1">
        <v>186</v>
      </c>
      <c r="B187" s="2">
        <v>40552</v>
      </c>
      <c r="C187" s="1">
        <v>1</v>
      </c>
      <c r="D187" s="1">
        <v>0</v>
      </c>
      <c r="E187" s="1">
        <v>1</v>
      </c>
      <c r="F187" s="1">
        <v>0</v>
      </c>
      <c r="G187" s="1" t="b">
        <v>0</v>
      </c>
      <c r="H187" s="1">
        <v>0</v>
      </c>
      <c r="I187" s="1">
        <v>1</v>
      </c>
      <c r="J187" s="1">
        <v>0.1</v>
      </c>
      <c r="K187" s="20">
        <v>7.5800000000000006E-2</v>
      </c>
      <c r="L187" s="23">
        <v>0.42</v>
      </c>
      <c r="M187" s="23">
        <v>0.3881</v>
      </c>
      <c r="N187" s="23">
        <v>1</v>
      </c>
      <c r="O187" s="23">
        <v>24</v>
      </c>
      <c r="P187" s="24">
        <v>25</v>
      </c>
      <c r="Q187" s="38" t="str">
        <f t="shared" si="2"/>
        <v>Weekday</v>
      </c>
    </row>
    <row r="188" spans="1:17">
      <c r="A188" s="1">
        <v>187</v>
      </c>
      <c r="B188" s="2">
        <v>40552</v>
      </c>
      <c r="C188" s="1">
        <v>1</v>
      </c>
      <c r="D188" s="1">
        <v>0</v>
      </c>
      <c r="E188" s="1">
        <v>1</v>
      </c>
      <c r="F188" s="1">
        <v>1</v>
      </c>
      <c r="G188" s="1" t="b">
        <v>0</v>
      </c>
      <c r="H188" s="1">
        <v>0</v>
      </c>
      <c r="I188" s="1">
        <v>1</v>
      </c>
      <c r="J188" s="1">
        <v>0.1</v>
      </c>
      <c r="K188" s="19">
        <v>6.0600000000000001E-2</v>
      </c>
      <c r="L188" s="21">
        <v>0.42</v>
      </c>
      <c r="M188" s="21">
        <v>0.4627</v>
      </c>
      <c r="N188" s="21">
        <v>0</v>
      </c>
      <c r="O188" s="21">
        <v>12</v>
      </c>
      <c r="P188" s="22">
        <v>12</v>
      </c>
      <c r="Q188" s="38" t="str">
        <f t="shared" si="2"/>
        <v>Weekday</v>
      </c>
    </row>
    <row r="189" spans="1:17">
      <c r="A189" s="1">
        <v>188</v>
      </c>
      <c r="B189" s="2">
        <v>40552</v>
      </c>
      <c r="C189" s="1">
        <v>1</v>
      </c>
      <c r="D189" s="1">
        <v>0</v>
      </c>
      <c r="E189" s="1">
        <v>1</v>
      </c>
      <c r="F189" s="1">
        <v>2</v>
      </c>
      <c r="G189" s="1" t="b">
        <v>0</v>
      </c>
      <c r="H189" s="1">
        <v>0</v>
      </c>
      <c r="I189" s="1">
        <v>1</v>
      </c>
      <c r="J189" s="1">
        <v>0.1</v>
      </c>
      <c r="K189" s="20">
        <v>6.0600000000000001E-2</v>
      </c>
      <c r="L189" s="23">
        <v>0.46</v>
      </c>
      <c r="M189" s="23">
        <v>0.4627</v>
      </c>
      <c r="N189" s="23">
        <v>0</v>
      </c>
      <c r="O189" s="23">
        <v>11</v>
      </c>
      <c r="P189" s="24">
        <v>11</v>
      </c>
      <c r="Q189" s="38" t="str">
        <f t="shared" si="2"/>
        <v>Weekday</v>
      </c>
    </row>
    <row r="190" spans="1:17">
      <c r="A190" s="1">
        <v>189</v>
      </c>
      <c r="B190" s="2">
        <v>40552</v>
      </c>
      <c r="C190" s="1">
        <v>1</v>
      </c>
      <c r="D190" s="1">
        <v>0</v>
      </c>
      <c r="E190" s="1">
        <v>1</v>
      </c>
      <c r="F190" s="1">
        <v>3</v>
      </c>
      <c r="G190" s="1" t="b">
        <v>0</v>
      </c>
      <c r="H190" s="1">
        <v>0</v>
      </c>
      <c r="I190" s="1">
        <v>1</v>
      </c>
      <c r="J190" s="1">
        <v>0.1</v>
      </c>
      <c r="K190" s="19">
        <v>7.5800000000000006E-2</v>
      </c>
      <c r="L190" s="21">
        <v>0.46</v>
      </c>
      <c r="M190" s="21">
        <v>0.41789999999999999</v>
      </c>
      <c r="N190" s="21">
        <v>0</v>
      </c>
      <c r="O190" s="21">
        <v>4</v>
      </c>
      <c r="P190" s="22">
        <v>4</v>
      </c>
      <c r="Q190" s="38" t="str">
        <f t="shared" si="2"/>
        <v>Weekday</v>
      </c>
    </row>
    <row r="191" spans="1:17">
      <c r="A191" s="1">
        <v>190</v>
      </c>
      <c r="B191" s="2">
        <v>40552</v>
      </c>
      <c r="C191" s="1">
        <v>1</v>
      </c>
      <c r="D191" s="1">
        <v>0</v>
      </c>
      <c r="E191" s="1">
        <v>1</v>
      </c>
      <c r="F191" s="1">
        <v>4</v>
      </c>
      <c r="G191" s="1" t="b">
        <v>0</v>
      </c>
      <c r="H191" s="1">
        <v>0</v>
      </c>
      <c r="I191" s="1">
        <v>1</v>
      </c>
      <c r="J191" s="1">
        <v>0.08</v>
      </c>
      <c r="K191" s="20">
        <v>9.0899999999999995E-2</v>
      </c>
      <c r="L191" s="23">
        <v>0.53</v>
      </c>
      <c r="M191" s="23">
        <v>0.19400000000000001</v>
      </c>
      <c r="N191" s="23">
        <v>0</v>
      </c>
      <c r="O191" s="23">
        <v>1</v>
      </c>
      <c r="P191" s="24">
        <v>1</v>
      </c>
      <c r="Q191" s="38" t="str">
        <f t="shared" si="2"/>
        <v>Weekday</v>
      </c>
    </row>
    <row r="192" spans="1:17">
      <c r="A192" s="1">
        <v>191</v>
      </c>
      <c r="B192" s="2">
        <v>40552</v>
      </c>
      <c r="C192" s="1">
        <v>1</v>
      </c>
      <c r="D192" s="1">
        <v>0</v>
      </c>
      <c r="E192" s="1">
        <v>1</v>
      </c>
      <c r="F192" s="1">
        <v>5</v>
      </c>
      <c r="G192" s="1" t="b">
        <v>0</v>
      </c>
      <c r="H192" s="1">
        <v>0</v>
      </c>
      <c r="I192" s="1">
        <v>1</v>
      </c>
      <c r="J192" s="1">
        <v>0.08</v>
      </c>
      <c r="K192" s="19">
        <v>9.0899999999999995E-2</v>
      </c>
      <c r="L192" s="21">
        <v>0.53</v>
      </c>
      <c r="M192" s="21">
        <v>0.19400000000000001</v>
      </c>
      <c r="N192" s="21">
        <v>0</v>
      </c>
      <c r="O192" s="21">
        <v>1</v>
      </c>
      <c r="P192" s="22">
        <v>1</v>
      </c>
      <c r="Q192" s="38" t="str">
        <f t="shared" si="2"/>
        <v>Weekday</v>
      </c>
    </row>
    <row r="193" spans="1:17">
      <c r="A193" s="1">
        <v>192</v>
      </c>
      <c r="B193" s="2">
        <v>40552</v>
      </c>
      <c r="C193" s="1">
        <v>1</v>
      </c>
      <c r="D193" s="1">
        <v>0</v>
      </c>
      <c r="E193" s="1">
        <v>1</v>
      </c>
      <c r="F193" s="1">
        <v>6</v>
      </c>
      <c r="G193" s="1" t="b">
        <v>0</v>
      </c>
      <c r="H193" s="1">
        <v>0</v>
      </c>
      <c r="I193" s="1">
        <v>1</v>
      </c>
      <c r="J193" s="1">
        <v>0.1</v>
      </c>
      <c r="K193" s="20">
        <v>9.0899999999999995E-2</v>
      </c>
      <c r="L193" s="23">
        <v>0.49</v>
      </c>
      <c r="M193" s="23">
        <v>0.28360000000000002</v>
      </c>
      <c r="N193" s="23">
        <v>0</v>
      </c>
      <c r="O193" s="23">
        <v>1</v>
      </c>
      <c r="P193" s="24">
        <v>1</v>
      </c>
      <c r="Q193" s="38" t="str">
        <f t="shared" si="2"/>
        <v>Weekday</v>
      </c>
    </row>
    <row r="194" spans="1:17">
      <c r="A194" s="1">
        <v>193</v>
      </c>
      <c r="B194" s="2">
        <v>40552</v>
      </c>
      <c r="C194" s="1">
        <v>1</v>
      </c>
      <c r="D194" s="1">
        <v>0</v>
      </c>
      <c r="E194" s="1">
        <v>1</v>
      </c>
      <c r="F194" s="1">
        <v>7</v>
      </c>
      <c r="G194" s="1" t="b">
        <v>0</v>
      </c>
      <c r="H194" s="1">
        <v>0</v>
      </c>
      <c r="I194" s="1">
        <v>1</v>
      </c>
      <c r="J194" s="1">
        <v>0.08</v>
      </c>
      <c r="K194" s="19">
        <v>9.0899999999999995E-2</v>
      </c>
      <c r="L194" s="21">
        <v>0.53</v>
      </c>
      <c r="M194" s="21">
        <v>0.19400000000000001</v>
      </c>
      <c r="N194" s="21">
        <v>1</v>
      </c>
      <c r="O194" s="21">
        <v>5</v>
      </c>
      <c r="P194" s="22">
        <v>6</v>
      </c>
      <c r="Q194" s="38" t="str">
        <f t="shared" ref="Q194:Q257" si="3">IF(H194&gt;=6,"Weekend","Weekday")</f>
        <v>Weekday</v>
      </c>
    </row>
    <row r="195" spans="1:17">
      <c r="A195" s="1">
        <v>194</v>
      </c>
      <c r="B195" s="2">
        <v>40552</v>
      </c>
      <c r="C195" s="1">
        <v>1</v>
      </c>
      <c r="D195" s="1">
        <v>0</v>
      </c>
      <c r="E195" s="1">
        <v>1</v>
      </c>
      <c r="F195" s="1">
        <v>8</v>
      </c>
      <c r="G195" s="1" t="b">
        <v>0</v>
      </c>
      <c r="H195" s="1">
        <v>0</v>
      </c>
      <c r="I195" s="1">
        <v>1</v>
      </c>
      <c r="J195" s="1">
        <v>0.1</v>
      </c>
      <c r="K195" s="20">
        <v>9.0899999999999995E-2</v>
      </c>
      <c r="L195" s="23">
        <v>0.49</v>
      </c>
      <c r="M195" s="23">
        <v>0.28360000000000002</v>
      </c>
      <c r="N195" s="23">
        <v>0</v>
      </c>
      <c r="O195" s="23">
        <v>10</v>
      </c>
      <c r="P195" s="24">
        <v>10</v>
      </c>
      <c r="Q195" s="38" t="str">
        <f t="shared" si="3"/>
        <v>Weekday</v>
      </c>
    </row>
    <row r="196" spans="1:17">
      <c r="A196" s="1">
        <v>195</v>
      </c>
      <c r="B196" s="2">
        <v>40552</v>
      </c>
      <c r="C196" s="1">
        <v>1</v>
      </c>
      <c r="D196" s="1">
        <v>0</v>
      </c>
      <c r="E196" s="1">
        <v>1</v>
      </c>
      <c r="F196" s="1">
        <v>9</v>
      </c>
      <c r="G196" s="1" t="b">
        <v>0</v>
      </c>
      <c r="H196" s="1">
        <v>0</v>
      </c>
      <c r="I196" s="1">
        <v>1</v>
      </c>
      <c r="J196" s="1">
        <v>0.12</v>
      </c>
      <c r="K196" s="19">
        <v>7.5800000000000006E-2</v>
      </c>
      <c r="L196" s="21">
        <v>0.46</v>
      </c>
      <c r="M196" s="21">
        <v>0.52239999999999998</v>
      </c>
      <c r="N196" s="21">
        <v>0</v>
      </c>
      <c r="O196" s="21">
        <v>19</v>
      </c>
      <c r="P196" s="22">
        <v>19</v>
      </c>
      <c r="Q196" s="38" t="str">
        <f t="shared" si="3"/>
        <v>Weekday</v>
      </c>
    </row>
    <row r="197" spans="1:17">
      <c r="A197" s="1">
        <v>196</v>
      </c>
      <c r="B197" s="2">
        <v>40552</v>
      </c>
      <c r="C197" s="1">
        <v>1</v>
      </c>
      <c r="D197" s="1">
        <v>0</v>
      </c>
      <c r="E197" s="1">
        <v>1</v>
      </c>
      <c r="F197" s="1">
        <v>10</v>
      </c>
      <c r="G197" s="1" t="b">
        <v>0</v>
      </c>
      <c r="H197" s="1">
        <v>0</v>
      </c>
      <c r="I197" s="1">
        <v>1</v>
      </c>
      <c r="J197" s="1">
        <v>0.14000000000000001</v>
      </c>
      <c r="K197" s="20">
        <v>0.1061</v>
      </c>
      <c r="L197" s="23">
        <v>0.43</v>
      </c>
      <c r="M197" s="23">
        <v>0.3881</v>
      </c>
      <c r="N197" s="23">
        <v>0</v>
      </c>
      <c r="O197" s="23">
        <v>49</v>
      </c>
      <c r="P197" s="24">
        <v>49</v>
      </c>
      <c r="Q197" s="38" t="str">
        <f t="shared" si="3"/>
        <v>Weekday</v>
      </c>
    </row>
    <row r="198" spans="1:17">
      <c r="A198" s="1">
        <v>197</v>
      </c>
      <c r="B198" s="2">
        <v>40552</v>
      </c>
      <c r="C198" s="1">
        <v>1</v>
      </c>
      <c r="D198" s="1">
        <v>0</v>
      </c>
      <c r="E198" s="1">
        <v>1</v>
      </c>
      <c r="F198" s="1">
        <v>11</v>
      </c>
      <c r="G198" s="1" t="b">
        <v>0</v>
      </c>
      <c r="H198" s="1">
        <v>0</v>
      </c>
      <c r="I198" s="1">
        <v>1</v>
      </c>
      <c r="J198" s="1">
        <v>0.16</v>
      </c>
      <c r="K198" s="19">
        <v>0.1212</v>
      </c>
      <c r="L198" s="21">
        <v>0.4</v>
      </c>
      <c r="M198" s="21">
        <v>0.52239999999999998</v>
      </c>
      <c r="N198" s="21">
        <v>2</v>
      </c>
      <c r="O198" s="21">
        <v>47</v>
      </c>
      <c r="P198" s="22">
        <v>49</v>
      </c>
      <c r="Q198" s="38" t="str">
        <f t="shared" si="3"/>
        <v>Weekday</v>
      </c>
    </row>
    <row r="199" spans="1:17">
      <c r="A199" s="1">
        <v>198</v>
      </c>
      <c r="B199" s="2">
        <v>40552</v>
      </c>
      <c r="C199" s="1">
        <v>1</v>
      </c>
      <c r="D199" s="1">
        <v>0</v>
      </c>
      <c r="E199" s="1">
        <v>1</v>
      </c>
      <c r="F199" s="1">
        <v>12</v>
      </c>
      <c r="G199" s="1" t="b">
        <v>0</v>
      </c>
      <c r="H199" s="1">
        <v>0</v>
      </c>
      <c r="I199" s="1">
        <v>1</v>
      </c>
      <c r="J199" s="1">
        <v>0.18</v>
      </c>
      <c r="K199" s="20">
        <v>0.13639999999999999</v>
      </c>
      <c r="L199" s="23">
        <v>0.37</v>
      </c>
      <c r="M199" s="23">
        <v>0.44779999999999998</v>
      </c>
      <c r="N199" s="23">
        <v>4</v>
      </c>
      <c r="O199" s="23">
        <v>79</v>
      </c>
      <c r="P199" s="24">
        <v>83</v>
      </c>
      <c r="Q199" s="38" t="str">
        <f t="shared" si="3"/>
        <v>Weekday</v>
      </c>
    </row>
    <row r="200" spans="1:17">
      <c r="A200" s="1">
        <v>199</v>
      </c>
      <c r="B200" s="2">
        <v>40552</v>
      </c>
      <c r="C200" s="1">
        <v>1</v>
      </c>
      <c r="D200" s="1">
        <v>0</v>
      </c>
      <c r="E200" s="1">
        <v>1</v>
      </c>
      <c r="F200" s="1">
        <v>13</v>
      </c>
      <c r="G200" s="1" t="b">
        <v>0</v>
      </c>
      <c r="H200" s="1">
        <v>0</v>
      </c>
      <c r="I200" s="1">
        <v>1</v>
      </c>
      <c r="J200" s="1">
        <v>0.2</v>
      </c>
      <c r="K200" s="19">
        <v>0.16669999999999999</v>
      </c>
      <c r="L200" s="21">
        <v>0.34</v>
      </c>
      <c r="M200" s="21">
        <v>0.44779999999999998</v>
      </c>
      <c r="N200" s="21">
        <v>6</v>
      </c>
      <c r="O200" s="21">
        <v>69</v>
      </c>
      <c r="P200" s="22">
        <v>75</v>
      </c>
      <c r="Q200" s="38" t="str">
        <f t="shared" si="3"/>
        <v>Weekday</v>
      </c>
    </row>
    <row r="201" spans="1:17">
      <c r="A201" s="1">
        <v>200</v>
      </c>
      <c r="B201" s="2">
        <v>40552</v>
      </c>
      <c r="C201" s="1">
        <v>1</v>
      </c>
      <c r="D201" s="1">
        <v>0</v>
      </c>
      <c r="E201" s="1">
        <v>1</v>
      </c>
      <c r="F201" s="1">
        <v>14</v>
      </c>
      <c r="G201" s="1" t="b">
        <v>0</v>
      </c>
      <c r="H201" s="1">
        <v>0</v>
      </c>
      <c r="I201" s="1">
        <v>1</v>
      </c>
      <c r="J201" s="1">
        <v>0.22</v>
      </c>
      <c r="K201" s="20">
        <v>0.18179999999999999</v>
      </c>
      <c r="L201" s="23">
        <v>0.32</v>
      </c>
      <c r="M201" s="23">
        <v>0.4627</v>
      </c>
      <c r="N201" s="23">
        <v>8</v>
      </c>
      <c r="O201" s="23">
        <v>64</v>
      </c>
      <c r="P201" s="24">
        <v>72</v>
      </c>
      <c r="Q201" s="38" t="str">
        <f t="shared" si="3"/>
        <v>Weekday</v>
      </c>
    </row>
    <row r="202" spans="1:17">
      <c r="A202" s="1">
        <v>201</v>
      </c>
      <c r="B202" s="2">
        <v>40552</v>
      </c>
      <c r="C202" s="1">
        <v>1</v>
      </c>
      <c r="D202" s="1">
        <v>0</v>
      </c>
      <c r="E202" s="1">
        <v>1</v>
      </c>
      <c r="F202" s="1">
        <v>15</v>
      </c>
      <c r="G202" s="1" t="b">
        <v>0</v>
      </c>
      <c r="H202" s="1">
        <v>0</v>
      </c>
      <c r="I202" s="1">
        <v>1</v>
      </c>
      <c r="J202" s="1">
        <v>0.22</v>
      </c>
      <c r="K202" s="19">
        <v>0.19700000000000001</v>
      </c>
      <c r="L202" s="21">
        <v>0.35</v>
      </c>
      <c r="M202" s="21">
        <v>0.35820000000000002</v>
      </c>
      <c r="N202" s="21">
        <v>5</v>
      </c>
      <c r="O202" s="21">
        <v>77</v>
      </c>
      <c r="P202" s="22">
        <v>82</v>
      </c>
      <c r="Q202" s="38" t="str">
        <f t="shared" si="3"/>
        <v>Weekday</v>
      </c>
    </row>
    <row r="203" spans="1:17">
      <c r="A203" s="1">
        <v>202</v>
      </c>
      <c r="B203" s="2">
        <v>40552</v>
      </c>
      <c r="C203" s="1">
        <v>1</v>
      </c>
      <c r="D203" s="1">
        <v>0</v>
      </c>
      <c r="E203" s="1">
        <v>1</v>
      </c>
      <c r="F203" s="1">
        <v>16</v>
      </c>
      <c r="G203" s="1" t="b">
        <v>0</v>
      </c>
      <c r="H203" s="1">
        <v>0</v>
      </c>
      <c r="I203" s="1">
        <v>1</v>
      </c>
      <c r="J203" s="1">
        <v>0.2</v>
      </c>
      <c r="K203" s="20">
        <v>0.16669999999999999</v>
      </c>
      <c r="L203" s="23">
        <v>0.34</v>
      </c>
      <c r="M203" s="23">
        <v>0.44779999999999998</v>
      </c>
      <c r="N203" s="23">
        <v>13</v>
      </c>
      <c r="O203" s="23">
        <v>79</v>
      </c>
      <c r="P203" s="24">
        <v>92</v>
      </c>
      <c r="Q203" s="38" t="str">
        <f t="shared" si="3"/>
        <v>Weekday</v>
      </c>
    </row>
    <row r="204" spans="1:17">
      <c r="A204" s="1">
        <v>203</v>
      </c>
      <c r="B204" s="2">
        <v>40552</v>
      </c>
      <c r="C204" s="1">
        <v>1</v>
      </c>
      <c r="D204" s="1">
        <v>0</v>
      </c>
      <c r="E204" s="1">
        <v>1</v>
      </c>
      <c r="F204" s="1">
        <v>17</v>
      </c>
      <c r="G204" s="1" t="b">
        <v>0</v>
      </c>
      <c r="H204" s="1">
        <v>0</v>
      </c>
      <c r="I204" s="1">
        <v>1</v>
      </c>
      <c r="J204" s="1">
        <v>0.18</v>
      </c>
      <c r="K204" s="19">
        <v>0.1515</v>
      </c>
      <c r="L204" s="21">
        <v>0.37</v>
      </c>
      <c r="M204" s="21">
        <v>0.3881</v>
      </c>
      <c r="N204" s="21">
        <v>3</v>
      </c>
      <c r="O204" s="21">
        <v>59</v>
      </c>
      <c r="P204" s="22">
        <v>62</v>
      </c>
      <c r="Q204" s="38" t="str">
        <f t="shared" si="3"/>
        <v>Weekday</v>
      </c>
    </row>
    <row r="205" spans="1:17">
      <c r="A205" s="1">
        <v>204</v>
      </c>
      <c r="B205" s="2">
        <v>40552</v>
      </c>
      <c r="C205" s="1">
        <v>1</v>
      </c>
      <c r="D205" s="1">
        <v>0</v>
      </c>
      <c r="E205" s="1">
        <v>1</v>
      </c>
      <c r="F205" s="1">
        <v>18</v>
      </c>
      <c r="G205" s="1" t="b">
        <v>0</v>
      </c>
      <c r="H205" s="1">
        <v>0</v>
      </c>
      <c r="I205" s="1">
        <v>1</v>
      </c>
      <c r="J205" s="1">
        <v>0.16</v>
      </c>
      <c r="K205" s="20">
        <v>0.13639999999999999</v>
      </c>
      <c r="L205" s="23">
        <v>0.4</v>
      </c>
      <c r="M205" s="23">
        <v>0.32840000000000003</v>
      </c>
      <c r="N205" s="23">
        <v>4</v>
      </c>
      <c r="O205" s="23">
        <v>44</v>
      </c>
      <c r="P205" s="24">
        <v>48</v>
      </c>
      <c r="Q205" s="38" t="str">
        <f t="shared" si="3"/>
        <v>Weekday</v>
      </c>
    </row>
    <row r="206" spans="1:17">
      <c r="A206" s="1">
        <v>205</v>
      </c>
      <c r="B206" s="2">
        <v>40552</v>
      </c>
      <c r="C206" s="1">
        <v>1</v>
      </c>
      <c r="D206" s="1">
        <v>0</v>
      </c>
      <c r="E206" s="1">
        <v>1</v>
      </c>
      <c r="F206" s="1">
        <v>19</v>
      </c>
      <c r="G206" s="1" t="b">
        <v>0</v>
      </c>
      <c r="H206" s="1">
        <v>0</v>
      </c>
      <c r="I206" s="1">
        <v>1</v>
      </c>
      <c r="J206" s="1">
        <v>0.16</v>
      </c>
      <c r="K206" s="19">
        <v>0.13639999999999999</v>
      </c>
      <c r="L206" s="21">
        <v>0.43</v>
      </c>
      <c r="M206" s="21">
        <v>0.32840000000000003</v>
      </c>
      <c r="N206" s="21">
        <v>1</v>
      </c>
      <c r="O206" s="21">
        <v>40</v>
      </c>
      <c r="P206" s="22">
        <v>41</v>
      </c>
      <c r="Q206" s="38" t="str">
        <f t="shared" si="3"/>
        <v>Weekday</v>
      </c>
    </row>
    <row r="207" spans="1:17">
      <c r="A207" s="1">
        <v>206</v>
      </c>
      <c r="B207" s="2">
        <v>40552</v>
      </c>
      <c r="C207" s="1">
        <v>1</v>
      </c>
      <c r="D207" s="1">
        <v>0</v>
      </c>
      <c r="E207" s="1">
        <v>1</v>
      </c>
      <c r="F207" s="1">
        <v>20</v>
      </c>
      <c r="G207" s="1" t="b">
        <v>0</v>
      </c>
      <c r="H207" s="1">
        <v>0</v>
      </c>
      <c r="I207" s="1">
        <v>1</v>
      </c>
      <c r="J207" s="1">
        <v>0.14000000000000001</v>
      </c>
      <c r="K207" s="20">
        <v>0.1212</v>
      </c>
      <c r="L207" s="23">
        <v>0.46</v>
      </c>
      <c r="M207" s="23">
        <v>0.25369999999999998</v>
      </c>
      <c r="N207" s="23">
        <v>0</v>
      </c>
      <c r="O207" s="23">
        <v>38</v>
      </c>
      <c r="P207" s="24">
        <v>38</v>
      </c>
      <c r="Q207" s="38" t="str">
        <f t="shared" si="3"/>
        <v>Weekday</v>
      </c>
    </row>
    <row r="208" spans="1:17">
      <c r="A208" s="1">
        <v>207</v>
      </c>
      <c r="B208" s="2">
        <v>40552</v>
      </c>
      <c r="C208" s="1">
        <v>1</v>
      </c>
      <c r="D208" s="1">
        <v>0</v>
      </c>
      <c r="E208" s="1">
        <v>1</v>
      </c>
      <c r="F208" s="1">
        <v>21</v>
      </c>
      <c r="G208" s="1" t="b">
        <v>0</v>
      </c>
      <c r="H208" s="1">
        <v>0</v>
      </c>
      <c r="I208" s="1">
        <v>1</v>
      </c>
      <c r="J208" s="1">
        <v>0.14000000000000001</v>
      </c>
      <c r="K208" s="19">
        <v>0.1061</v>
      </c>
      <c r="L208" s="21">
        <v>0.46</v>
      </c>
      <c r="M208" s="21">
        <v>0.41789999999999999</v>
      </c>
      <c r="N208" s="21">
        <v>1</v>
      </c>
      <c r="O208" s="21">
        <v>19</v>
      </c>
      <c r="P208" s="22">
        <v>20</v>
      </c>
      <c r="Q208" s="38" t="str">
        <f t="shared" si="3"/>
        <v>Weekday</v>
      </c>
    </row>
    <row r="209" spans="1:17">
      <c r="A209" s="1">
        <v>208</v>
      </c>
      <c r="B209" s="2">
        <v>40552</v>
      </c>
      <c r="C209" s="1">
        <v>1</v>
      </c>
      <c r="D209" s="1">
        <v>0</v>
      </c>
      <c r="E209" s="1">
        <v>1</v>
      </c>
      <c r="F209" s="1">
        <v>22</v>
      </c>
      <c r="G209" s="1" t="b">
        <v>0</v>
      </c>
      <c r="H209" s="1">
        <v>0</v>
      </c>
      <c r="I209" s="1">
        <v>1</v>
      </c>
      <c r="J209" s="1">
        <v>0.14000000000000001</v>
      </c>
      <c r="K209" s="20">
        <v>0.1212</v>
      </c>
      <c r="L209" s="23">
        <v>0.46</v>
      </c>
      <c r="M209" s="23">
        <v>0.29849999999999999</v>
      </c>
      <c r="N209" s="23">
        <v>5</v>
      </c>
      <c r="O209" s="23">
        <v>10</v>
      </c>
      <c r="P209" s="24">
        <v>15</v>
      </c>
      <c r="Q209" s="38" t="str">
        <f t="shared" si="3"/>
        <v>Weekday</v>
      </c>
    </row>
    <row r="210" spans="1:17">
      <c r="A210" s="1">
        <v>209</v>
      </c>
      <c r="B210" s="2">
        <v>40552</v>
      </c>
      <c r="C210" s="1">
        <v>1</v>
      </c>
      <c r="D210" s="1">
        <v>0</v>
      </c>
      <c r="E210" s="1">
        <v>1</v>
      </c>
      <c r="F210" s="1">
        <v>23</v>
      </c>
      <c r="G210" s="1" t="b">
        <v>0</v>
      </c>
      <c r="H210" s="1">
        <v>0</v>
      </c>
      <c r="I210" s="1">
        <v>1</v>
      </c>
      <c r="J210" s="1">
        <v>0.12</v>
      </c>
      <c r="K210" s="19">
        <v>0.13639999999999999</v>
      </c>
      <c r="L210" s="21">
        <v>0.5</v>
      </c>
      <c r="M210" s="21">
        <v>0.19400000000000001</v>
      </c>
      <c r="N210" s="21">
        <v>0</v>
      </c>
      <c r="O210" s="21">
        <v>6</v>
      </c>
      <c r="P210" s="22">
        <v>6</v>
      </c>
      <c r="Q210" s="38" t="str">
        <f t="shared" si="3"/>
        <v>Weekday</v>
      </c>
    </row>
    <row r="211" spans="1:17">
      <c r="A211" s="1">
        <v>210</v>
      </c>
      <c r="B211" s="2">
        <v>40553</v>
      </c>
      <c r="C211" s="1">
        <v>1</v>
      </c>
      <c r="D211" s="1">
        <v>0</v>
      </c>
      <c r="E211" s="1">
        <v>1</v>
      </c>
      <c r="F211" s="1">
        <v>0</v>
      </c>
      <c r="G211" s="1" t="b">
        <v>0</v>
      </c>
      <c r="H211" s="1">
        <v>1</v>
      </c>
      <c r="I211" s="1">
        <v>1</v>
      </c>
      <c r="J211" s="1">
        <v>0.12</v>
      </c>
      <c r="K211" s="20">
        <v>0.1212</v>
      </c>
      <c r="L211" s="23">
        <v>0.5</v>
      </c>
      <c r="M211" s="23">
        <v>0.28360000000000002</v>
      </c>
      <c r="N211" s="23">
        <v>2</v>
      </c>
      <c r="O211" s="23">
        <v>3</v>
      </c>
      <c r="P211" s="24">
        <v>5</v>
      </c>
      <c r="Q211" s="38" t="str">
        <f t="shared" si="3"/>
        <v>Weekday</v>
      </c>
    </row>
    <row r="212" spans="1:17">
      <c r="A212" s="1">
        <v>211</v>
      </c>
      <c r="B212" s="2">
        <v>40553</v>
      </c>
      <c r="C212" s="1">
        <v>1</v>
      </c>
      <c r="D212" s="1">
        <v>0</v>
      </c>
      <c r="E212" s="1">
        <v>1</v>
      </c>
      <c r="F212" s="1">
        <v>1</v>
      </c>
      <c r="G212" s="1" t="b">
        <v>0</v>
      </c>
      <c r="H212" s="1">
        <v>1</v>
      </c>
      <c r="I212" s="1">
        <v>1</v>
      </c>
      <c r="J212" s="1">
        <v>0.12</v>
      </c>
      <c r="K212" s="19">
        <v>0.1212</v>
      </c>
      <c r="L212" s="21">
        <v>0.5</v>
      </c>
      <c r="M212" s="21">
        <v>0.28360000000000002</v>
      </c>
      <c r="N212" s="21">
        <v>1</v>
      </c>
      <c r="O212" s="21">
        <v>0</v>
      </c>
      <c r="P212" s="22">
        <v>1</v>
      </c>
      <c r="Q212" s="38" t="str">
        <f t="shared" si="3"/>
        <v>Weekday</v>
      </c>
    </row>
    <row r="213" spans="1:17">
      <c r="A213" s="1">
        <v>212</v>
      </c>
      <c r="B213" s="2">
        <v>40553</v>
      </c>
      <c r="C213" s="1">
        <v>1</v>
      </c>
      <c r="D213" s="1">
        <v>0</v>
      </c>
      <c r="E213" s="1">
        <v>1</v>
      </c>
      <c r="F213" s="1">
        <v>2</v>
      </c>
      <c r="G213" s="1" t="b">
        <v>0</v>
      </c>
      <c r="H213" s="1">
        <v>1</v>
      </c>
      <c r="I213" s="1">
        <v>1</v>
      </c>
      <c r="J213" s="1">
        <v>0.12</v>
      </c>
      <c r="K213" s="20">
        <v>0.1212</v>
      </c>
      <c r="L213" s="23">
        <v>0.5</v>
      </c>
      <c r="M213" s="23">
        <v>0.22389999999999999</v>
      </c>
      <c r="N213" s="23">
        <v>0</v>
      </c>
      <c r="O213" s="23">
        <v>3</v>
      </c>
      <c r="P213" s="24">
        <v>3</v>
      </c>
      <c r="Q213" s="38" t="str">
        <f t="shared" si="3"/>
        <v>Weekday</v>
      </c>
    </row>
    <row r="214" spans="1:17">
      <c r="A214" s="1">
        <v>213</v>
      </c>
      <c r="B214" s="2">
        <v>40553</v>
      </c>
      <c r="C214" s="1">
        <v>1</v>
      </c>
      <c r="D214" s="1">
        <v>0</v>
      </c>
      <c r="E214" s="1">
        <v>1</v>
      </c>
      <c r="F214" s="1">
        <v>3</v>
      </c>
      <c r="G214" s="1" t="b">
        <v>0</v>
      </c>
      <c r="H214" s="1">
        <v>1</v>
      </c>
      <c r="I214" s="1">
        <v>1</v>
      </c>
      <c r="J214" s="1">
        <v>0.12</v>
      </c>
      <c r="K214" s="19">
        <v>0.1212</v>
      </c>
      <c r="L214" s="21">
        <v>0.5</v>
      </c>
      <c r="M214" s="21">
        <v>0.22389999999999999</v>
      </c>
      <c r="N214" s="21">
        <v>0</v>
      </c>
      <c r="O214" s="21">
        <v>1</v>
      </c>
      <c r="P214" s="22">
        <v>1</v>
      </c>
      <c r="Q214" s="38" t="str">
        <f t="shared" si="3"/>
        <v>Weekday</v>
      </c>
    </row>
    <row r="215" spans="1:17">
      <c r="A215" s="1">
        <v>214</v>
      </c>
      <c r="B215" s="2">
        <v>40553</v>
      </c>
      <c r="C215" s="1">
        <v>1</v>
      </c>
      <c r="D215" s="1">
        <v>0</v>
      </c>
      <c r="E215" s="1">
        <v>1</v>
      </c>
      <c r="F215" s="1">
        <v>4</v>
      </c>
      <c r="G215" s="1" t="b">
        <v>0</v>
      </c>
      <c r="H215" s="1">
        <v>1</v>
      </c>
      <c r="I215" s="1">
        <v>1</v>
      </c>
      <c r="J215" s="1">
        <v>0.1</v>
      </c>
      <c r="K215" s="20">
        <v>0.1212</v>
      </c>
      <c r="L215" s="23">
        <v>0.54</v>
      </c>
      <c r="M215" s="23">
        <v>0.1343</v>
      </c>
      <c r="N215" s="23">
        <v>1</v>
      </c>
      <c r="O215" s="23">
        <v>2</v>
      </c>
      <c r="P215" s="24">
        <v>3</v>
      </c>
      <c r="Q215" s="38" t="str">
        <f t="shared" si="3"/>
        <v>Weekday</v>
      </c>
    </row>
    <row r="216" spans="1:17">
      <c r="A216" s="1">
        <v>215</v>
      </c>
      <c r="B216" s="2">
        <v>40553</v>
      </c>
      <c r="C216" s="1">
        <v>1</v>
      </c>
      <c r="D216" s="1">
        <v>0</v>
      </c>
      <c r="E216" s="1">
        <v>1</v>
      </c>
      <c r="F216" s="1">
        <v>5</v>
      </c>
      <c r="G216" s="1" t="b">
        <v>0</v>
      </c>
      <c r="H216" s="1">
        <v>1</v>
      </c>
      <c r="I216" s="1">
        <v>1</v>
      </c>
      <c r="J216" s="1">
        <v>0.1</v>
      </c>
      <c r="K216" s="19">
        <v>0.1061</v>
      </c>
      <c r="L216" s="21">
        <v>0.54</v>
      </c>
      <c r="M216" s="21">
        <v>0.25369999999999998</v>
      </c>
      <c r="N216" s="21">
        <v>0</v>
      </c>
      <c r="O216" s="21">
        <v>3</v>
      </c>
      <c r="P216" s="22">
        <v>3</v>
      </c>
      <c r="Q216" s="38" t="str">
        <f t="shared" si="3"/>
        <v>Weekday</v>
      </c>
    </row>
    <row r="217" spans="1:17">
      <c r="A217" s="1">
        <v>216</v>
      </c>
      <c r="B217" s="2">
        <v>40553</v>
      </c>
      <c r="C217" s="1">
        <v>1</v>
      </c>
      <c r="D217" s="1">
        <v>0</v>
      </c>
      <c r="E217" s="1">
        <v>1</v>
      </c>
      <c r="F217" s="1">
        <v>6</v>
      </c>
      <c r="G217" s="1" t="b">
        <v>0</v>
      </c>
      <c r="H217" s="1">
        <v>1</v>
      </c>
      <c r="I217" s="1">
        <v>1</v>
      </c>
      <c r="J217" s="1">
        <v>0.12</v>
      </c>
      <c r="K217" s="20">
        <v>0.1212</v>
      </c>
      <c r="L217" s="23">
        <v>0.5</v>
      </c>
      <c r="M217" s="23">
        <v>0.28360000000000002</v>
      </c>
      <c r="N217" s="23">
        <v>0</v>
      </c>
      <c r="O217" s="23">
        <v>31</v>
      </c>
      <c r="P217" s="24">
        <v>31</v>
      </c>
      <c r="Q217" s="38" t="str">
        <f t="shared" si="3"/>
        <v>Weekday</v>
      </c>
    </row>
    <row r="218" spans="1:17">
      <c r="A218" s="1">
        <v>217</v>
      </c>
      <c r="B218" s="2">
        <v>40553</v>
      </c>
      <c r="C218" s="1">
        <v>1</v>
      </c>
      <c r="D218" s="1">
        <v>0</v>
      </c>
      <c r="E218" s="1">
        <v>1</v>
      </c>
      <c r="F218" s="1">
        <v>7</v>
      </c>
      <c r="G218" s="1" t="b">
        <v>0</v>
      </c>
      <c r="H218" s="1">
        <v>1</v>
      </c>
      <c r="I218" s="1">
        <v>1</v>
      </c>
      <c r="J218" s="1">
        <v>0.12</v>
      </c>
      <c r="K218" s="19">
        <v>0.1212</v>
      </c>
      <c r="L218" s="21">
        <v>0.5</v>
      </c>
      <c r="M218" s="21">
        <v>0.22389999999999999</v>
      </c>
      <c r="N218" s="21">
        <v>2</v>
      </c>
      <c r="O218" s="21">
        <v>75</v>
      </c>
      <c r="P218" s="22">
        <v>77</v>
      </c>
      <c r="Q218" s="38" t="str">
        <f t="shared" si="3"/>
        <v>Weekday</v>
      </c>
    </row>
    <row r="219" spans="1:17">
      <c r="A219" s="1">
        <v>218</v>
      </c>
      <c r="B219" s="2">
        <v>40553</v>
      </c>
      <c r="C219" s="1">
        <v>1</v>
      </c>
      <c r="D219" s="1">
        <v>0</v>
      </c>
      <c r="E219" s="1">
        <v>1</v>
      </c>
      <c r="F219" s="1">
        <v>8</v>
      </c>
      <c r="G219" s="1" t="b">
        <v>0</v>
      </c>
      <c r="H219" s="1">
        <v>1</v>
      </c>
      <c r="I219" s="1">
        <v>2</v>
      </c>
      <c r="J219" s="1">
        <v>0.12</v>
      </c>
      <c r="K219" s="20">
        <v>0.1212</v>
      </c>
      <c r="L219" s="23">
        <v>0.5</v>
      </c>
      <c r="M219" s="23">
        <v>0.28360000000000002</v>
      </c>
      <c r="N219" s="23">
        <v>4</v>
      </c>
      <c r="O219" s="23">
        <v>184</v>
      </c>
      <c r="P219" s="24">
        <v>188</v>
      </c>
      <c r="Q219" s="38" t="str">
        <f t="shared" si="3"/>
        <v>Weekday</v>
      </c>
    </row>
    <row r="220" spans="1:17">
      <c r="A220" s="1">
        <v>219</v>
      </c>
      <c r="B220" s="2">
        <v>40553</v>
      </c>
      <c r="C220" s="1">
        <v>1</v>
      </c>
      <c r="D220" s="1">
        <v>0</v>
      </c>
      <c r="E220" s="1">
        <v>1</v>
      </c>
      <c r="F220" s="1">
        <v>9</v>
      </c>
      <c r="G220" s="1" t="b">
        <v>0</v>
      </c>
      <c r="H220" s="1">
        <v>1</v>
      </c>
      <c r="I220" s="1">
        <v>2</v>
      </c>
      <c r="J220" s="1">
        <v>0.14000000000000001</v>
      </c>
      <c r="K220" s="19">
        <v>0.1212</v>
      </c>
      <c r="L220" s="21">
        <v>0.5</v>
      </c>
      <c r="M220" s="21">
        <v>0.25369999999999998</v>
      </c>
      <c r="N220" s="21">
        <v>2</v>
      </c>
      <c r="O220" s="21">
        <v>92</v>
      </c>
      <c r="P220" s="22">
        <v>94</v>
      </c>
      <c r="Q220" s="38" t="str">
        <f t="shared" si="3"/>
        <v>Weekday</v>
      </c>
    </row>
    <row r="221" spans="1:17">
      <c r="A221" s="1">
        <v>220</v>
      </c>
      <c r="B221" s="2">
        <v>40553</v>
      </c>
      <c r="C221" s="1">
        <v>1</v>
      </c>
      <c r="D221" s="1">
        <v>0</v>
      </c>
      <c r="E221" s="1">
        <v>1</v>
      </c>
      <c r="F221" s="1">
        <v>10</v>
      </c>
      <c r="G221" s="1" t="b">
        <v>0</v>
      </c>
      <c r="H221" s="1">
        <v>1</v>
      </c>
      <c r="I221" s="1">
        <v>2</v>
      </c>
      <c r="J221" s="1">
        <v>0.14000000000000001</v>
      </c>
      <c r="K221" s="20">
        <v>0.1212</v>
      </c>
      <c r="L221" s="23">
        <v>0.5</v>
      </c>
      <c r="M221" s="23">
        <v>0.29849999999999999</v>
      </c>
      <c r="N221" s="23">
        <v>0</v>
      </c>
      <c r="O221" s="23">
        <v>31</v>
      </c>
      <c r="P221" s="24">
        <v>31</v>
      </c>
      <c r="Q221" s="38" t="str">
        <f t="shared" si="3"/>
        <v>Weekday</v>
      </c>
    </row>
    <row r="222" spans="1:17">
      <c r="A222" s="1">
        <v>221</v>
      </c>
      <c r="B222" s="2">
        <v>40553</v>
      </c>
      <c r="C222" s="1">
        <v>1</v>
      </c>
      <c r="D222" s="1">
        <v>0</v>
      </c>
      <c r="E222" s="1">
        <v>1</v>
      </c>
      <c r="F222" s="1">
        <v>11</v>
      </c>
      <c r="G222" s="1" t="b">
        <v>0</v>
      </c>
      <c r="H222" s="1">
        <v>1</v>
      </c>
      <c r="I222" s="1">
        <v>2</v>
      </c>
      <c r="J222" s="1">
        <v>0.16</v>
      </c>
      <c r="K222" s="19">
        <v>0.13639999999999999</v>
      </c>
      <c r="L222" s="21">
        <v>0.47</v>
      </c>
      <c r="M222" s="21">
        <v>0.28360000000000002</v>
      </c>
      <c r="N222" s="21">
        <v>2</v>
      </c>
      <c r="O222" s="21">
        <v>28</v>
      </c>
      <c r="P222" s="22">
        <v>30</v>
      </c>
      <c r="Q222" s="38" t="str">
        <f t="shared" si="3"/>
        <v>Weekday</v>
      </c>
    </row>
    <row r="223" spans="1:17">
      <c r="A223" s="1">
        <v>222</v>
      </c>
      <c r="B223" s="2">
        <v>40553</v>
      </c>
      <c r="C223" s="1">
        <v>1</v>
      </c>
      <c r="D223" s="1">
        <v>0</v>
      </c>
      <c r="E223" s="1">
        <v>1</v>
      </c>
      <c r="F223" s="1">
        <v>12</v>
      </c>
      <c r="G223" s="1" t="b">
        <v>0</v>
      </c>
      <c r="H223" s="1">
        <v>1</v>
      </c>
      <c r="I223" s="1">
        <v>2</v>
      </c>
      <c r="J223" s="1">
        <v>0.2</v>
      </c>
      <c r="K223" s="20">
        <v>0.18179999999999999</v>
      </c>
      <c r="L223" s="23">
        <v>0.4</v>
      </c>
      <c r="M223" s="23">
        <v>0.28360000000000002</v>
      </c>
      <c r="N223" s="23">
        <v>5</v>
      </c>
      <c r="O223" s="23">
        <v>47</v>
      </c>
      <c r="P223" s="24">
        <v>52</v>
      </c>
      <c r="Q223" s="38" t="str">
        <f t="shared" si="3"/>
        <v>Weekday</v>
      </c>
    </row>
    <row r="224" spans="1:17">
      <c r="A224" s="1">
        <v>223</v>
      </c>
      <c r="B224" s="2">
        <v>40553</v>
      </c>
      <c r="C224" s="1">
        <v>1</v>
      </c>
      <c r="D224" s="1">
        <v>0</v>
      </c>
      <c r="E224" s="1">
        <v>1</v>
      </c>
      <c r="F224" s="1">
        <v>13</v>
      </c>
      <c r="G224" s="1" t="b">
        <v>0</v>
      </c>
      <c r="H224" s="1">
        <v>1</v>
      </c>
      <c r="I224" s="1">
        <v>2</v>
      </c>
      <c r="J224" s="1">
        <v>0.2</v>
      </c>
      <c r="K224" s="19">
        <v>0.18179999999999999</v>
      </c>
      <c r="L224" s="21">
        <v>0.4</v>
      </c>
      <c r="M224" s="21">
        <v>0.28360000000000002</v>
      </c>
      <c r="N224" s="21">
        <v>4</v>
      </c>
      <c r="O224" s="21">
        <v>50</v>
      </c>
      <c r="P224" s="22">
        <v>54</v>
      </c>
      <c r="Q224" s="38" t="str">
        <f t="shared" si="3"/>
        <v>Weekday</v>
      </c>
    </row>
    <row r="225" spans="1:17">
      <c r="A225" s="1">
        <v>224</v>
      </c>
      <c r="B225" s="2">
        <v>40553</v>
      </c>
      <c r="C225" s="1">
        <v>1</v>
      </c>
      <c r="D225" s="1">
        <v>0</v>
      </c>
      <c r="E225" s="1">
        <v>1</v>
      </c>
      <c r="F225" s="1">
        <v>14</v>
      </c>
      <c r="G225" s="1" t="b">
        <v>0</v>
      </c>
      <c r="H225" s="1">
        <v>1</v>
      </c>
      <c r="I225" s="1">
        <v>2</v>
      </c>
      <c r="J225" s="1">
        <v>0.2</v>
      </c>
      <c r="K225" s="20">
        <v>0.19700000000000001</v>
      </c>
      <c r="L225" s="23">
        <v>0.4</v>
      </c>
      <c r="M225" s="23">
        <v>0.22389999999999999</v>
      </c>
      <c r="N225" s="23">
        <v>0</v>
      </c>
      <c r="O225" s="23">
        <v>47</v>
      </c>
      <c r="P225" s="24">
        <v>47</v>
      </c>
      <c r="Q225" s="38" t="str">
        <f t="shared" si="3"/>
        <v>Weekday</v>
      </c>
    </row>
    <row r="226" spans="1:17">
      <c r="A226" s="1">
        <v>225</v>
      </c>
      <c r="B226" s="2">
        <v>40553</v>
      </c>
      <c r="C226" s="1">
        <v>1</v>
      </c>
      <c r="D226" s="1">
        <v>0</v>
      </c>
      <c r="E226" s="1">
        <v>1</v>
      </c>
      <c r="F226" s="1">
        <v>15</v>
      </c>
      <c r="G226" s="1" t="b">
        <v>0</v>
      </c>
      <c r="H226" s="1">
        <v>1</v>
      </c>
      <c r="I226" s="1">
        <v>2</v>
      </c>
      <c r="J226" s="1">
        <v>0.2</v>
      </c>
      <c r="K226" s="19">
        <v>0.19700000000000001</v>
      </c>
      <c r="L226" s="21">
        <v>0.4</v>
      </c>
      <c r="M226" s="21">
        <v>0.22389999999999999</v>
      </c>
      <c r="N226" s="21">
        <v>2</v>
      </c>
      <c r="O226" s="21">
        <v>43</v>
      </c>
      <c r="P226" s="22">
        <v>45</v>
      </c>
      <c r="Q226" s="38" t="str">
        <f t="shared" si="3"/>
        <v>Weekday</v>
      </c>
    </row>
    <row r="227" spans="1:17">
      <c r="A227" s="1">
        <v>226</v>
      </c>
      <c r="B227" s="2">
        <v>40553</v>
      </c>
      <c r="C227" s="1">
        <v>1</v>
      </c>
      <c r="D227" s="1">
        <v>0</v>
      </c>
      <c r="E227" s="1">
        <v>1</v>
      </c>
      <c r="F227" s="1">
        <v>16</v>
      </c>
      <c r="G227" s="1" t="b">
        <v>0</v>
      </c>
      <c r="H227" s="1">
        <v>1</v>
      </c>
      <c r="I227" s="1">
        <v>1</v>
      </c>
      <c r="J227" s="1">
        <v>0.2</v>
      </c>
      <c r="K227" s="20">
        <v>0.21210000000000001</v>
      </c>
      <c r="L227" s="23">
        <v>0.4</v>
      </c>
      <c r="M227" s="23">
        <v>0.1343</v>
      </c>
      <c r="N227" s="23">
        <v>4</v>
      </c>
      <c r="O227" s="23">
        <v>70</v>
      </c>
      <c r="P227" s="24">
        <v>74</v>
      </c>
      <c r="Q227" s="38" t="str">
        <f t="shared" si="3"/>
        <v>Weekday</v>
      </c>
    </row>
    <row r="228" spans="1:17">
      <c r="A228" s="1">
        <v>227</v>
      </c>
      <c r="B228" s="2">
        <v>40553</v>
      </c>
      <c r="C228" s="1">
        <v>1</v>
      </c>
      <c r="D228" s="1">
        <v>0</v>
      </c>
      <c r="E228" s="1">
        <v>1</v>
      </c>
      <c r="F228" s="1">
        <v>17</v>
      </c>
      <c r="G228" s="1" t="b">
        <v>0</v>
      </c>
      <c r="H228" s="1">
        <v>1</v>
      </c>
      <c r="I228" s="1">
        <v>1</v>
      </c>
      <c r="J228" s="1">
        <v>0.2</v>
      </c>
      <c r="K228" s="19">
        <v>0.2273</v>
      </c>
      <c r="L228" s="21">
        <v>0.4</v>
      </c>
      <c r="M228" s="21">
        <v>0.1045</v>
      </c>
      <c r="N228" s="21">
        <v>4</v>
      </c>
      <c r="O228" s="21">
        <v>174</v>
      </c>
      <c r="P228" s="22">
        <v>178</v>
      </c>
      <c r="Q228" s="38" t="str">
        <f t="shared" si="3"/>
        <v>Weekday</v>
      </c>
    </row>
    <row r="229" spans="1:17">
      <c r="A229" s="1">
        <v>228</v>
      </c>
      <c r="B229" s="2">
        <v>40553</v>
      </c>
      <c r="C229" s="1">
        <v>1</v>
      </c>
      <c r="D229" s="1">
        <v>0</v>
      </c>
      <c r="E229" s="1">
        <v>1</v>
      </c>
      <c r="F229" s="1">
        <v>18</v>
      </c>
      <c r="G229" s="1" t="b">
        <v>0</v>
      </c>
      <c r="H229" s="1">
        <v>1</v>
      </c>
      <c r="I229" s="1">
        <v>1</v>
      </c>
      <c r="J229" s="1">
        <v>0.2</v>
      </c>
      <c r="K229" s="20">
        <v>0.19700000000000001</v>
      </c>
      <c r="L229" s="23">
        <v>0.4</v>
      </c>
      <c r="M229" s="23">
        <v>0.22389999999999999</v>
      </c>
      <c r="N229" s="23">
        <v>1</v>
      </c>
      <c r="O229" s="23">
        <v>154</v>
      </c>
      <c r="P229" s="24">
        <v>155</v>
      </c>
      <c r="Q229" s="38" t="str">
        <f t="shared" si="3"/>
        <v>Weekday</v>
      </c>
    </row>
    <row r="230" spans="1:17">
      <c r="A230" s="1">
        <v>229</v>
      </c>
      <c r="B230" s="2">
        <v>40553</v>
      </c>
      <c r="C230" s="1">
        <v>1</v>
      </c>
      <c r="D230" s="1">
        <v>0</v>
      </c>
      <c r="E230" s="1">
        <v>1</v>
      </c>
      <c r="F230" s="1">
        <v>19</v>
      </c>
      <c r="G230" s="1" t="b">
        <v>0</v>
      </c>
      <c r="H230" s="1">
        <v>1</v>
      </c>
      <c r="I230" s="1">
        <v>1</v>
      </c>
      <c r="J230" s="1">
        <v>0.16</v>
      </c>
      <c r="K230" s="19">
        <v>0.16669999999999999</v>
      </c>
      <c r="L230" s="21">
        <v>0.47</v>
      </c>
      <c r="M230" s="21">
        <v>0.16420000000000001</v>
      </c>
      <c r="N230" s="21">
        <v>3</v>
      </c>
      <c r="O230" s="21">
        <v>92</v>
      </c>
      <c r="P230" s="22">
        <v>95</v>
      </c>
      <c r="Q230" s="38" t="str">
        <f t="shared" si="3"/>
        <v>Weekday</v>
      </c>
    </row>
    <row r="231" spans="1:17">
      <c r="A231" s="1">
        <v>230</v>
      </c>
      <c r="B231" s="2">
        <v>40553</v>
      </c>
      <c r="C231" s="1">
        <v>1</v>
      </c>
      <c r="D231" s="1">
        <v>0</v>
      </c>
      <c r="E231" s="1">
        <v>1</v>
      </c>
      <c r="F231" s="1">
        <v>20</v>
      </c>
      <c r="G231" s="1" t="b">
        <v>0</v>
      </c>
      <c r="H231" s="1">
        <v>1</v>
      </c>
      <c r="I231" s="1">
        <v>1</v>
      </c>
      <c r="J231" s="1">
        <v>0.16</v>
      </c>
      <c r="K231" s="20">
        <v>0.16669999999999999</v>
      </c>
      <c r="L231" s="23">
        <v>0.5</v>
      </c>
      <c r="M231" s="23">
        <v>0.16420000000000001</v>
      </c>
      <c r="N231" s="23">
        <v>1</v>
      </c>
      <c r="O231" s="23">
        <v>73</v>
      </c>
      <c r="P231" s="24">
        <v>74</v>
      </c>
      <c r="Q231" s="38" t="str">
        <f t="shared" si="3"/>
        <v>Weekday</v>
      </c>
    </row>
    <row r="232" spans="1:17">
      <c r="A232" s="1">
        <v>231</v>
      </c>
      <c r="B232" s="2">
        <v>40553</v>
      </c>
      <c r="C232" s="1">
        <v>1</v>
      </c>
      <c r="D232" s="1">
        <v>0</v>
      </c>
      <c r="E232" s="1">
        <v>1</v>
      </c>
      <c r="F232" s="1">
        <v>21</v>
      </c>
      <c r="G232" s="1" t="b">
        <v>0</v>
      </c>
      <c r="H232" s="1">
        <v>1</v>
      </c>
      <c r="I232" s="1">
        <v>1</v>
      </c>
      <c r="J232" s="1">
        <v>0.14000000000000001</v>
      </c>
      <c r="K232" s="19">
        <v>0.13639999999999999</v>
      </c>
      <c r="L232" s="21">
        <v>0.59</v>
      </c>
      <c r="M232" s="21">
        <v>0.19400000000000001</v>
      </c>
      <c r="N232" s="21">
        <v>1</v>
      </c>
      <c r="O232" s="21">
        <v>37</v>
      </c>
      <c r="P232" s="22">
        <v>38</v>
      </c>
      <c r="Q232" s="38" t="str">
        <f t="shared" si="3"/>
        <v>Weekday</v>
      </c>
    </row>
    <row r="233" spans="1:17">
      <c r="A233" s="1">
        <v>232</v>
      </c>
      <c r="B233" s="2">
        <v>40553</v>
      </c>
      <c r="C233" s="1">
        <v>1</v>
      </c>
      <c r="D233" s="1">
        <v>0</v>
      </c>
      <c r="E233" s="1">
        <v>1</v>
      </c>
      <c r="F233" s="1">
        <v>22</v>
      </c>
      <c r="G233" s="1" t="b">
        <v>0</v>
      </c>
      <c r="H233" s="1">
        <v>1</v>
      </c>
      <c r="I233" s="1">
        <v>1</v>
      </c>
      <c r="J233" s="1">
        <v>0.14000000000000001</v>
      </c>
      <c r="K233" s="20">
        <v>0.1515</v>
      </c>
      <c r="L233" s="23">
        <v>0.59</v>
      </c>
      <c r="M233" s="23">
        <v>0.16420000000000001</v>
      </c>
      <c r="N233" s="23">
        <v>2</v>
      </c>
      <c r="O233" s="23">
        <v>22</v>
      </c>
      <c r="P233" s="24">
        <v>24</v>
      </c>
      <c r="Q233" s="38" t="str">
        <f t="shared" si="3"/>
        <v>Weekday</v>
      </c>
    </row>
    <row r="234" spans="1:17">
      <c r="A234" s="1">
        <v>233</v>
      </c>
      <c r="B234" s="2">
        <v>40553</v>
      </c>
      <c r="C234" s="1">
        <v>1</v>
      </c>
      <c r="D234" s="1">
        <v>0</v>
      </c>
      <c r="E234" s="1">
        <v>1</v>
      </c>
      <c r="F234" s="1">
        <v>23</v>
      </c>
      <c r="G234" s="1" t="b">
        <v>0</v>
      </c>
      <c r="H234" s="1">
        <v>1</v>
      </c>
      <c r="I234" s="1">
        <v>1</v>
      </c>
      <c r="J234" s="1">
        <v>0.14000000000000001</v>
      </c>
      <c r="K234" s="19">
        <v>0.1515</v>
      </c>
      <c r="L234" s="21">
        <v>0.59</v>
      </c>
      <c r="M234" s="21">
        <v>0.16420000000000001</v>
      </c>
      <c r="N234" s="21">
        <v>0</v>
      </c>
      <c r="O234" s="21">
        <v>18</v>
      </c>
      <c r="P234" s="22">
        <v>18</v>
      </c>
      <c r="Q234" s="38" t="str">
        <f t="shared" si="3"/>
        <v>Weekday</v>
      </c>
    </row>
    <row r="235" spans="1:17">
      <c r="A235" s="1">
        <v>234</v>
      </c>
      <c r="B235" s="2">
        <v>40554</v>
      </c>
      <c r="C235" s="1">
        <v>1</v>
      </c>
      <c r="D235" s="1">
        <v>0</v>
      </c>
      <c r="E235" s="1">
        <v>1</v>
      </c>
      <c r="F235" s="1">
        <v>0</v>
      </c>
      <c r="G235" s="1" t="b">
        <v>0</v>
      </c>
      <c r="H235" s="1">
        <v>2</v>
      </c>
      <c r="I235" s="1">
        <v>1</v>
      </c>
      <c r="J235" s="1">
        <v>0.14000000000000001</v>
      </c>
      <c r="K235" s="20">
        <v>0.16669999999999999</v>
      </c>
      <c r="L235" s="23">
        <v>0.59</v>
      </c>
      <c r="M235" s="23">
        <v>0.1045</v>
      </c>
      <c r="N235" s="23">
        <v>2</v>
      </c>
      <c r="O235" s="23">
        <v>10</v>
      </c>
      <c r="P235" s="24">
        <v>12</v>
      </c>
      <c r="Q235" s="38" t="str">
        <f t="shared" si="3"/>
        <v>Weekday</v>
      </c>
    </row>
    <row r="236" spans="1:17">
      <c r="A236" s="1">
        <v>235</v>
      </c>
      <c r="B236" s="2">
        <v>40554</v>
      </c>
      <c r="C236" s="1">
        <v>1</v>
      </c>
      <c r="D236" s="1">
        <v>0</v>
      </c>
      <c r="E236" s="1">
        <v>1</v>
      </c>
      <c r="F236" s="1">
        <v>1</v>
      </c>
      <c r="G236" s="1" t="b">
        <v>0</v>
      </c>
      <c r="H236" s="1">
        <v>2</v>
      </c>
      <c r="I236" s="1">
        <v>1</v>
      </c>
      <c r="J236" s="1">
        <v>0.14000000000000001</v>
      </c>
      <c r="K236" s="19">
        <v>0.1515</v>
      </c>
      <c r="L236" s="21">
        <v>0.59</v>
      </c>
      <c r="M236" s="21">
        <v>0.16420000000000001</v>
      </c>
      <c r="N236" s="21">
        <v>0</v>
      </c>
      <c r="O236" s="21">
        <v>3</v>
      </c>
      <c r="P236" s="22">
        <v>3</v>
      </c>
      <c r="Q236" s="38" t="str">
        <f t="shared" si="3"/>
        <v>Weekday</v>
      </c>
    </row>
    <row r="237" spans="1:17">
      <c r="A237" s="1">
        <v>236</v>
      </c>
      <c r="B237" s="2">
        <v>40554</v>
      </c>
      <c r="C237" s="1">
        <v>1</v>
      </c>
      <c r="D237" s="1">
        <v>0</v>
      </c>
      <c r="E237" s="1">
        <v>1</v>
      </c>
      <c r="F237" s="1">
        <v>2</v>
      </c>
      <c r="G237" s="1" t="b">
        <v>0</v>
      </c>
      <c r="H237" s="1">
        <v>2</v>
      </c>
      <c r="I237" s="1">
        <v>2</v>
      </c>
      <c r="J237" s="1">
        <v>0.16</v>
      </c>
      <c r="K237" s="20">
        <v>0.1515</v>
      </c>
      <c r="L237" s="23">
        <v>0.55000000000000004</v>
      </c>
      <c r="M237" s="23">
        <v>0.19400000000000001</v>
      </c>
      <c r="N237" s="23">
        <v>0</v>
      </c>
      <c r="O237" s="23">
        <v>3</v>
      </c>
      <c r="P237" s="24">
        <v>3</v>
      </c>
      <c r="Q237" s="38" t="str">
        <f t="shared" si="3"/>
        <v>Weekday</v>
      </c>
    </row>
    <row r="238" spans="1:17">
      <c r="A238" s="1">
        <v>237</v>
      </c>
      <c r="B238" s="2">
        <v>40554</v>
      </c>
      <c r="C238" s="1">
        <v>1</v>
      </c>
      <c r="D238" s="1">
        <v>0</v>
      </c>
      <c r="E238" s="1">
        <v>1</v>
      </c>
      <c r="F238" s="1">
        <v>5</v>
      </c>
      <c r="G238" s="1" t="b">
        <v>0</v>
      </c>
      <c r="H238" s="1">
        <v>2</v>
      </c>
      <c r="I238" s="1">
        <v>2</v>
      </c>
      <c r="J238" s="1">
        <v>0.16</v>
      </c>
      <c r="K238" s="19">
        <v>0.18179999999999999</v>
      </c>
      <c r="L238" s="21">
        <v>0.55000000000000004</v>
      </c>
      <c r="M238" s="21">
        <v>0.1343</v>
      </c>
      <c r="N238" s="21">
        <v>0</v>
      </c>
      <c r="O238" s="21">
        <v>6</v>
      </c>
      <c r="P238" s="22">
        <v>6</v>
      </c>
      <c r="Q238" s="38" t="str">
        <f t="shared" si="3"/>
        <v>Weekday</v>
      </c>
    </row>
    <row r="239" spans="1:17">
      <c r="A239" s="1">
        <v>238</v>
      </c>
      <c r="B239" s="2">
        <v>40554</v>
      </c>
      <c r="C239" s="1">
        <v>1</v>
      </c>
      <c r="D239" s="1">
        <v>0</v>
      </c>
      <c r="E239" s="1">
        <v>1</v>
      </c>
      <c r="F239" s="1">
        <v>6</v>
      </c>
      <c r="G239" s="1" t="b">
        <v>0</v>
      </c>
      <c r="H239" s="1">
        <v>2</v>
      </c>
      <c r="I239" s="1">
        <v>2</v>
      </c>
      <c r="J239" s="1">
        <v>0.16</v>
      </c>
      <c r="K239" s="20">
        <v>0.18179999999999999</v>
      </c>
      <c r="L239" s="23">
        <v>0.55000000000000004</v>
      </c>
      <c r="M239" s="23">
        <v>0.1343</v>
      </c>
      <c r="N239" s="23">
        <v>0</v>
      </c>
      <c r="O239" s="23">
        <v>27</v>
      </c>
      <c r="P239" s="24">
        <v>27</v>
      </c>
      <c r="Q239" s="38" t="str">
        <f t="shared" si="3"/>
        <v>Weekday</v>
      </c>
    </row>
    <row r="240" spans="1:17">
      <c r="A240" s="1">
        <v>239</v>
      </c>
      <c r="B240" s="2">
        <v>40554</v>
      </c>
      <c r="C240" s="1">
        <v>1</v>
      </c>
      <c r="D240" s="1">
        <v>0</v>
      </c>
      <c r="E240" s="1">
        <v>1</v>
      </c>
      <c r="F240" s="1">
        <v>7</v>
      </c>
      <c r="G240" s="1" t="b">
        <v>0</v>
      </c>
      <c r="H240" s="1">
        <v>2</v>
      </c>
      <c r="I240" s="1">
        <v>2</v>
      </c>
      <c r="J240" s="1">
        <v>0.16</v>
      </c>
      <c r="K240" s="19">
        <v>0.2273</v>
      </c>
      <c r="L240" s="21">
        <v>0.55000000000000004</v>
      </c>
      <c r="M240" s="21">
        <v>0</v>
      </c>
      <c r="N240" s="21">
        <v>2</v>
      </c>
      <c r="O240" s="21">
        <v>97</v>
      </c>
      <c r="P240" s="22">
        <v>99</v>
      </c>
      <c r="Q240" s="38" t="str">
        <f t="shared" si="3"/>
        <v>Weekday</v>
      </c>
    </row>
    <row r="241" spans="1:17">
      <c r="A241" s="1">
        <v>240</v>
      </c>
      <c r="B241" s="2">
        <v>40554</v>
      </c>
      <c r="C241" s="1">
        <v>1</v>
      </c>
      <c r="D241" s="1">
        <v>0</v>
      </c>
      <c r="E241" s="1">
        <v>1</v>
      </c>
      <c r="F241" s="1">
        <v>8</v>
      </c>
      <c r="G241" s="1" t="b">
        <v>0</v>
      </c>
      <c r="H241" s="1">
        <v>2</v>
      </c>
      <c r="I241" s="1">
        <v>2</v>
      </c>
      <c r="J241" s="1">
        <v>0.18</v>
      </c>
      <c r="K241" s="20">
        <v>0.21210000000000001</v>
      </c>
      <c r="L241" s="23">
        <v>0.51</v>
      </c>
      <c r="M241" s="23">
        <v>8.9599999999999999E-2</v>
      </c>
      <c r="N241" s="23">
        <v>3</v>
      </c>
      <c r="O241" s="23">
        <v>214</v>
      </c>
      <c r="P241" s="24">
        <v>217</v>
      </c>
      <c r="Q241" s="38" t="str">
        <f t="shared" si="3"/>
        <v>Weekday</v>
      </c>
    </row>
    <row r="242" spans="1:17">
      <c r="A242" s="1">
        <v>241</v>
      </c>
      <c r="B242" s="2">
        <v>40554</v>
      </c>
      <c r="C242" s="1">
        <v>1</v>
      </c>
      <c r="D242" s="1">
        <v>0</v>
      </c>
      <c r="E242" s="1">
        <v>1</v>
      </c>
      <c r="F242" s="1">
        <v>9</v>
      </c>
      <c r="G242" s="1" t="b">
        <v>0</v>
      </c>
      <c r="H242" s="1">
        <v>2</v>
      </c>
      <c r="I242" s="1">
        <v>2</v>
      </c>
      <c r="J242" s="1">
        <v>0.18</v>
      </c>
      <c r="K242" s="19">
        <v>0.19700000000000001</v>
      </c>
      <c r="L242" s="21">
        <v>0.51</v>
      </c>
      <c r="M242" s="21">
        <v>0.16420000000000001</v>
      </c>
      <c r="N242" s="21">
        <v>3</v>
      </c>
      <c r="O242" s="21">
        <v>127</v>
      </c>
      <c r="P242" s="22">
        <v>130</v>
      </c>
      <c r="Q242" s="38" t="str">
        <f t="shared" si="3"/>
        <v>Weekday</v>
      </c>
    </row>
    <row r="243" spans="1:17">
      <c r="A243" s="1">
        <v>242</v>
      </c>
      <c r="B243" s="2">
        <v>40554</v>
      </c>
      <c r="C243" s="1">
        <v>1</v>
      </c>
      <c r="D243" s="1">
        <v>0</v>
      </c>
      <c r="E243" s="1">
        <v>1</v>
      </c>
      <c r="F243" s="1">
        <v>10</v>
      </c>
      <c r="G243" s="1" t="b">
        <v>0</v>
      </c>
      <c r="H243" s="1">
        <v>2</v>
      </c>
      <c r="I243" s="1">
        <v>2</v>
      </c>
      <c r="J243" s="1">
        <v>0.2</v>
      </c>
      <c r="K243" s="20">
        <v>0.21210000000000001</v>
      </c>
      <c r="L243" s="23">
        <v>0.51</v>
      </c>
      <c r="M243" s="23">
        <v>0.16420000000000001</v>
      </c>
      <c r="N243" s="23">
        <v>3</v>
      </c>
      <c r="O243" s="23">
        <v>51</v>
      </c>
      <c r="P243" s="24">
        <v>54</v>
      </c>
      <c r="Q243" s="38" t="str">
        <f t="shared" si="3"/>
        <v>Weekday</v>
      </c>
    </row>
    <row r="244" spans="1:17">
      <c r="A244" s="1">
        <v>243</v>
      </c>
      <c r="B244" s="2">
        <v>40554</v>
      </c>
      <c r="C244" s="1">
        <v>1</v>
      </c>
      <c r="D244" s="1">
        <v>0</v>
      </c>
      <c r="E244" s="1">
        <v>1</v>
      </c>
      <c r="F244" s="1">
        <v>11</v>
      </c>
      <c r="G244" s="1" t="b">
        <v>0</v>
      </c>
      <c r="H244" s="1">
        <v>2</v>
      </c>
      <c r="I244" s="1">
        <v>2</v>
      </c>
      <c r="J244" s="1">
        <v>0.2</v>
      </c>
      <c r="K244" s="19">
        <v>0.21210000000000001</v>
      </c>
      <c r="L244" s="21">
        <v>0.47</v>
      </c>
      <c r="M244" s="21">
        <v>0.1343</v>
      </c>
      <c r="N244" s="21">
        <v>4</v>
      </c>
      <c r="O244" s="21">
        <v>31</v>
      </c>
      <c r="P244" s="22">
        <v>35</v>
      </c>
      <c r="Q244" s="38" t="str">
        <f t="shared" si="3"/>
        <v>Weekday</v>
      </c>
    </row>
    <row r="245" spans="1:17">
      <c r="A245" s="1">
        <v>244</v>
      </c>
      <c r="B245" s="2">
        <v>40554</v>
      </c>
      <c r="C245" s="1">
        <v>1</v>
      </c>
      <c r="D245" s="1">
        <v>0</v>
      </c>
      <c r="E245" s="1">
        <v>1</v>
      </c>
      <c r="F245" s="1">
        <v>12</v>
      </c>
      <c r="G245" s="1" t="b">
        <v>0</v>
      </c>
      <c r="H245" s="1">
        <v>2</v>
      </c>
      <c r="I245" s="1">
        <v>2</v>
      </c>
      <c r="J245" s="1">
        <v>0.2</v>
      </c>
      <c r="K245" s="20">
        <v>0.2273</v>
      </c>
      <c r="L245" s="23">
        <v>0.51</v>
      </c>
      <c r="M245" s="23">
        <v>0.1045</v>
      </c>
      <c r="N245" s="23">
        <v>2</v>
      </c>
      <c r="O245" s="23">
        <v>55</v>
      </c>
      <c r="P245" s="24">
        <v>57</v>
      </c>
      <c r="Q245" s="38" t="str">
        <f t="shared" si="3"/>
        <v>Weekday</v>
      </c>
    </row>
    <row r="246" spans="1:17">
      <c r="A246" s="1">
        <v>245</v>
      </c>
      <c r="B246" s="2">
        <v>40554</v>
      </c>
      <c r="C246" s="1">
        <v>1</v>
      </c>
      <c r="D246" s="1">
        <v>0</v>
      </c>
      <c r="E246" s="1">
        <v>1</v>
      </c>
      <c r="F246" s="1">
        <v>13</v>
      </c>
      <c r="G246" s="1" t="b">
        <v>0</v>
      </c>
      <c r="H246" s="1">
        <v>2</v>
      </c>
      <c r="I246" s="1">
        <v>2</v>
      </c>
      <c r="J246" s="1">
        <v>0.2</v>
      </c>
      <c r="K246" s="19">
        <v>0.2273</v>
      </c>
      <c r="L246" s="21">
        <v>0.59</v>
      </c>
      <c r="M246" s="21">
        <v>8.9599999999999999E-2</v>
      </c>
      <c r="N246" s="21">
        <v>6</v>
      </c>
      <c r="O246" s="21">
        <v>46</v>
      </c>
      <c r="P246" s="22">
        <v>52</v>
      </c>
      <c r="Q246" s="38" t="str">
        <f t="shared" si="3"/>
        <v>Weekday</v>
      </c>
    </row>
    <row r="247" spans="1:17">
      <c r="A247" s="1">
        <v>246</v>
      </c>
      <c r="B247" s="2">
        <v>40554</v>
      </c>
      <c r="C247" s="1">
        <v>1</v>
      </c>
      <c r="D247" s="1">
        <v>0</v>
      </c>
      <c r="E247" s="1">
        <v>1</v>
      </c>
      <c r="F247" s="1">
        <v>14</v>
      </c>
      <c r="G247" s="1" t="b">
        <v>0</v>
      </c>
      <c r="H247" s="1">
        <v>2</v>
      </c>
      <c r="I247" s="1">
        <v>2</v>
      </c>
      <c r="J247" s="1">
        <v>0.2</v>
      </c>
      <c r="K247" s="20">
        <v>0.2273</v>
      </c>
      <c r="L247" s="23">
        <v>0.59</v>
      </c>
      <c r="M247" s="23">
        <v>8.9599999999999999E-2</v>
      </c>
      <c r="N247" s="23">
        <v>3</v>
      </c>
      <c r="O247" s="23">
        <v>60</v>
      </c>
      <c r="P247" s="24">
        <v>63</v>
      </c>
      <c r="Q247" s="38" t="str">
        <f t="shared" si="3"/>
        <v>Weekday</v>
      </c>
    </row>
    <row r="248" spans="1:17">
      <c r="A248" s="1">
        <v>247</v>
      </c>
      <c r="B248" s="2">
        <v>40554</v>
      </c>
      <c r="C248" s="1">
        <v>1</v>
      </c>
      <c r="D248" s="1">
        <v>0</v>
      </c>
      <c r="E248" s="1">
        <v>1</v>
      </c>
      <c r="F248" s="1">
        <v>15</v>
      </c>
      <c r="G248" s="1" t="b">
        <v>0</v>
      </c>
      <c r="H248" s="1">
        <v>2</v>
      </c>
      <c r="I248" s="1">
        <v>2</v>
      </c>
      <c r="J248" s="1">
        <v>0.16</v>
      </c>
      <c r="K248" s="19">
        <v>0.19700000000000001</v>
      </c>
      <c r="L248" s="21">
        <v>0.8</v>
      </c>
      <c r="M248" s="21">
        <v>8.9599999999999999E-2</v>
      </c>
      <c r="N248" s="21">
        <v>2</v>
      </c>
      <c r="O248" s="21">
        <v>45</v>
      </c>
      <c r="P248" s="22">
        <v>47</v>
      </c>
      <c r="Q248" s="38" t="str">
        <f t="shared" si="3"/>
        <v>Weekday</v>
      </c>
    </row>
    <row r="249" spans="1:17">
      <c r="A249" s="1">
        <v>248</v>
      </c>
      <c r="B249" s="2">
        <v>40554</v>
      </c>
      <c r="C249" s="1">
        <v>1</v>
      </c>
      <c r="D249" s="1">
        <v>0</v>
      </c>
      <c r="E249" s="1">
        <v>1</v>
      </c>
      <c r="F249" s="1">
        <v>16</v>
      </c>
      <c r="G249" s="1" t="b">
        <v>0</v>
      </c>
      <c r="H249" s="1">
        <v>2</v>
      </c>
      <c r="I249" s="1">
        <v>2</v>
      </c>
      <c r="J249" s="1">
        <v>0.16</v>
      </c>
      <c r="K249" s="20">
        <v>0.1515</v>
      </c>
      <c r="L249" s="23">
        <v>0.86</v>
      </c>
      <c r="M249" s="23">
        <v>0.22389999999999999</v>
      </c>
      <c r="N249" s="23">
        <v>4</v>
      </c>
      <c r="O249" s="23">
        <v>72</v>
      </c>
      <c r="P249" s="24">
        <v>76</v>
      </c>
      <c r="Q249" s="38" t="str">
        <f t="shared" si="3"/>
        <v>Weekday</v>
      </c>
    </row>
    <row r="250" spans="1:17">
      <c r="A250" s="1">
        <v>249</v>
      </c>
      <c r="B250" s="2">
        <v>40554</v>
      </c>
      <c r="C250" s="1">
        <v>1</v>
      </c>
      <c r="D250" s="1">
        <v>0</v>
      </c>
      <c r="E250" s="1">
        <v>1</v>
      </c>
      <c r="F250" s="1">
        <v>17</v>
      </c>
      <c r="G250" s="1" t="b">
        <v>0</v>
      </c>
      <c r="H250" s="1">
        <v>2</v>
      </c>
      <c r="I250" s="1">
        <v>2</v>
      </c>
      <c r="J250" s="1">
        <v>0.16</v>
      </c>
      <c r="K250" s="19">
        <v>0.1515</v>
      </c>
      <c r="L250" s="21">
        <v>0.86</v>
      </c>
      <c r="M250" s="21">
        <v>0.22389999999999999</v>
      </c>
      <c r="N250" s="21">
        <v>6</v>
      </c>
      <c r="O250" s="21">
        <v>130</v>
      </c>
      <c r="P250" s="22">
        <v>136</v>
      </c>
      <c r="Q250" s="38" t="str">
        <f t="shared" si="3"/>
        <v>Weekday</v>
      </c>
    </row>
    <row r="251" spans="1:17">
      <c r="A251" s="1">
        <v>250</v>
      </c>
      <c r="B251" s="2">
        <v>40554</v>
      </c>
      <c r="C251" s="1">
        <v>1</v>
      </c>
      <c r="D251" s="1">
        <v>0</v>
      </c>
      <c r="E251" s="1">
        <v>1</v>
      </c>
      <c r="F251" s="1">
        <v>18</v>
      </c>
      <c r="G251" s="1" t="b">
        <v>0</v>
      </c>
      <c r="H251" s="1">
        <v>2</v>
      </c>
      <c r="I251" s="1">
        <v>3</v>
      </c>
      <c r="J251" s="1">
        <v>0.16</v>
      </c>
      <c r="K251" s="20">
        <v>0.18179999999999999</v>
      </c>
      <c r="L251" s="23">
        <v>0.93</v>
      </c>
      <c r="M251" s="23">
        <v>0.1045</v>
      </c>
      <c r="N251" s="23">
        <v>1</v>
      </c>
      <c r="O251" s="23">
        <v>94</v>
      </c>
      <c r="P251" s="24">
        <v>95</v>
      </c>
      <c r="Q251" s="38" t="str">
        <f t="shared" si="3"/>
        <v>Weekday</v>
      </c>
    </row>
    <row r="252" spans="1:17">
      <c r="A252" s="1">
        <v>251</v>
      </c>
      <c r="B252" s="2">
        <v>40554</v>
      </c>
      <c r="C252" s="1">
        <v>1</v>
      </c>
      <c r="D252" s="1">
        <v>0</v>
      </c>
      <c r="E252" s="1">
        <v>1</v>
      </c>
      <c r="F252" s="1">
        <v>19</v>
      </c>
      <c r="G252" s="1" t="b">
        <v>0</v>
      </c>
      <c r="H252" s="1">
        <v>2</v>
      </c>
      <c r="I252" s="1">
        <v>3</v>
      </c>
      <c r="J252" s="1">
        <v>0.16</v>
      </c>
      <c r="K252" s="19">
        <v>0.2273</v>
      </c>
      <c r="L252" s="21">
        <v>0.93</v>
      </c>
      <c r="M252" s="21">
        <v>0</v>
      </c>
      <c r="N252" s="21">
        <v>0</v>
      </c>
      <c r="O252" s="21">
        <v>51</v>
      </c>
      <c r="P252" s="22">
        <v>51</v>
      </c>
      <c r="Q252" s="38" t="str">
        <f t="shared" si="3"/>
        <v>Weekday</v>
      </c>
    </row>
    <row r="253" spans="1:17">
      <c r="A253" s="1">
        <v>252</v>
      </c>
      <c r="B253" s="2">
        <v>40554</v>
      </c>
      <c r="C253" s="1">
        <v>1</v>
      </c>
      <c r="D253" s="1">
        <v>0</v>
      </c>
      <c r="E253" s="1">
        <v>1</v>
      </c>
      <c r="F253" s="1">
        <v>20</v>
      </c>
      <c r="G253" s="1" t="b">
        <v>0</v>
      </c>
      <c r="H253" s="1">
        <v>2</v>
      </c>
      <c r="I253" s="1">
        <v>3</v>
      </c>
      <c r="J253" s="1">
        <v>0.16</v>
      </c>
      <c r="K253" s="20">
        <v>0.1515</v>
      </c>
      <c r="L253" s="23">
        <v>0.93</v>
      </c>
      <c r="M253" s="23">
        <v>0.19400000000000001</v>
      </c>
      <c r="N253" s="23">
        <v>0</v>
      </c>
      <c r="O253" s="23">
        <v>32</v>
      </c>
      <c r="P253" s="24">
        <v>32</v>
      </c>
      <c r="Q253" s="38" t="str">
        <f t="shared" si="3"/>
        <v>Weekday</v>
      </c>
    </row>
    <row r="254" spans="1:17">
      <c r="A254" s="1">
        <v>253</v>
      </c>
      <c r="B254" s="2">
        <v>40554</v>
      </c>
      <c r="C254" s="1">
        <v>1</v>
      </c>
      <c r="D254" s="1">
        <v>0</v>
      </c>
      <c r="E254" s="1">
        <v>1</v>
      </c>
      <c r="F254" s="1">
        <v>21</v>
      </c>
      <c r="G254" s="1" t="b">
        <v>0</v>
      </c>
      <c r="H254" s="1">
        <v>2</v>
      </c>
      <c r="I254" s="1">
        <v>3</v>
      </c>
      <c r="J254" s="1">
        <v>0.16</v>
      </c>
      <c r="K254" s="19">
        <v>0.19700000000000001</v>
      </c>
      <c r="L254" s="21">
        <v>0.86</v>
      </c>
      <c r="M254" s="21">
        <v>8.9599999999999999E-2</v>
      </c>
      <c r="N254" s="21">
        <v>0</v>
      </c>
      <c r="O254" s="21">
        <v>20</v>
      </c>
      <c r="P254" s="22">
        <v>20</v>
      </c>
      <c r="Q254" s="38" t="str">
        <f t="shared" si="3"/>
        <v>Weekday</v>
      </c>
    </row>
    <row r="255" spans="1:17">
      <c r="A255" s="1">
        <v>254</v>
      </c>
      <c r="B255" s="2">
        <v>40554</v>
      </c>
      <c r="C255" s="1">
        <v>1</v>
      </c>
      <c r="D255" s="1">
        <v>0</v>
      </c>
      <c r="E255" s="1">
        <v>1</v>
      </c>
      <c r="F255" s="1">
        <v>22</v>
      </c>
      <c r="G255" s="1" t="b">
        <v>0</v>
      </c>
      <c r="H255" s="1">
        <v>2</v>
      </c>
      <c r="I255" s="1">
        <v>3</v>
      </c>
      <c r="J255" s="1">
        <v>0.16</v>
      </c>
      <c r="K255" s="20">
        <v>0.18179999999999999</v>
      </c>
      <c r="L255" s="23">
        <v>0.93</v>
      </c>
      <c r="M255" s="23">
        <v>0.1045</v>
      </c>
      <c r="N255" s="23">
        <v>1</v>
      </c>
      <c r="O255" s="23">
        <v>28</v>
      </c>
      <c r="P255" s="24">
        <v>29</v>
      </c>
      <c r="Q255" s="38" t="str">
        <f t="shared" si="3"/>
        <v>Weekday</v>
      </c>
    </row>
    <row r="256" spans="1:17">
      <c r="A256" s="1">
        <v>255</v>
      </c>
      <c r="B256" s="2">
        <v>40554</v>
      </c>
      <c r="C256" s="1">
        <v>1</v>
      </c>
      <c r="D256" s="1">
        <v>0</v>
      </c>
      <c r="E256" s="1">
        <v>1</v>
      </c>
      <c r="F256" s="1">
        <v>23</v>
      </c>
      <c r="G256" s="1" t="b">
        <v>0</v>
      </c>
      <c r="H256" s="1">
        <v>2</v>
      </c>
      <c r="I256" s="1">
        <v>3</v>
      </c>
      <c r="J256" s="1">
        <v>0.16</v>
      </c>
      <c r="K256" s="19">
        <v>0.19700000000000001</v>
      </c>
      <c r="L256" s="21">
        <v>0.93</v>
      </c>
      <c r="M256" s="21">
        <v>8.9599999999999999E-2</v>
      </c>
      <c r="N256" s="21">
        <v>1</v>
      </c>
      <c r="O256" s="21">
        <v>18</v>
      </c>
      <c r="P256" s="22">
        <v>19</v>
      </c>
      <c r="Q256" s="38" t="str">
        <f t="shared" si="3"/>
        <v>Weekday</v>
      </c>
    </row>
    <row r="257" spans="1:17">
      <c r="A257" s="1">
        <v>256</v>
      </c>
      <c r="B257" s="2">
        <v>40555</v>
      </c>
      <c r="C257" s="1">
        <v>1</v>
      </c>
      <c r="D257" s="1">
        <v>0</v>
      </c>
      <c r="E257" s="1">
        <v>1</v>
      </c>
      <c r="F257" s="1">
        <v>0</v>
      </c>
      <c r="G257" s="1" t="b">
        <v>0</v>
      </c>
      <c r="H257" s="1">
        <v>3</v>
      </c>
      <c r="I257" s="1">
        <v>2</v>
      </c>
      <c r="J257" s="1">
        <v>0.16</v>
      </c>
      <c r="K257" s="20">
        <v>0.19700000000000001</v>
      </c>
      <c r="L257" s="23">
        <v>0.86</v>
      </c>
      <c r="M257" s="23">
        <v>8.9599999999999999E-2</v>
      </c>
      <c r="N257" s="23">
        <v>0</v>
      </c>
      <c r="O257" s="23">
        <v>7</v>
      </c>
      <c r="P257" s="24">
        <v>7</v>
      </c>
      <c r="Q257" s="38" t="str">
        <f t="shared" si="3"/>
        <v>Weekday</v>
      </c>
    </row>
    <row r="258" spans="1:17">
      <c r="A258" s="1">
        <v>257</v>
      </c>
      <c r="B258" s="2">
        <v>40555</v>
      </c>
      <c r="C258" s="1">
        <v>1</v>
      </c>
      <c r="D258" s="1">
        <v>0</v>
      </c>
      <c r="E258" s="1">
        <v>1</v>
      </c>
      <c r="F258" s="1">
        <v>1</v>
      </c>
      <c r="G258" s="1" t="b">
        <v>0</v>
      </c>
      <c r="H258" s="1">
        <v>3</v>
      </c>
      <c r="I258" s="1">
        <v>2</v>
      </c>
      <c r="J258" s="1">
        <v>0.16</v>
      </c>
      <c r="K258" s="19">
        <v>0.18179999999999999</v>
      </c>
      <c r="L258" s="21">
        <v>0.86</v>
      </c>
      <c r="M258" s="21">
        <v>0.1045</v>
      </c>
      <c r="N258" s="21">
        <v>0</v>
      </c>
      <c r="O258" s="21">
        <v>6</v>
      </c>
      <c r="P258" s="22">
        <v>6</v>
      </c>
      <c r="Q258" s="38" t="str">
        <f t="shared" ref="Q258:Q321" si="4">IF(H258&gt;=6,"Weekend","Weekday")</f>
        <v>Weekday</v>
      </c>
    </row>
    <row r="259" spans="1:17">
      <c r="A259" s="1">
        <v>258</v>
      </c>
      <c r="B259" s="2">
        <v>40555</v>
      </c>
      <c r="C259" s="1">
        <v>1</v>
      </c>
      <c r="D259" s="1">
        <v>0</v>
      </c>
      <c r="E259" s="1">
        <v>1</v>
      </c>
      <c r="F259" s="1">
        <v>2</v>
      </c>
      <c r="G259" s="1" t="b">
        <v>0</v>
      </c>
      <c r="H259" s="1">
        <v>3</v>
      </c>
      <c r="I259" s="1">
        <v>1</v>
      </c>
      <c r="J259" s="1">
        <v>0.14000000000000001</v>
      </c>
      <c r="K259" s="20">
        <v>0.1515</v>
      </c>
      <c r="L259" s="23">
        <v>0.86</v>
      </c>
      <c r="M259" s="23">
        <v>0.1343</v>
      </c>
      <c r="N259" s="23">
        <v>0</v>
      </c>
      <c r="O259" s="23">
        <v>1</v>
      </c>
      <c r="P259" s="24">
        <v>1</v>
      </c>
      <c r="Q259" s="38" t="str">
        <f t="shared" si="4"/>
        <v>Weekday</v>
      </c>
    </row>
    <row r="260" spans="1:17">
      <c r="A260" s="1">
        <v>259</v>
      </c>
      <c r="B260" s="2">
        <v>40555</v>
      </c>
      <c r="C260" s="1">
        <v>1</v>
      </c>
      <c r="D260" s="1">
        <v>0</v>
      </c>
      <c r="E260" s="1">
        <v>1</v>
      </c>
      <c r="F260" s="1">
        <v>5</v>
      </c>
      <c r="G260" s="1" t="b">
        <v>0</v>
      </c>
      <c r="H260" s="1">
        <v>3</v>
      </c>
      <c r="I260" s="1">
        <v>1</v>
      </c>
      <c r="J260" s="1">
        <v>0.14000000000000001</v>
      </c>
      <c r="K260" s="19">
        <v>0.1515</v>
      </c>
      <c r="L260" s="21">
        <v>0.86</v>
      </c>
      <c r="M260" s="21">
        <v>0.16420000000000001</v>
      </c>
      <c r="N260" s="21">
        <v>0</v>
      </c>
      <c r="O260" s="21">
        <v>5</v>
      </c>
      <c r="P260" s="22">
        <v>5</v>
      </c>
      <c r="Q260" s="38" t="str">
        <f t="shared" si="4"/>
        <v>Weekday</v>
      </c>
    </row>
    <row r="261" spans="1:17">
      <c r="A261" s="1">
        <v>260</v>
      </c>
      <c r="B261" s="2">
        <v>40555</v>
      </c>
      <c r="C261" s="1">
        <v>1</v>
      </c>
      <c r="D261" s="1">
        <v>0</v>
      </c>
      <c r="E261" s="1">
        <v>1</v>
      </c>
      <c r="F261" s="1">
        <v>6</v>
      </c>
      <c r="G261" s="1" t="b">
        <v>0</v>
      </c>
      <c r="H261" s="1">
        <v>3</v>
      </c>
      <c r="I261" s="1">
        <v>1</v>
      </c>
      <c r="J261" s="1">
        <v>0.12</v>
      </c>
      <c r="K261" s="20">
        <v>0.1515</v>
      </c>
      <c r="L261" s="23">
        <v>0.93</v>
      </c>
      <c r="M261" s="23">
        <v>0.1343</v>
      </c>
      <c r="N261" s="23">
        <v>0</v>
      </c>
      <c r="O261" s="23">
        <v>16</v>
      </c>
      <c r="P261" s="24">
        <v>16</v>
      </c>
      <c r="Q261" s="38" t="str">
        <f t="shared" si="4"/>
        <v>Weekday</v>
      </c>
    </row>
    <row r="262" spans="1:17">
      <c r="A262" s="1">
        <v>261</v>
      </c>
      <c r="B262" s="2">
        <v>40555</v>
      </c>
      <c r="C262" s="1">
        <v>1</v>
      </c>
      <c r="D262" s="1">
        <v>0</v>
      </c>
      <c r="E262" s="1">
        <v>1</v>
      </c>
      <c r="F262" s="1">
        <v>7</v>
      </c>
      <c r="G262" s="1" t="b">
        <v>0</v>
      </c>
      <c r="H262" s="1">
        <v>3</v>
      </c>
      <c r="I262" s="1">
        <v>1</v>
      </c>
      <c r="J262" s="1">
        <v>0.14000000000000001</v>
      </c>
      <c r="K262" s="19">
        <v>0.1515</v>
      </c>
      <c r="L262" s="21">
        <v>0.69</v>
      </c>
      <c r="M262" s="21">
        <v>0.1343</v>
      </c>
      <c r="N262" s="21">
        <v>0</v>
      </c>
      <c r="O262" s="21">
        <v>54</v>
      </c>
      <c r="P262" s="22">
        <v>54</v>
      </c>
      <c r="Q262" s="38" t="str">
        <f t="shared" si="4"/>
        <v>Weekday</v>
      </c>
    </row>
    <row r="263" spans="1:17">
      <c r="A263" s="1">
        <v>262</v>
      </c>
      <c r="B263" s="2">
        <v>40555</v>
      </c>
      <c r="C263" s="1">
        <v>1</v>
      </c>
      <c r="D263" s="1">
        <v>0</v>
      </c>
      <c r="E263" s="1">
        <v>1</v>
      </c>
      <c r="F263" s="1">
        <v>8</v>
      </c>
      <c r="G263" s="1" t="b">
        <v>0</v>
      </c>
      <c r="H263" s="1">
        <v>3</v>
      </c>
      <c r="I263" s="1">
        <v>1</v>
      </c>
      <c r="J263" s="1">
        <v>0.16</v>
      </c>
      <c r="K263" s="20">
        <v>0.16669999999999999</v>
      </c>
      <c r="L263" s="23">
        <v>0.59</v>
      </c>
      <c r="M263" s="23">
        <v>0.16420000000000001</v>
      </c>
      <c r="N263" s="23">
        <v>3</v>
      </c>
      <c r="O263" s="23">
        <v>125</v>
      </c>
      <c r="P263" s="24">
        <v>128</v>
      </c>
      <c r="Q263" s="38" t="str">
        <f t="shared" si="4"/>
        <v>Weekday</v>
      </c>
    </row>
    <row r="264" spans="1:17">
      <c r="A264" s="1">
        <v>263</v>
      </c>
      <c r="B264" s="2">
        <v>40555</v>
      </c>
      <c r="C264" s="1">
        <v>1</v>
      </c>
      <c r="D264" s="1">
        <v>0</v>
      </c>
      <c r="E264" s="1">
        <v>1</v>
      </c>
      <c r="F264" s="1">
        <v>9</v>
      </c>
      <c r="G264" s="1" t="b">
        <v>0</v>
      </c>
      <c r="H264" s="1">
        <v>3</v>
      </c>
      <c r="I264" s="1">
        <v>1</v>
      </c>
      <c r="J264" s="1">
        <v>0.16</v>
      </c>
      <c r="K264" s="19">
        <v>0.13639999999999999</v>
      </c>
      <c r="L264" s="21">
        <v>0.59</v>
      </c>
      <c r="M264" s="21">
        <v>0.32840000000000003</v>
      </c>
      <c r="N264" s="21">
        <v>3</v>
      </c>
      <c r="O264" s="21">
        <v>78</v>
      </c>
      <c r="P264" s="22">
        <v>81</v>
      </c>
      <c r="Q264" s="38" t="str">
        <f t="shared" si="4"/>
        <v>Weekday</v>
      </c>
    </row>
    <row r="265" spans="1:17">
      <c r="A265" s="1">
        <v>264</v>
      </c>
      <c r="B265" s="2">
        <v>40555</v>
      </c>
      <c r="C265" s="1">
        <v>1</v>
      </c>
      <c r="D265" s="1">
        <v>0</v>
      </c>
      <c r="E265" s="1">
        <v>1</v>
      </c>
      <c r="F265" s="1">
        <v>10</v>
      </c>
      <c r="G265" s="1" t="b">
        <v>0</v>
      </c>
      <c r="H265" s="1">
        <v>3</v>
      </c>
      <c r="I265" s="1">
        <v>1</v>
      </c>
      <c r="J265" s="1">
        <v>0.18</v>
      </c>
      <c r="K265" s="20">
        <v>0.18179999999999999</v>
      </c>
      <c r="L265" s="23">
        <v>0.55000000000000004</v>
      </c>
      <c r="M265" s="23">
        <v>0.22389999999999999</v>
      </c>
      <c r="N265" s="23">
        <v>0</v>
      </c>
      <c r="O265" s="23">
        <v>39</v>
      </c>
      <c r="P265" s="24">
        <v>39</v>
      </c>
      <c r="Q265" s="38" t="str">
        <f t="shared" si="4"/>
        <v>Weekday</v>
      </c>
    </row>
    <row r="266" spans="1:17">
      <c r="A266" s="1">
        <v>265</v>
      </c>
      <c r="B266" s="2">
        <v>40555</v>
      </c>
      <c r="C266" s="1">
        <v>1</v>
      </c>
      <c r="D266" s="1">
        <v>0</v>
      </c>
      <c r="E266" s="1">
        <v>1</v>
      </c>
      <c r="F266" s="1">
        <v>11</v>
      </c>
      <c r="G266" s="1" t="b">
        <v>0</v>
      </c>
      <c r="H266" s="1">
        <v>3</v>
      </c>
      <c r="I266" s="1">
        <v>1</v>
      </c>
      <c r="J266" s="1">
        <v>0.2</v>
      </c>
      <c r="K266" s="19">
        <v>0.18179999999999999</v>
      </c>
      <c r="L266" s="21">
        <v>0.51</v>
      </c>
      <c r="M266" s="21">
        <v>0.3881</v>
      </c>
      <c r="N266" s="21">
        <v>3</v>
      </c>
      <c r="O266" s="21">
        <v>32</v>
      </c>
      <c r="P266" s="22">
        <v>35</v>
      </c>
      <c r="Q266" s="38" t="str">
        <f t="shared" si="4"/>
        <v>Weekday</v>
      </c>
    </row>
    <row r="267" spans="1:17">
      <c r="A267" s="1">
        <v>266</v>
      </c>
      <c r="B267" s="2">
        <v>40555</v>
      </c>
      <c r="C267" s="1">
        <v>1</v>
      </c>
      <c r="D267" s="1">
        <v>0</v>
      </c>
      <c r="E267" s="1">
        <v>1</v>
      </c>
      <c r="F267" s="1">
        <v>12</v>
      </c>
      <c r="G267" s="1" t="b">
        <v>0</v>
      </c>
      <c r="H267" s="1">
        <v>3</v>
      </c>
      <c r="I267" s="1">
        <v>1</v>
      </c>
      <c r="J267" s="1">
        <v>0.2</v>
      </c>
      <c r="K267" s="20">
        <v>0.1515</v>
      </c>
      <c r="L267" s="23">
        <v>0.47</v>
      </c>
      <c r="M267" s="23">
        <v>0.58209999999999995</v>
      </c>
      <c r="N267" s="23">
        <v>3</v>
      </c>
      <c r="O267" s="23">
        <v>52</v>
      </c>
      <c r="P267" s="24">
        <v>55</v>
      </c>
      <c r="Q267" s="38" t="str">
        <f t="shared" si="4"/>
        <v>Weekday</v>
      </c>
    </row>
    <row r="268" spans="1:17">
      <c r="A268" s="1">
        <v>267</v>
      </c>
      <c r="B268" s="2">
        <v>40555</v>
      </c>
      <c r="C268" s="1">
        <v>1</v>
      </c>
      <c r="D268" s="1">
        <v>0</v>
      </c>
      <c r="E268" s="1">
        <v>1</v>
      </c>
      <c r="F268" s="1">
        <v>13</v>
      </c>
      <c r="G268" s="1" t="b">
        <v>0</v>
      </c>
      <c r="H268" s="1">
        <v>3</v>
      </c>
      <c r="I268" s="1">
        <v>1</v>
      </c>
      <c r="J268" s="1">
        <v>0.22</v>
      </c>
      <c r="K268" s="19">
        <v>0.19700000000000001</v>
      </c>
      <c r="L268" s="21">
        <v>0.44</v>
      </c>
      <c r="M268" s="21">
        <v>0.35820000000000002</v>
      </c>
      <c r="N268" s="21">
        <v>0</v>
      </c>
      <c r="O268" s="21">
        <v>49</v>
      </c>
      <c r="P268" s="22">
        <v>49</v>
      </c>
      <c r="Q268" s="38" t="str">
        <f t="shared" si="4"/>
        <v>Weekday</v>
      </c>
    </row>
    <row r="269" spans="1:17">
      <c r="A269" s="1">
        <v>268</v>
      </c>
      <c r="B269" s="2">
        <v>40555</v>
      </c>
      <c r="C269" s="1">
        <v>1</v>
      </c>
      <c r="D269" s="1">
        <v>0</v>
      </c>
      <c r="E269" s="1">
        <v>1</v>
      </c>
      <c r="F269" s="1">
        <v>14</v>
      </c>
      <c r="G269" s="1" t="b">
        <v>0</v>
      </c>
      <c r="H269" s="1">
        <v>3</v>
      </c>
      <c r="I269" s="1">
        <v>1</v>
      </c>
      <c r="J269" s="1">
        <v>0.2</v>
      </c>
      <c r="K269" s="20">
        <v>0.18179999999999999</v>
      </c>
      <c r="L269" s="23">
        <v>0.47</v>
      </c>
      <c r="M269" s="23">
        <v>0.32840000000000003</v>
      </c>
      <c r="N269" s="23">
        <v>0</v>
      </c>
      <c r="O269" s="23">
        <v>44</v>
      </c>
      <c r="P269" s="24">
        <v>44</v>
      </c>
      <c r="Q269" s="38" t="str">
        <f t="shared" si="4"/>
        <v>Weekday</v>
      </c>
    </row>
    <row r="270" spans="1:17">
      <c r="A270" s="1">
        <v>269</v>
      </c>
      <c r="B270" s="2">
        <v>40555</v>
      </c>
      <c r="C270" s="1">
        <v>1</v>
      </c>
      <c r="D270" s="1">
        <v>0</v>
      </c>
      <c r="E270" s="1">
        <v>1</v>
      </c>
      <c r="F270" s="1">
        <v>15</v>
      </c>
      <c r="G270" s="1" t="b">
        <v>0</v>
      </c>
      <c r="H270" s="1">
        <v>3</v>
      </c>
      <c r="I270" s="1">
        <v>1</v>
      </c>
      <c r="J270" s="1">
        <v>0.2</v>
      </c>
      <c r="K270" s="19">
        <v>0.16669999999999999</v>
      </c>
      <c r="L270" s="21">
        <v>0.47</v>
      </c>
      <c r="M270" s="21">
        <v>0.41789999999999999</v>
      </c>
      <c r="N270" s="21">
        <v>1</v>
      </c>
      <c r="O270" s="21">
        <v>48</v>
      </c>
      <c r="P270" s="22">
        <v>49</v>
      </c>
      <c r="Q270" s="38" t="str">
        <f t="shared" si="4"/>
        <v>Weekday</v>
      </c>
    </row>
    <row r="271" spans="1:17">
      <c r="A271" s="1">
        <v>270</v>
      </c>
      <c r="B271" s="2">
        <v>40555</v>
      </c>
      <c r="C271" s="1">
        <v>1</v>
      </c>
      <c r="D271" s="1">
        <v>0</v>
      </c>
      <c r="E271" s="1">
        <v>1</v>
      </c>
      <c r="F271" s="1">
        <v>16</v>
      </c>
      <c r="G271" s="1" t="b">
        <v>0</v>
      </c>
      <c r="H271" s="1">
        <v>3</v>
      </c>
      <c r="I271" s="1">
        <v>1</v>
      </c>
      <c r="J271" s="1">
        <v>0.22</v>
      </c>
      <c r="K271" s="20">
        <v>0.19700000000000001</v>
      </c>
      <c r="L271" s="23">
        <v>0.44</v>
      </c>
      <c r="M271" s="23">
        <v>0.32840000000000003</v>
      </c>
      <c r="N271" s="23">
        <v>5</v>
      </c>
      <c r="O271" s="23">
        <v>63</v>
      </c>
      <c r="P271" s="24">
        <v>68</v>
      </c>
      <c r="Q271" s="38" t="str">
        <f t="shared" si="4"/>
        <v>Weekday</v>
      </c>
    </row>
    <row r="272" spans="1:17">
      <c r="A272" s="1">
        <v>271</v>
      </c>
      <c r="B272" s="2">
        <v>40555</v>
      </c>
      <c r="C272" s="1">
        <v>1</v>
      </c>
      <c r="D272" s="1">
        <v>0</v>
      </c>
      <c r="E272" s="1">
        <v>1</v>
      </c>
      <c r="F272" s="1">
        <v>17</v>
      </c>
      <c r="G272" s="1" t="b">
        <v>0</v>
      </c>
      <c r="H272" s="1">
        <v>3</v>
      </c>
      <c r="I272" s="1">
        <v>1</v>
      </c>
      <c r="J272" s="1">
        <v>0.2</v>
      </c>
      <c r="K272" s="19">
        <v>0.18179999999999999</v>
      </c>
      <c r="L272" s="21">
        <v>0.47</v>
      </c>
      <c r="M272" s="21">
        <v>0.35820000000000002</v>
      </c>
      <c r="N272" s="21">
        <v>0</v>
      </c>
      <c r="O272" s="21">
        <v>139</v>
      </c>
      <c r="P272" s="22">
        <v>139</v>
      </c>
      <c r="Q272" s="38" t="str">
        <f t="shared" si="4"/>
        <v>Weekday</v>
      </c>
    </row>
    <row r="273" spans="1:17">
      <c r="A273" s="1">
        <v>272</v>
      </c>
      <c r="B273" s="2">
        <v>40555</v>
      </c>
      <c r="C273" s="1">
        <v>1</v>
      </c>
      <c r="D273" s="1">
        <v>0</v>
      </c>
      <c r="E273" s="1">
        <v>1</v>
      </c>
      <c r="F273" s="1">
        <v>18</v>
      </c>
      <c r="G273" s="1" t="b">
        <v>0</v>
      </c>
      <c r="H273" s="1">
        <v>3</v>
      </c>
      <c r="I273" s="1">
        <v>1</v>
      </c>
      <c r="J273" s="1">
        <v>0.2</v>
      </c>
      <c r="K273" s="20">
        <v>0.1515</v>
      </c>
      <c r="L273" s="23">
        <v>0.47</v>
      </c>
      <c r="M273" s="23">
        <v>0.52239999999999998</v>
      </c>
      <c r="N273" s="23">
        <v>2</v>
      </c>
      <c r="O273" s="23">
        <v>135</v>
      </c>
      <c r="P273" s="24">
        <v>137</v>
      </c>
      <c r="Q273" s="38" t="str">
        <f t="shared" si="4"/>
        <v>Weekday</v>
      </c>
    </row>
    <row r="274" spans="1:17">
      <c r="A274" s="1">
        <v>273</v>
      </c>
      <c r="B274" s="2">
        <v>40555</v>
      </c>
      <c r="C274" s="1">
        <v>1</v>
      </c>
      <c r="D274" s="1">
        <v>0</v>
      </c>
      <c r="E274" s="1">
        <v>1</v>
      </c>
      <c r="F274" s="1">
        <v>19</v>
      </c>
      <c r="G274" s="1" t="b">
        <v>0</v>
      </c>
      <c r="H274" s="1">
        <v>3</v>
      </c>
      <c r="I274" s="1">
        <v>1</v>
      </c>
      <c r="J274" s="1">
        <v>0.18</v>
      </c>
      <c r="K274" s="19">
        <v>0.1515</v>
      </c>
      <c r="L274" s="21">
        <v>0.47</v>
      </c>
      <c r="M274" s="21">
        <v>0.41789999999999999</v>
      </c>
      <c r="N274" s="21">
        <v>1</v>
      </c>
      <c r="O274" s="21">
        <v>82</v>
      </c>
      <c r="P274" s="22">
        <v>83</v>
      </c>
      <c r="Q274" s="38" t="str">
        <f t="shared" si="4"/>
        <v>Weekday</v>
      </c>
    </row>
    <row r="275" spans="1:17">
      <c r="A275" s="1">
        <v>274</v>
      </c>
      <c r="B275" s="2">
        <v>40555</v>
      </c>
      <c r="C275" s="1">
        <v>1</v>
      </c>
      <c r="D275" s="1">
        <v>0</v>
      </c>
      <c r="E275" s="1">
        <v>1</v>
      </c>
      <c r="F275" s="1">
        <v>20</v>
      </c>
      <c r="G275" s="1" t="b">
        <v>0</v>
      </c>
      <c r="H275" s="1">
        <v>3</v>
      </c>
      <c r="I275" s="1">
        <v>1</v>
      </c>
      <c r="J275" s="1">
        <v>0.16</v>
      </c>
      <c r="K275" s="20">
        <v>0.13639999999999999</v>
      </c>
      <c r="L275" s="23">
        <v>0.5</v>
      </c>
      <c r="M275" s="23">
        <v>0.32840000000000003</v>
      </c>
      <c r="N275" s="23">
        <v>2</v>
      </c>
      <c r="O275" s="23">
        <v>54</v>
      </c>
      <c r="P275" s="24">
        <v>56</v>
      </c>
      <c r="Q275" s="38" t="str">
        <f t="shared" si="4"/>
        <v>Weekday</v>
      </c>
    </row>
    <row r="276" spans="1:17">
      <c r="A276" s="1">
        <v>275</v>
      </c>
      <c r="B276" s="2">
        <v>40555</v>
      </c>
      <c r="C276" s="1">
        <v>1</v>
      </c>
      <c r="D276" s="1">
        <v>0</v>
      </c>
      <c r="E276" s="1">
        <v>1</v>
      </c>
      <c r="F276" s="1">
        <v>21</v>
      </c>
      <c r="G276" s="1" t="b">
        <v>0</v>
      </c>
      <c r="H276" s="1">
        <v>3</v>
      </c>
      <c r="I276" s="1">
        <v>1</v>
      </c>
      <c r="J276" s="1">
        <v>0.16</v>
      </c>
      <c r="K276" s="19">
        <v>0.13639999999999999</v>
      </c>
      <c r="L276" s="21">
        <v>0.55000000000000004</v>
      </c>
      <c r="M276" s="21">
        <v>0.32840000000000003</v>
      </c>
      <c r="N276" s="21">
        <v>0</v>
      </c>
      <c r="O276" s="21">
        <v>57</v>
      </c>
      <c r="P276" s="22">
        <v>57</v>
      </c>
      <c r="Q276" s="38" t="str">
        <f t="shared" si="4"/>
        <v>Weekday</v>
      </c>
    </row>
    <row r="277" spans="1:17">
      <c r="A277" s="1">
        <v>276</v>
      </c>
      <c r="B277" s="2">
        <v>40555</v>
      </c>
      <c r="C277" s="1">
        <v>1</v>
      </c>
      <c r="D277" s="1">
        <v>0</v>
      </c>
      <c r="E277" s="1">
        <v>1</v>
      </c>
      <c r="F277" s="1">
        <v>22</v>
      </c>
      <c r="G277" s="1" t="b">
        <v>0</v>
      </c>
      <c r="H277" s="1">
        <v>3</v>
      </c>
      <c r="I277" s="1">
        <v>1</v>
      </c>
      <c r="J277" s="1">
        <v>0.16</v>
      </c>
      <c r="K277" s="20">
        <v>0.1212</v>
      </c>
      <c r="L277" s="23">
        <v>0.55000000000000004</v>
      </c>
      <c r="M277" s="23">
        <v>0.44779999999999998</v>
      </c>
      <c r="N277" s="23">
        <v>1</v>
      </c>
      <c r="O277" s="23">
        <v>32</v>
      </c>
      <c r="P277" s="24">
        <v>33</v>
      </c>
      <c r="Q277" s="38" t="str">
        <f t="shared" si="4"/>
        <v>Weekday</v>
      </c>
    </row>
    <row r="278" spans="1:17">
      <c r="A278" s="1">
        <v>277</v>
      </c>
      <c r="B278" s="2">
        <v>40555</v>
      </c>
      <c r="C278" s="1">
        <v>1</v>
      </c>
      <c r="D278" s="1">
        <v>0</v>
      </c>
      <c r="E278" s="1">
        <v>1</v>
      </c>
      <c r="F278" s="1">
        <v>23</v>
      </c>
      <c r="G278" s="1" t="b">
        <v>0</v>
      </c>
      <c r="H278" s="1">
        <v>3</v>
      </c>
      <c r="I278" s="1">
        <v>1</v>
      </c>
      <c r="J278" s="1">
        <v>0.14000000000000001</v>
      </c>
      <c r="K278" s="19">
        <v>0.1061</v>
      </c>
      <c r="L278" s="21">
        <v>0.59</v>
      </c>
      <c r="M278" s="21">
        <v>0.41789999999999999</v>
      </c>
      <c r="N278" s="21">
        <v>1</v>
      </c>
      <c r="O278" s="21">
        <v>19</v>
      </c>
      <c r="P278" s="22">
        <v>20</v>
      </c>
      <c r="Q278" s="38" t="str">
        <f t="shared" si="4"/>
        <v>Weekday</v>
      </c>
    </row>
    <row r="279" spans="1:17">
      <c r="A279" s="1">
        <v>278</v>
      </c>
      <c r="B279" s="2">
        <v>40556</v>
      </c>
      <c r="C279" s="1">
        <v>1</v>
      </c>
      <c r="D279" s="1">
        <v>0</v>
      </c>
      <c r="E279" s="1">
        <v>1</v>
      </c>
      <c r="F279" s="1">
        <v>0</v>
      </c>
      <c r="G279" s="1" t="b">
        <v>0</v>
      </c>
      <c r="H279" s="1">
        <v>4</v>
      </c>
      <c r="I279" s="1">
        <v>1</v>
      </c>
      <c r="J279" s="1">
        <v>0.14000000000000001</v>
      </c>
      <c r="K279" s="20">
        <v>0.1212</v>
      </c>
      <c r="L279" s="23">
        <v>0.59</v>
      </c>
      <c r="M279" s="23">
        <v>0.28360000000000002</v>
      </c>
      <c r="N279" s="23">
        <v>1</v>
      </c>
      <c r="O279" s="23">
        <v>6</v>
      </c>
      <c r="P279" s="24">
        <v>7</v>
      </c>
      <c r="Q279" s="38" t="str">
        <f t="shared" si="4"/>
        <v>Weekday</v>
      </c>
    </row>
    <row r="280" spans="1:17">
      <c r="A280" s="1">
        <v>279</v>
      </c>
      <c r="B280" s="2">
        <v>40556</v>
      </c>
      <c r="C280" s="1">
        <v>1</v>
      </c>
      <c r="D280" s="1">
        <v>0</v>
      </c>
      <c r="E280" s="1">
        <v>1</v>
      </c>
      <c r="F280" s="1">
        <v>1</v>
      </c>
      <c r="G280" s="1" t="b">
        <v>0</v>
      </c>
      <c r="H280" s="1">
        <v>4</v>
      </c>
      <c r="I280" s="1">
        <v>1</v>
      </c>
      <c r="J280" s="1">
        <v>0.14000000000000001</v>
      </c>
      <c r="K280" s="19">
        <v>0.1212</v>
      </c>
      <c r="L280" s="21">
        <v>0.5</v>
      </c>
      <c r="M280" s="21">
        <v>0.28360000000000002</v>
      </c>
      <c r="N280" s="21">
        <v>0</v>
      </c>
      <c r="O280" s="21">
        <v>2</v>
      </c>
      <c r="P280" s="22">
        <v>2</v>
      </c>
      <c r="Q280" s="38" t="str">
        <f t="shared" si="4"/>
        <v>Weekday</v>
      </c>
    </row>
    <row r="281" spans="1:17">
      <c r="A281" s="1">
        <v>280</v>
      </c>
      <c r="B281" s="2">
        <v>40556</v>
      </c>
      <c r="C281" s="1">
        <v>1</v>
      </c>
      <c r="D281" s="1">
        <v>0</v>
      </c>
      <c r="E281" s="1">
        <v>1</v>
      </c>
      <c r="F281" s="1">
        <v>2</v>
      </c>
      <c r="G281" s="1" t="b">
        <v>0</v>
      </c>
      <c r="H281" s="1">
        <v>4</v>
      </c>
      <c r="I281" s="1">
        <v>1</v>
      </c>
      <c r="J281" s="1">
        <v>0.14000000000000001</v>
      </c>
      <c r="K281" s="20">
        <v>0.1212</v>
      </c>
      <c r="L281" s="23">
        <v>0.5</v>
      </c>
      <c r="M281" s="23">
        <v>0.35820000000000002</v>
      </c>
      <c r="N281" s="23">
        <v>0</v>
      </c>
      <c r="O281" s="23">
        <v>2</v>
      </c>
      <c r="P281" s="24">
        <v>2</v>
      </c>
      <c r="Q281" s="38" t="str">
        <f t="shared" si="4"/>
        <v>Weekday</v>
      </c>
    </row>
    <row r="282" spans="1:17">
      <c r="A282" s="1">
        <v>281</v>
      </c>
      <c r="B282" s="2">
        <v>40556</v>
      </c>
      <c r="C282" s="1">
        <v>1</v>
      </c>
      <c r="D282" s="1">
        <v>0</v>
      </c>
      <c r="E282" s="1">
        <v>1</v>
      </c>
      <c r="F282" s="1">
        <v>3</v>
      </c>
      <c r="G282" s="1" t="b">
        <v>0</v>
      </c>
      <c r="H282" s="1">
        <v>4</v>
      </c>
      <c r="I282" s="1">
        <v>1</v>
      </c>
      <c r="J282" s="1">
        <v>0.14000000000000001</v>
      </c>
      <c r="K282" s="19">
        <v>0.1212</v>
      </c>
      <c r="L282" s="21">
        <v>0.5</v>
      </c>
      <c r="M282" s="21">
        <v>0.32840000000000003</v>
      </c>
      <c r="N282" s="21">
        <v>0</v>
      </c>
      <c r="O282" s="21">
        <v>3</v>
      </c>
      <c r="P282" s="22">
        <v>3</v>
      </c>
      <c r="Q282" s="38" t="str">
        <f t="shared" si="4"/>
        <v>Weekday</v>
      </c>
    </row>
    <row r="283" spans="1:17">
      <c r="A283" s="1">
        <v>282</v>
      </c>
      <c r="B283" s="2">
        <v>40556</v>
      </c>
      <c r="C283" s="1">
        <v>1</v>
      </c>
      <c r="D283" s="1">
        <v>0</v>
      </c>
      <c r="E283" s="1">
        <v>1</v>
      </c>
      <c r="F283" s="1">
        <v>4</v>
      </c>
      <c r="G283" s="1" t="b">
        <v>0</v>
      </c>
      <c r="H283" s="1">
        <v>4</v>
      </c>
      <c r="I283" s="1">
        <v>1</v>
      </c>
      <c r="J283" s="1">
        <v>0.14000000000000001</v>
      </c>
      <c r="K283" s="20">
        <v>0.1212</v>
      </c>
      <c r="L283" s="23">
        <v>0.5</v>
      </c>
      <c r="M283" s="23">
        <v>0.25369999999999998</v>
      </c>
      <c r="N283" s="23">
        <v>0</v>
      </c>
      <c r="O283" s="23">
        <v>4</v>
      </c>
      <c r="P283" s="24">
        <v>4</v>
      </c>
      <c r="Q283" s="38" t="str">
        <f t="shared" si="4"/>
        <v>Weekday</v>
      </c>
    </row>
    <row r="284" spans="1:17">
      <c r="A284" s="1">
        <v>283</v>
      </c>
      <c r="B284" s="2">
        <v>40556</v>
      </c>
      <c r="C284" s="1">
        <v>1</v>
      </c>
      <c r="D284" s="1">
        <v>0</v>
      </c>
      <c r="E284" s="1">
        <v>1</v>
      </c>
      <c r="F284" s="1">
        <v>5</v>
      </c>
      <c r="G284" s="1" t="b">
        <v>0</v>
      </c>
      <c r="H284" s="1">
        <v>4</v>
      </c>
      <c r="I284" s="1">
        <v>1</v>
      </c>
      <c r="J284" s="1">
        <v>0.14000000000000001</v>
      </c>
      <c r="K284" s="19">
        <v>0.1212</v>
      </c>
      <c r="L284" s="21">
        <v>0.5</v>
      </c>
      <c r="M284" s="21">
        <v>0.29849999999999999</v>
      </c>
      <c r="N284" s="21">
        <v>0</v>
      </c>
      <c r="O284" s="21">
        <v>3</v>
      </c>
      <c r="P284" s="22">
        <v>3</v>
      </c>
      <c r="Q284" s="38" t="str">
        <f t="shared" si="4"/>
        <v>Weekday</v>
      </c>
    </row>
    <row r="285" spans="1:17">
      <c r="A285" s="1">
        <v>284</v>
      </c>
      <c r="B285" s="2">
        <v>40556</v>
      </c>
      <c r="C285" s="1">
        <v>1</v>
      </c>
      <c r="D285" s="1">
        <v>0</v>
      </c>
      <c r="E285" s="1">
        <v>1</v>
      </c>
      <c r="F285" s="1">
        <v>6</v>
      </c>
      <c r="G285" s="1" t="b">
        <v>0</v>
      </c>
      <c r="H285" s="1">
        <v>4</v>
      </c>
      <c r="I285" s="1">
        <v>1</v>
      </c>
      <c r="J285" s="1">
        <v>0.12</v>
      </c>
      <c r="K285" s="20">
        <v>0.1515</v>
      </c>
      <c r="L285" s="23">
        <v>0.54</v>
      </c>
      <c r="M285" s="23">
        <v>0.1343</v>
      </c>
      <c r="N285" s="23">
        <v>0</v>
      </c>
      <c r="O285" s="23">
        <v>28</v>
      </c>
      <c r="P285" s="24">
        <v>28</v>
      </c>
      <c r="Q285" s="38" t="str">
        <f t="shared" si="4"/>
        <v>Weekday</v>
      </c>
    </row>
    <row r="286" spans="1:17">
      <c r="A286" s="1">
        <v>285</v>
      </c>
      <c r="B286" s="2">
        <v>40556</v>
      </c>
      <c r="C286" s="1">
        <v>1</v>
      </c>
      <c r="D286" s="1">
        <v>0</v>
      </c>
      <c r="E286" s="1">
        <v>1</v>
      </c>
      <c r="F286" s="1">
        <v>7</v>
      </c>
      <c r="G286" s="1" t="b">
        <v>0</v>
      </c>
      <c r="H286" s="1">
        <v>4</v>
      </c>
      <c r="I286" s="1">
        <v>1</v>
      </c>
      <c r="J286" s="1">
        <v>0.12</v>
      </c>
      <c r="K286" s="19">
        <v>0.1515</v>
      </c>
      <c r="L286" s="21">
        <v>0.54</v>
      </c>
      <c r="M286" s="21">
        <v>0.1343</v>
      </c>
      <c r="N286" s="21">
        <v>0</v>
      </c>
      <c r="O286" s="21">
        <v>72</v>
      </c>
      <c r="P286" s="22">
        <v>72</v>
      </c>
      <c r="Q286" s="38" t="str">
        <f t="shared" si="4"/>
        <v>Weekday</v>
      </c>
    </row>
    <row r="287" spans="1:17">
      <c r="A287" s="1">
        <v>286</v>
      </c>
      <c r="B287" s="2">
        <v>40556</v>
      </c>
      <c r="C287" s="1">
        <v>1</v>
      </c>
      <c r="D287" s="1">
        <v>0</v>
      </c>
      <c r="E287" s="1">
        <v>1</v>
      </c>
      <c r="F287" s="1">
        <v>8</v>
      </c>
      <c r="G287" s="1" t="b">
        <v>0</v>
      </c>
      <c r="H287" s="1">
        <v>4</v>
      </c>
      <c r="I287" s="1">
        <v>1</v>
      </c>
      <c r="J287" s="1">
        <v>0.14000000000000001</v>
      </c>
      <c r="K287" s="20">
        <v>0.13639999999999999</v>
      </c>
      <c r="L287" s="23">
        <v>0.5</v>
      </c>
      <c r="M287" s="23">
        <v>0.19400000000000001</v>
      </c>
      <c r="N287" s="23">
        <v>5</v>
      </c>
      <c r="O287" s="23">
        <v>197</v>
      </c>
      <c r="P287" s="24">
        <v>202</v>
      </c>
      <c r="Q287" s="38" t="str">
        <f t="shared" si="4"/>
        <v>Weekday</v>
      </c>
    </row>
    <row r="288" spans="1:17">
      <c r="A288" s="1">
        <v>287</v>
      </c>
      <c r="B288" s="2">
        <v>40556</v>
      </c>
      <c r="C288" s="1">
        <v>1</v>
      </c>
      <c r="D288" s="1">
        <v>0</v>
      </c>
      <c r="E288" s="1">
        <v>1</v>
      </c>
      <c r="F288" s="1">
        <v>9</v>
      </c>
      <c r="G288" s="1" t="b">
        <v>0</v>
      </c>
      <c r="H288" s="1">
        <v>4</v>
      </c>
      <c r="I288" s="1">
        <v>1</v>
      </c>
      <c r="J288" s="1">
        <v>0.14000000000000001</v>
      </c>
      <c r="K288" s="19">
        <v>0.1212</v>
      </c>
      <c r="L288" s="21">
        <v>0.5</v>
      </c>
      <c r="M288" s="21">
        <v>0.32840000000000003</v>
      </c>
      <c r="N288" s="21">
        <v>2</v>
      </c>
      <c r="O288" s="21">
        <v>137</v>
      </c>
      <c r="P288" s="22">
        <v>139</v>
      </c>
      <c r="Q288" s="38" t="str">
        <f t="shared" si="4"/>
        <v>Weekday</v>
      </c>
    </row>
    <row r="289" spans="1:17">
      <c r="A289" s="1">
        <v>288</v>
      </c>
      <c r="B289" s="2">
        <v>40556</v>
      </c>
      <c r="C289" s="1">
        <v>1</v>
      </c>
      <c r="D289" s="1">
        <v>0</v>
      </c>
      <c r="E289" s="1">
        <v>1</v>
      </c>
      <c r="F289" s="1">
        <v>10</v>
      </c>
      <c r="G289" s="1" t="b">
        <v>0</v>
      </c>
      <c r="H289" s="1">
        <v>4</v>
      </c>
      <c r="I289" s="1">
        <v>2</v>
      </c>
      <c r="J289" s="1">
        <v>0.16</v>
      </c>
      <c r="K289" s="20">
        <v>0.13639999999999999</v>
      </c>
      <c r="L289" s="23">
        <v>0.5</v>
      </c>
      <c r="M289" s="23">
        <v>0.35820000000000002</v>
      </c>
      <c r="N289" s="23">
        <v>2</v>
      </c>
      <c r="O289" s="23">
        <v>36</v>
      </c>
      <c r="P289" s="24">
        <v>38</v>
      </c>
      <c r="Q289" s="38" t="str">
        <f t="shared" si="4"/>
        <v>Weekday</v>
      </c>
    </row>
    <row r="290" spans="1:17">
      <c r="A290" s="1">
        <v>289</v>
      </c>
      <c r="B290" s="2">
        <v>40556</v>
      </c>
      <c r="C290" s="1">
        <v>1</v>
      </c>
      <c r="D290" s="1">
        <v>0</v>
      </c>
      <c r="E290" s="1">
        <v>1</v>
      </c>
      <c r="F290" s="1">
        <v>11</v>
      </c>
      <c r="G290" s="1" t="b">
        <v>0</v>
      </c>
      <c r="H290" s="1">
        <v>4</v>
      </c>
      <c r="I290" s="1">
        <v>2</v>
      </c>
      <c r="J290" s="1">
        <v>0.2</v>
      </c>
      <c r="K290" s="19">
        <v>0.16669999999999999</v>
      </c>
      <c r="L290" s="21">
        <v>0.44</v>
      </c>
      <c r="M290" s="21">
        <v>0.44779999999999998</v>
      </c>
      <c r="N290" s="21">
        <v>4</v>
      </c>
      <c r="O290" s="21">
        <v>33</v>
      </c>
      <c r="P290" s="22">
        <v>37</v>
      </c>
      <c r="Q290" s="38" t="str">
        <f t="shared" si="4"/>
        <v>Weekday</v>
      </c>
    </row>
    <row r="291" spans="1:17">
      <c r="A291" s="1">
        <v>290</v>
      </c>
      <c r="B291" s="2">
        <v>40556</v>
      </c>
      <c r="C291" s="1">
        <v>1</v>
      </c>
      <c r="D291" s="1">
        <v>0</v>
      </c>
      <c r="E291" s="1">
        <v>1</v>
      </c>
      <c r="F291" s="1">
        <v>12</v>
      </c>
      <c r="G291" s="1" t="b">
        <v>0</v>
      </c>
      <c r="H291" s="1">
        <v>4</v>
      </c>
      <c r="I291" s="1">
        <v>1</v>
      </c>
      <c r="J291" s="1">
        <v>0.2</v>
      </c>
      <c r="K291" s="20">
        <v>0.16669999999999999</v>
      </c>
      <c r="L291" s="23">
        <v>0.44</v>
      </c>
      <c r="M291" s="23">
        <v>0.41789999999999999</v>
      </c>
      <c r="N291" s="23">
        <v>3</v>
      </c>
      <c r="O291" s="23">
        <v>49</v>
      </c>
      <c r="P291" s="24">
        <v>52</v>
      </c>
      <c r="Q291" s="38" t="str">
        <f t="shared" si="4"/>
        <v>Weekday</v>
      </c>
    </row>
    <row r="292" spans="1:17">
      <c r="A292" s="1">
        <v>291</v>
      </c>
      <c r="B292" s="2">
        <v>40556</v>
      </c>
      <c r="C292" s="1">
        <v>1</v>
      </c>
      <c r="D292" s="1">
        <v>0</v>
      </c>
      <c r="E292" s="1">
        <v>1</v>
      </c>
      <c r="F292" s="1">
        <v>13</v>
      </c>
      <c r="G292" s="1" t="b">
        <v>0</v>
      </c>
      <c r="H292" s="1">
        <v>4</v>
      </c>
      <c r="I292" s="1">
        <v>1</v>
      </c>
      <c r="J292" s="1">
        <v>0.22</v>
      </c>
      <c r="K292" s="19">
        <v>0.19700000000000001</v>
      </c>
      <c r="L292" s="21">
        <v>0.41</v>
      </c>
      <c r="M292" s="21">
        <v>0.44779999999999998</v>
      </c>
      <c r="N292" s="21">
        <v>2</v>
      </c>
      <c r="O292" s="21">
        <v>81</v>
      </c>
      <c r="P292" s="22">
        <v>83</v>
      </c>
      <c r="Q292" s="38" t="str">
        <f t="shared" si="4"/>
        <v>Weekday</v>
      </c>
    </row>
    <row r="293" spans="1:17">
      <c r="A293" s="1">
        <v>292</v>
      </c>
      <c r="B293" s="2">
        <v>40556</v>
      </c>
      <c r="C293" s="1">
        <v>1</v>
      </c>
      <c r="D293" s="1">
        <v>0</v>
      </c>
      <c r="E293" s="1">
        <v>1</v>
      </c>
      <c r="F293" s="1">
        <v>14</v>
      </c>
      <c r="G293" s="1" t="b">
        <v>0</v>
      </c>
      <c r="H293" s="1">
        <v>4</v>
      </c>
      <c r="I293" s="1">
        <v>1</v>
      </c>
      <c r="J293" s="1">
        <v>0.22</v>
      </c>
      <c r="K293" s="20">
        <v>0.19700000000000001</v>
      </c>
      <c r="L293" s="23">
        <v>0.41</v>
      </c>
      <c r="M293" s="23">
        <v>0.3881</v>
      </c>
      <c r="N293" s="23">
        <v>3</v>
      </c>
      <c r="O293" s="23">
        <v>39</v>
      </c>
      <c r="P293" s="24">
        <v>42</v>
      </c>
      <c r="Q293" s="38" t="str">
        <f t="shared" si="4"/>
        <v>Weekday</v>
      </c>
    </row>
    <row r="294" spans="1:17">
      <c r="A294" s="1">
        <v>293</v>
      </c>
      <c r="B294" s="2">
        <v>40556</v>
      </c>
      <c r="C294" s="1">
        <v>1</v>
      </c>
      <c r="D294" s="1">
        <v>0</v>
      </c>
      <c r="E294" s="1">
        <v>1</v>
      </c>
      <c r="F294" s="1">
        <v>15</v>
      </c>
      <c r="G294" s="1" t="b">
        <v>0</v>
      </c>
      <c r="H294" s="1">
        <v>4</v>
      </c>
      <c r="I294" s="1">
        <v>1</v>
      </c>
      <c r="J294" s="1">
        <v>0.24</v>
      </c>
      <c r="K294" s="19">
        <v>0.21210000000000001</v>
      </c>
      <c r="L294" s="21">
        <v>0.38</v>
      </c>
      <c r="M294" s="21">
        <v>0.29849999999999999</v>
      </c>
      <c r="N294" s="21">
        <v>5</v>
      </c>
      <c r="O294" s="21">
        <v>55</v>
      </c>
      <c r="P294" s="22">
        <v>60</v>
      </c>
      <c r="Q294" s="38" t="str">
        <f t="shared" si="4"/>
        <v>Weekday</v>
      </c>
    </row>
    <row r="295" spans="1:17">
      <c r="A295" s="1">
        <v>294</v>
      </c>
      <c r="B295" s="2">
        <v>40556</v>
      </c>
      <c r="C295" s="1">
        <v>1</v>
      </c>
      <c r="D295" s="1">
        <v>0</v>
      </c>
      <c r="E295" s="1">
        <v>1</v>
      </c>
      <c r="F295" s="1">
        <v>16</v>
      </c>
      <c r="G295" s="1" t="b">
        <v>0</v>
      </c>
      <c r="H295" s="1">
        <v>4</v>
      </c>
      <c r="I295" s="1">
        <v>1</v>
      </c>
      <c r="J295" s="1">
        <v>0.24</v>
      </c>
      <c r="K295" s="20">
        <v>0.21210000000000001</v>
      </c>
      <c r="L295" s="23">
        <v>0.38</v>
      </c>
      <c r="M295" s="23">
        <v>0.35820000000000002</v>
      </c>
      <c r="N295" s="23">
        <v>2</v>
      </c>
      <c r="O295" s="23">
        <v>76</v>
      </c>
      <c r="P295" s="24">
        <v>78</v>
      </c>
      <c r="Q295" s="38" t="str">
        <f t="shared" si="4"/>
        <v>Weekday</v>
      </c>
    </row>
    <row r="296" spans="1:17">
      <c r="A296" s="1">
        <v>295</v>
      </c>
      <c r="B296" s="2">
        <v>40556</v>
      </c>
      <c r="C296" s="1">
        <v>1</v>
      </c>
      <c r="D296" s="1">
        <v>0</v>
      </c>
      <c r="E296" s="1">
        <v>1</v>
      </c>
      <c r="F296" s="1">
        <v>17</v>
      </c>
      <c r="G296" s="1" t="b">
        <v>0</v>
      </c>
      <c r="H296" s="1">
        <v>4</v>
      </c>
      <c r="I296" s="1">
        <v>1</v>
      </c>
      <c r="J296" s="1">
        <v>0.2</v>
      </c>
      <c r="K296" s="19">
        <v>0.18179999999999999</v>
      </c>
      <c r="L296" s="21">
        <v>0.4</v>
      </c>
      <c r="M296" s="21">
        <v>0.28360000000000002</v>
      </c>
      <c r="N296" s="21">
        <v>4</v>
      </c>
      <c r="O296" s="21">
        <v>158</v>
      </c>
      <c r="P296" s="22">
        <v>162</v>
      </c>
      <c r="Q296" s="38" t="str">
        <f t="shared" si="4"/>
        <v>Weekday</v>
      </c>
    </row>
    <row r="297" spans="1:17">
      <c r="A297" s="1">
        <v>296</v>
      </c>
      <c r="B297" s="2">
        <v>40556</v>
      </c>
      <c r="C297" s="1">
        <v>1</v>
      </c>
      <c r="D297" s="1">
        <v>0</v>
      </c>
      <c r="E297" s="1">
        <v>1</v>
      </c>
      <c r="F297" s="1">
        <v>18</v>
      </c>
      <c r="G297" s="1" t="b">
        <v>0</v>
      </c>
      <c r="H297" s="1">
        <v>4</v>
      </c>
      <c r="I297" s="1">
        <v>1</v>
      </c>
      <c r="J297" s="1">
        <v>0.2</v>
      </c>
      <c r="K297" s="20">
        <v>0.18179999999999999</v>
      </c>
      <c r="L297" s="23">
        <v>0.4</v>
      </c>
      <c r="M297" s="23">
        <v>0.32840000000000003</v>
      </c>
      <c r="N297" s="23">
        <v>3</v>
      </c>
      <c r="O297" s="23">
        <v>141</v>
      </c>
      <c r="P297" s="24">
        <v>144</v>
      </c>
      <c r="Q297" s="38" t="str">
        <f t="shared" si="4"/>
        <v>Weekday</v>
      </c>
    </row>
    <row r="298" spans="1:17">
      <c r="A298" s="1">
        <v>297</v>
      </c>
      <c r="B298" s="2">
        <v>40556</v>
      </c>
      <c r="C298" s="1">
        <v>1</v>
      </c>
      <c r="D298" s="1">
        <v>0</v>
      </c>
      <c r="E298" s="1">
        <v>1</v>
      </c>
      <c r="F298" s="1">
        <v>19</v>
      </c>
      <c r="G298" s="1" t="b">
        <v>0</v>
      </c>
      <c r="H298" s="1">
        <v>4</v>
      </c>
      <c r="I298" s="1">
        <v>1</v>
      </c>
      <c r="J298" s="1">
        <v>0.16</v>
      </c>
      <c r="K298" s="19">
        <v>0.1515</v>
      </c>
      <c r="L298" s="21">
        <v>0.47</v>
      </c>
      <c r="M298" s="21">
        <v>0.25369999999999998</v>
      </c>
      <c r="N298" s="21">
        <v>1</v>
      </c>
      <c r="O298" s="21">
        <v>98</v>
      </c>
      <c r="P298" s="22">
        <v>99</v>
      </c>
      <c r="Q298" s="38" t="str">
        <f t="shared" si="4"/>
        <v>Weekday</v>
      </c>
    </row>
    <row r="299" spans="1:17">
      <c r="A299" s="1">
        <v>298</v>
      </c>
      <c r="B299" s="2">
        <v>40556</v>
      </c>
      <c r="C299" s="1">
        <v>1</v>
      </c>
      <c r="D299" s="1">
        <v>0</v>
      </c>
      <c r="E299" s="1">
        <v>1</v>
      </c>
      <c r="F299" s="1">
        <v>20</v>
      </c>
      <c r="G299" s="1" t="b">
        <v>0</v>
      </c>
      <c r="H299" s="1">
        <v>4</v>
      </c>
      <c r="I299" s="1">
        <v>1</v>
      </c>
      <c r="J299" s="1">
        <v>0.16</v>
      </c>
      <c r="K299" s="20">
        <v>0.1515</v>
      </c>
      <c r="L299" s="23">
        <v>0.47</v>
      </c>
      <c r="M299" s="23">
        <v>0.22389999999999999</v>
      </c>
      <c r="N299" s="23">
        <v>0</v>
      </c>
      <c r="O299" s="23">
        <v>64</v>
      </c>
      <c r="P299" s="24">
        <v>64</v>
      </c>
      <c r="Q299" s="38" t="str">
        <f t="shared" si="4"/>
        <v>Weekday</v>
      </c>
    </row>
    <row r="300" spans="1:17">
      <c r="A300" s="1">
        <v>299</v>
      </c>
      <c r="B300" s="2">
        <v>40556</v>
      </c>
      <c r="C300" s="1">
        <v>1</v>
      </c>
      <c r="D300" s="1">
        <v>0</v>
      </c>
      <c r="E300" s="1">
        <v>1</v>
      </c>
      <c r="F300" s="1">
        <v>21</v>
      </c>
      <c r="G300" s="1" t="b">
        <v>0</v>
      </c>
      <c r="H300" s="1">
        <v>4</v>
      </c>
      <c r="I300" s="1">
        <v>1</v>
      </c>
      <c r="J300" s="1">
        <v>0.14000000000000001</v>
      </c>
      <c r="K300" s="19">
        <v>0.1212</v>
      </c>
      <c r="L300" s="21">
        <v>0.46</v>
      </c>
      <c r="M300" s="21">
        <v>0.29849999999999999</v>
      </c>
      <c r="N300" s="21">
        <v>0</v>
      </c>
      <c r="O300" s="21">
        <v>40</v>
      </c>
      <c r="P300" s="22">
        <v>40</v>
      </c>
      <c r="Q300" s="38" t="str">
        <f t="shared" si="4"/>
        <v>Weekday</v>
      </c>
    </row>
    <row r="301" spans="1:17">
      <c r="A301" s="1">
        <v>300</v>
      </c>
      <c r="B301" s="2">
        <v>40556</v>
      </c>
      <c r="C301" s="1">
        <v>1</v>
      </c>
      <c r="D301" s="1">
        <v>0</v>
      </c>
      <c r="E301" s="1">
        <v>1</v>
      </c>
      <c r="F301" s="1">
        <v>22</v>
      </c>
      <c r="G301" s="1" t="b">
        <v>0</v>
      </c>
      <c r="H301" s="1">
        <v>4</v>
      </c>
      <c r="I301" s="1">
        <v>1</v>
      </c>
      <c r="J301" s="1">
        <v>0.14000000000000001</v>
      </c>
      <c r="K301" s="20">
        <v>0.1212</v>
      </c>
      <c r="L301" s="23">
        <v>0.46</v>
      </c>
      <c r="M301" s="23">
        <v>0.32840000000000003</v>
      </c>
      <c r="N301" s="23">
        <v>0</v>
      </c>
      <c r="O301" s="23">
        <v>30</v>
      </c>
      <c r="P301" s="24">
        <v>30</v>
      </c>
      <c r="Q301" s="38" t="str">
        <f t="shared" si="4"/>
        <v>Weekday</v>
      </c>
    </row>
    <row r="302" spans="1:17">
      <c r="A302" s="1">
        <v>301</v>
      </c>
      <c r="B302" s="2">
        <v>40556</v>
      </c>
      <c r="C302" s="1">
        <v>1</v>
      </c>
      <c r="D302" s="1">
        <v>0</v>
      </c>
      <c r="E302" s="1">
        <v>1</v>
      </c>
      <c r="F302" s="1">
        <v>23</v>
      </c>
      <c r="G302" s="1" t="b">
        <v>0</v>
      </c>
      <c r="H302" s="1">
        <v>4</v>
      </c>
      <c r="I302" s="1">
        <v>1</v>
      </c>
      <c r="J302" s="1">
        <v>0.12</v>
      </c>
      <c r="K302" s="19">
        <v>0.13639999999999999</v>
      </c>
      <c r="L302" s="21">
        <v>0.5</v>
      </c>
      <c r="M302" s="21">
        <v>0.19400000000000001</v>
      </c>
      <c r="N302" s="21">
        <v>1</v>
      </c>
      <c r="O302" s="21">
        <v>14</v>
      </c>
      <c r="P302" s="22">
        <v>15</v>
      </c>
      <c r="Q302" s="38" t="str">
        <f t="shared" si="4"/>
        <v>Weekday</v>
      </c>
    </row>
    <row r="303" spans="1:17">
      <c r="A303" s="1">
        <v>302</v>
      </c>
      <c r="B303" s="2">
        <v>40557</v>
      </c>
      <c r="C303" s="1">
        <v>1</v>
      </c>
      <c r="D303" s="1">
        <v>0</v>
      </c>
      <c r="E303" s="1">
        <v>1</v>
      </c>
      <c r="F303" s="1">
        <v>0</v>
      </c>
      <c r="G303" s="1" t="b">
        <v>0</v>
      </c>
      <c r="H303" s="1">
        <v>5</v>
      </c>
      <c r="I303" s="1">
        <v>1</v>
      </c>
      <c r="J303" s="1">
        <v>0.12</v>
      </c>
      <c r="K303" s="20">
        <v>0.13639999999999999</v>
      </c>
      <c r="L303" s="23">
        <v>0.5</v>
      </c>
      <c r="M303" s="23">
        <v>0.19400000000000001</v>
      </c>
      <c r="N303" s="23">
        <v>0</v>
      </c>
      <c r="O303" s="23">
        <v>14</v>
      </c>
      <c r="P303" s="24">
        <v>14</v>
      </c>
      <c r="Q303" s="38" t="str">
        <f t="shared" si="4"/>
        <v>Weekday</v>
      </c>
    </row>
    <row r="304" spans="1:17">
      <c r="A304" s="1">
        <v>303</v>
      </c>
      <c r="B304" s="2">
        <v>40557</v>
      </c>
      <c r="C304" s="1">
        <v>1</v>
      </c>
      <c r="D304" s="1">
        <v>0</v>
      </c>
      <c r="E304" s="1">
        <v>1</v>
      </c>
      <c r="F304" s="1">
        <v>1</v>
      </c>
      <c r="G304" s="1" t="b">
        <v>0</v>
      </c>
      <c r="H304" s="1">
        <v>5</v>
      </c>
      <c r="I304" s="1">
        <v>1</v>
      </c>
      <c r="J304" s="1">
        <v>0.1</v>
      </c>
      <c r="K304" s="19">
        <v>0.1212</v>
      </c>
      <c r="L304" s="21">
        <v>0.54</v>
      </c>
      <c r="M304" s="21">
        <v>0.16420000000000001</v>
      </c>
      <c r="N304" s="21">
        <v>0</v>
      </c>
      <c r="O304" s="21">
        <v>5</v>
      </c>
      <c r="P304" s="22">
        <v>5</v>
      </c>
      <c r="Q304" s="38" t="str">
        <f t="shared" si="4"/>
        <v>Weekday</v>
      </c>
    </row>
    <row r="305" spans="1:17">
      <c r="A305" s="1">
        <v>304</v>
      </c>
      <c r="B305" s="2">
        <v>40557</v>
      </c>
      <c r="C305" s="1">
        <v>1</v>
      </c>
      <c r="D305" s="1">
        <v>0</v>
      </c>
      <c r="E305" s="1">
        <v>1</v>
      </c>
      <c r="F305" s="1">
        <v>2</v>
      </c>
      <c r="G305" s="1" t="b">
        <v>0</v>
      </c>
      <c r="H305" s="1">
        <v>5</v>
      </c>
      <c r="I305" s="1">
        <v>1</v>
      </c>
      <c r="J305" s="1">
        <v>0.1</v>
      </c>
      <c r="K305" s="20">
        <v>0.1212</v>
      </c>
      <c r="L305" s="23">
        <v>0.54</v>
      </c>
      <c r="M305" s="23">
        <v>0.1343</v>
      </c>
      <c r="N305" s="23">
        <v>0</v>
      </c>
      <c r="O305" s="23">
        <v>1</v>
      </c>
      <c r="P305" s="24">
        <v>1</v>
      </c>
      <c r="Q305" s="38" t="str">
        <f t="shared" si="4"/>
        <v>Weekday</v>
      </c>
    </row>
    <row r="306" spans="1:17">
      <c r="A306" s="1">
        <v>305</v>
      </c>
      <c r="B306" s="2">
        <v>40557</v>
      </c>
      <c r="C306" s="1">
        <v>1</v>
      </c>
      <c r="D306" s="1">
        <v>0</v>
      </c>
      <c r="E306" s="1">
        <v>1</v>
      </c>
      <c r="F306" s="1">
        <v>3</v>
      </c>
      <c r="G306" s="1" t="b">
        <v>0</v>
      </c>
      <c r="H306" s="1">
        <v>5</v>
      </c>
      <c r="I306" s="1">
        <v>1</v>
      </c>
      <c r="J306" s="1">
        <v>0.1</v>
      </c>
      <c r="K306" s="19">
        <v>0.13639999999999999</v>
      </c>
      <c r="L306" s="21">
        <v>0.54</v>
      </c>
      <c r="M306" s="21">
        <v>0.1045</v>
      </c>
      <c r="N306" s="21">
        <v>0</v>
      </c>
      <c r="O306" s="21">
        <v>1</v>
      </c>
      <c r="P306" s="22">
        <v>1</v>
      </c>
      <c r="Q306" s="38" t="str">
        <f t="shared" si="4"/>
        <v>Weekday</v>
      </c>
    </row>
    <row r="307" spans="1:17">
      <c r="A307" s="1">
        <v>306</v>
      </c>
      <c r="B307" s="2">
        <v>40557</v>
      </c>
      <c r="C307" s="1">
        <v>1</v>
      </c>
      <c r="D307" s="1">
        <v>0</v>
      </c>
      <c r="E307" s="1">
        <v>1</v>
      </c>
      <c r="F307" s="1">
        <v>5</v>
      </c>
      <c r="G307" s="1" t="b">
        <v>0</v>
      </c>
      <c r="H307" s="1">
        <v>5</v>
      </c>
      <c r="I307" s="1">
        <v>1</v>
      </c>
      <c r="J307" s="1">
        <v>0.1</v>
      </c>
      <c r="K307" s="20">
        <v>0.13639999999999999</v>
      </c>
      <c r="L307" s="23">
        <v>0.54</v>
      </c>
      <c r="M307" s="23">
        <v>8.9599999999999999E-2</v>
      </c>
      <c r="N307" s="23">
        <v>0</v>
      </c>
      <c r="O307" s="23">
        <v>8</v>
      </c>
      <c r="P307" s="24">
        <v>8</v>
      </c>
      <c r="Q307" s="38" t="str">
        <f t="shared" si="4"/>
        <v>Weekday</v>
      </c>
    </row>
    <row r="308" spans="1:17">
      <c r="A308" s="1">
        <v>307</v>
      </c>
      <c r="B308" s="2">
        <v>40557</v>
      </c>
      <c r="C308" s="1">
        <v>1</v>
      </c>
      <c r="D308" s="1">
        <v>0</v>
      </c>
      <c r="E308" s="1">
        <v>1</v>
      </c>
      <c r="F308" s="1">
        <v>6</v>
      </c>
      <c r="G308" s="1" t="b">
        <v>0</v>
      </c>
      <c r="H308" s="1">
        <v>5</v>
      </c>
      <c r="I308" s="1">
        <v>1</v>
      </c>
      <c r="J308" s="1">
        <v>0.1</v>
      </c>
      <c r="K308" s="19">
        <v>0.18179999999999999</v>
      </c>
      <c r="L308" s="21">
        <v>0.54</v>
      </c>
      <c r="M308" s="21">
        <v>0</v>
      </c>
      <c r="N308" s="21">
        <v>0</v>
      </c>
      <c r="O308" s="21">
        <v>17</v>
      </c>
      <c r="P308" s="22">
        <v>17</v>
      </c>
      <c r="Q308" s="38" t="str">
        <f t="shared" si="4"/>
        <v>Weekday</v>
      </c>
    </row>
    <row r="309" spans="1:17">
      <c r="A309" s="1">
        <v>308</v>
      </c>
      <c r="B309" s="2">
        <v>40557</v>
      </c>
      <c r="C309" s="1">
        <v>1</v>
      </c>
      <c r="D309" s="1">
        <v>0</v>
      </c>
      <c r="E309" s="1">
        <v>1</v>
      </c>
      <c r="F309" s="1">
        <v>7</v>
      </c>
      <c r="G309" s="1" t="b">
        <v>0</v>
      </c>
      <c r="H309" s="1">
        <v>5</v>
      </c>
      <c r="I309" s="1">
        <v>1</v>
      </c>
      <c r="J309" s="1">
        <v>0.1</v>
      </c>
      <c r="K309" s="20">
        <v>0.1212</v>
      </c>
      <c r="L309" s="23">
        <v>0.74</v>
      </c>
      <c r="M309" s="23">
        <v>0.16420000000000001</v>
      </c>
      <c r="N309" s="23">
        <v>0</v>
      </c>
      <c r="O309" s="23">
        <v>70</v>
      </c>
      <c r="P309" s="24">
        <v>70</v>
      </c>
      <c r="Q309" s="38" t="str">
        <f t="shared" si="4"/>
        <v>Weekday</v>
      </c>
    </row>
    <row r="310" spans="1:17">
      <c r="A310" s="1">
        <v>309</v>
      </c>
      <c r="B310" s="2">
        <v>40557</v>
      </c>
      <c r="C310" s="1">
        <v>1</v>
      </c>
      <c r="D310" s="1">
        <v>0</v>
      </c>
      <c r="E310" s="1">
        <v>1</v>
      </c>
      <c r="F310" s="1">
        <v>8</v>
      </c>
      <c r="G310" s="1" t="b">
        <v>0</v>
      </c>
      <c r="H310" s="1">
        <v>5</v>
      </c>
      <c r="I310" s="1">
        <v>1</v>
      </c>
      <c r="J310" s="1">
        <v>0.12</v>
      </c>
      <c r="K310" s="19">
        <v>0.16669999999999999</v>
      </c>
      <c r="L310" s="21">
        <v>0.68</v>
      </c>
      <c r="M310" s="21">
        <v>0</v>
      </c>
      <c r="N310" s="21">
        <v>2</v>
      </c>
      <c r="O310" s="21">
        <v>156</v>
      </c>
      <c r="P310" s="22">
        <v>158</v>
      </c>
      <c r="Q310" s="38" t="str">
        <f t="shared" si="4"/>
        <v>Weekday</v>
      </c>
    </row>
    <row r="311" spans="1:17">
      <c r="A311" s="1">
        <v>310</v>
      </c>
      <c r="B311" s="2">
        <v>40557</v>
      </c>
      <c r="C311" s="1">
        <v>1</v>
      </c>
      <c r="D311" s="1">
        <v>0</v>
      </c>
      <c r="E311" s="1">
        <v>1</v>
      </c>
      <c r="F311" s="1">
        <v>9</v>
      </c>
      <c r="G311" s="1" t="b">
        <v>0</v>
      </c>
      <c r="H311" s="1">
        <v>5</v>
      </c>
      <c r="I311" s="1">
        <v>1</v>
      </c>
      <c r="J311" s="1">
        <v>0.14000000000000001</v>
      </c>
      <c r="K311" s="20">
        <v>0.1515</v>
      </c>
      <c r="L311" s="23">
        <v>0.69</v>
      </c>
      <c r="M311" s="23">
        <v>0.1343</v>
      </c>
      <c r="N311" s="23">
        <v>0</v>
      </c>
      <c r="O311" s="23">
        <v>117</v>
      </c>
      <c r="P311" s="24">
        <v>117</v>
      </c>
      <c r="Q311" s="38" t="str">
        <f t="shared" si="4"/>
        <v>Weekday</v>
      </c>
    </row>
    <row r="312" spans="1:17">
      <c r="A312" s="1">
        <v>311</v>
      </c>
      <c r="B312" s="2">
        <v>40557</v>
      </c>
      <c r="C312" s="1">
        <v>1</v>
      </c>
      <c r="D312" s="1">
        <v>0</v>
      </c>
      <c r="E312" s="1">
        <v>1</v>
      </c>
      <c r="F312" s="1">
        <v>10</v>
      </c>
      <c r="G312" s="1" t="b">
        <v>0</v>
      </c>
      <c r="H312" s="1">
        <v>5</v>
      </c>
      <c r="I312" s="1">
        <v>1</v>
      </c>
      <c r="J312" s="1">
        <v>0.18</v>
      </c>
      <c r="K312" s="19">
        <v>0.18179999999999999</v>
      </c>
      <c r="L312" s="21">
        <v>0.55000000000000004</v>
      </c>
      <c r="M312" s="21">
        <v>0.19400000000000001</v>
      </c>
      <c r="N312" s="21">
        <v>4</v>
      </c>
      <c r="O312" s="21">
        <v>40</v>
      </c>
      <c r="P312" s="22">
        <v>44</v>
      </c>
      <c r="Q312" s="38" t="str">
        <f t="shared" si="4"/>
        <v>Weekday</v>
      </c>
    </row>
    <row r="313" spans="1:17">
      <c r="A313" s="1">
        <v>312</v>
      </c>
      <c r="B313" s="2">
        <v>40557</v>
      </c>
      <c r="C313" s="1">
        <v>1</v>
      </c>
      <c r="D313" s="1">
        <v>0</v>
      </c>
      <c r="E313" s="1">
        <v>1</v>
      </c>
      <c r="F313" s="1">
        <v>11</v>
      </c>
      <c r="G313" s="1" t="b">
        <v>0</v>
      </c>
      <c r="H313" s="1">
        <v>5</v>
      </c>
      <c r="I313" s="1">
        <v>1</v>
      </c>
      <c r="J313" s="1">
        <v>0.18</v>
      </c>
      <c r="K313" s="20">
        <v>0.16669999999999999</v>
      </c>
      <c r="L313" s="23">
        <v>0.51</v>
      </c>
      <c r="M313" s="23">
        <v>0.28360000000000002</v>
      </c>
      <c r="N313" s="23">
        <v>6</v>
      </c>
      <c r="O313" s="23">
        <v>47</v>
      </c>
      <c r="P313" s="24">
        <v>53</v>
      </c>
      <c r="Q313" s="38" t="str">
        <f t="shared" si="4"/>
        <v>Weekday</v>
      </c>
    </row>
    <row r="314" spans="1:17">
      <c r="A314" s="1">
        <v>313</v>
      </c>
      <c r="B314" s="2">
        <v>40557</v>
      </c>
      <c r="C314" s="1">
        <v>1</v>
      </c>
      <c r="D314" s="1">
        <v>0</v>
      </c>
      <c r="E314" s="1">
        <v>1</v>
      </c>
      <c r="F314" s="1">
        <v>12</v>
      </c>
      <c r="G314" s="1" t="b">
        <v>0</v>
      </c>
      <c r="H314" s="1">
        <v>5</v>
      </c>
      <c r="I314" s="1">
        <v>1</v>
      </c>
      <c r="J314" s="1">
        <v>0.2</v>
      </c>
      <c r="K314" s="19">
        <v>0.19700000000000001</v>
      </c>
      <c r="L314" s="21">
        <v>0.44</v>
      </c>
      <c r="M314" s="21">
        <v>0.25369999999999998</v>
      </c>
      <c r="N314" s="21">
        <v>2</v>
      </c>
      <c r="O314" s="21">
        <v>59</v>
      </c>
      <c r="P314" s="22">
        <v>61</v>
      </c>
      <c r="Q314" s="38" t="str">
        <f t="shared" si="4"/>
        <v>Weekday</v>
      </c>
    </row>
    <row r="315" spans="1:17">
      <c r="A315" s="1">
        <v>314</v>
      </c>
      <c r="B315" s="2">
        <v>40557</v>
      </c>
      <c r="C315" s="1">
        <v>1</v>
      </c>
      <c r="D315" s="1">
        <v>0</v>
      </c>
      <c r="E315" s="1">
        <v>1</v>
      </c>
      <c r="F315" s="1">
        <v>13</v>
      </c>
      <c r="G315" s="1" t="b">
        <v>0</v>
      </c>
      <c r="H315" s="1">
        <v>5</v>
      </c>
      <c r="I315" s="1">
        <v>1</v>
      </c>
      <c r="J315" s="1">
        <v>0.22</v>
      </c>
      <c r="K315" s="20">
        <v>0.19700000000000001</v>
      </c>
      <c r="L315" s="23">
        <v>0.37</v>
      </c>
      <c r="M315" s="23">
        <v>0.3881</v>
      </c>
      <c r="N315" s="23">
        <v>4</v>
      </c>
      <c r="O315" s="23">
        <v>73</v>
      </c>
      <c r="P315" s="24">
        <v>77</v>
      </c>
      <c r="Q315" s="38" t="str">
        <f t="shared" si="4"/>
        <v>Weekday</v>
      </c>
    </row>
    <row r="316" spans="1:17">
      <c r="A316" s="1">
        <v>315</v>
      </c>
      <c r="B316" s="2">
        <v>40557</v>
      </c>
      <c r="C316" s="1">
        <v>1</v>
      </c>
      <c r="D316" s="1">
        <v>0</v>
      </c>
      <c r="E316" s="1">
        <v>1</v>
      </c>
      <c r="F316" s="1">
        <v>14</v>
      </c>
      <c r="G316" s="1" t="b">
        <v>0</v>
      </c>
      <c r="H316" s="1">
        <v>5</v>
      </c>
      <c r="I316" s="1">
        <v>1</v>
      </c>
      <c r="J316" s="1">
        <v>0.22</v>
      </c>
      <c r="K316" s="19">
        <v>0.21210000000000001</v>
      </c>
      <c r="L316" s="21">
        <v>0.41</v>
      </c>
      <c r="M316" s="21">
        <v>0.28360000000000002</v>
      </c>
      <c r="N316" s="21">
        <v>5</v>
      </c>
      <c r="O316" s="21">
        <v>59</v>
      </c>
      <c r="P316" s="22">
        <v>64</v>
      </c>
      <c r="Q316" s="38" t="str">
        <f t="shared" si="4"/>
        <v>Weekday</v>
      </c>
    </row>
    <row r="317" spans="1:17">
      <c r="A317" s="1">
        <v>316</v>
      </c>
      <c r="B317" s="2">
        <v>40557</v>
      </c>
      <c r="C317" s="1">
        <v>1</v>
      </c>
      <c r="D317" s="1">
        <v>0</v>
      </c>
      <c r="E317" s="1">
        <v>1</v>
      </c>
      <c r="F317" s="1">
        <v>15</v>
      </c>
      <c r="G317" s="1" t="b">
        <v>0</v>
      </c>
      <c r="H317" s="1">
        <v>5</v>
      </c>
      <c r="I317" s="1">
        <v>1</v>
      </c>
      <c r="J317" s="1">
        <v>0.24</v>
      </c>
      <c r="K317" s="20">
        <v>0.2424</v>
      </c>
      <c r="L317" s="23">
        <v>0.38</v>
      </c>
      <c r="M317" s="23">
        <v>0.16420000000000001</v>
      </c>
      <c r="N317" s="23">
        <v>9</v>
      </c>
      <c r="O317" s="23">
        <v>59</v>
      </c>
      <c r="P317" s="24">
        <v>68</v>
      </c>
      <c r="Q317" s="38" t="str">
        <f t="shared" si="4"/>
        <v>Weekday</v>
      </c>
    </row>
    <row r="318" spans="1:17">
      <c r="A318" s="1">
        <v>317</v>
      </c>
      <c r="B318" s="2">
        <v>40557</v>
      </c>
      <c r="C318" s="1">
        <v>1</v>
      </c>
      <c r="D318" s="1">
        <v>0</v>
      </c>
      <c r="E318" s="1">
        <v>1</v>
      </c>
      <c r="F318" s="1">
        <v>16</v>
      </c>
      <c r="G318" s="1" t="b">
        <v>0</v>
      </c>
      <c r="H318" s="1">
        <v>5</v>
      </c>
      <c r="I318" s="1">
        <v>1</v>
      </c>
      <c r="J318" s="1">
        <v>0.22</v>
      </c>
      <c r="K318" s="19">
        <v>0.2424</v>
      </c>
      <c r="L318" s="21">
        <v>0.41</v>
      </c>
      <c r="M318" s="21">
        <v>0.1045</v>
      </c>
      <c r="N318" s="21">
        <v>3</v>
      </c>
      <c r="O318" s="21">
        <v>87</v>
      </c>
      <c r="P318" s="22">
        <v>90</v>
      </c>
      <c r="Q318" s="38" t="str">
        <f t="shared" si="4"/>
        <v>Weekday</v>
      </c>
    </row>
    <row r="319" spans="1:17">
      <c r="A319" s="1">
        <v>318</v>
      </c>
      <c r="B319" s="2">
        <v>40557</v>
      </c>
      <c r="C319" s="1">
        <v>1</v>
      </c>
      <c r="D319" s="1">
        <v>0</v>
      </c>
      <c r="E319" s="1">
        <v>1</v>
      </c>
      <c r="F319" s="1">
        <v>17</v>
      </c>
      <c r="G319" s="1" t="b">
        <v>0</v>
      </c>
      <c r="H319" s="1">
        <v>5</v>
      </c>
      <c r="I319" s="1">
        <v>1</v>
      </c>
      <c r="J319" s="1">
        <v>0.22</v>
      </c>
      <c r="K319" s="20">
        <v>0.2273</v>
      </c>
      <c r="L319" s="23">
        <v>0.41</v>
      </c>
      <c r="M319" s="23">
        <v>0.16420000000000001</v>
      </c>
      <c r="N319" s="23">
        <v>4</v>
      </c>
      <c r="O319" s="23">
        <v>155</v>
      </c>
      <c r="P319" s="24">
        <v>159</v>
      </c>
      <c r="Q319" s="38" t="str">
        <f t="shared" si="4"/>
        <v>Weekday</v>
      </c>
    </row>
    <row r="320" spans="1:17">
      <c r="A320" s="1">
        <v>319</v>
      </c>
      <c r="B320" s="2">
        <v>40557</v>
      </c>
      <c r="C320" s="1">
        <v>1</v>
      </c>
      <c r="D320" s="1">
        <v>0</v>
      </c>
      <c r="E320" s="1">
        <v>1</v>
      </c>
      <c r="F320" s="1">
        <v>18</v>
      </c>
      <c r="G320" s="1" t="b">
        <v>0</v>
      </c>
      <c r="H320" s="1">
        <v>5</v>
      </c>
      <c r="I320" s="1">
        <v>1</v>
      </c>
      <c r="J320" s="1">
        <v>0.2</v>
      </c>
      <c r="K320" s="19">
        <v>0.2576</v>
      </c>
      <c r="L320" s="21">
        <v>0.47</v>
      </c>
      <c r="M320" s="21">
        <v>0</v>
      </c>
      <c r="N320" s="21">
        <v>5</v>
      </c>
      <c r="O320" s="21">
        <v>134</v>
      </c>
      <c r="P320" s="22">
        <v>139</v>
      </c>
      <c r="Q320" s="38" t="str">
        <f t="shared" si="4"/>
        <v>Weekday</v>
      </c>
    </row>
    <row r="321" spans="1:17">
      <c r="A321" s="1">
        <v>320</v>
      </c>
      <c r="B321" s="2">
        <v>40557</v>
      </c>
      <c r="C321" s="1">
        <v>1</v>
      </c>
      <c r="D321" s="1">
        <v>0</v>
      </c>
      <c r="E321" s="1">
        <v>1</v>
      </c>
      <c r="F321" s="1">
        <v>19</v>
      </c>
      <c r="G321" s="1" t="b">
        <v>0</v>
      </c>
      <c r="H321" s="1">
        <v>5</v>
      </c>
      <c r="I321" s="1">
        <v>1</v>
      </c>
      <c r="J321" s="1">
        <v>0.16</v>
      </c>
      <c r="K321" s="20">
        <v>0.19700000000000001</v>
      </c>
      <c r="L321" s="23">
        <v>0.59</v>
      </c>
      <c r="M321" s="23">
        <v>8.9599999999999999E-2</v>
      </c>
      <c r="N321" s="23">
        <v>3</v>
      </c>
      <c r="O321" s="23">
        <v>89</v>
      </c>
      <c r="P321" s="24">
        <v>92</v>
      </c>
      <c r="Q321" s="38" t="str">
        <f t="shared" si="4"/>
        <v>Weekday</v>
      </c>
    </row>
    <row r="322" spans="1:17">
      <c r="A322" s="1">
        <v>321</v>
      </c>
      <c r="B322" s="2">
        <v>40557</v>
      </c>
      <c r="C322" s="1">
        <v>1</v>
      </c>
      <c r="D322" s="1">
        <v>0</v>
      </c>
      <c r="E322" s="1">
        <v>1</v>
      </c>
      <c r="F322" s="1">
        <v>20</v>
      </c>
      <c r="G322" s="1" t="b">
        <v>0</v>
      </c>
      <c r="H322" s="1">
        <v>5</v>
      </c>
      <c r="I322" s="1">
        <v>1</v>
      </c>
      <c r="J322" s="1">
        <v>0.18</v>
      </c>
      <c r="K322" s="19">
        <v>0.2424</v>
      </c>
      <c r="L322" s="21">
        <v>0.59</v>
      </c>
      <c r="M322" s="21">
        <v>0</v>
      </c>
      <c r="N322" s="21">
        <v>0</v>
      </c>
      <c r="O322" s="21">
        <v>68</v>
      </c>
      <c r="P322" s="22">
        <v>68</v>
      </c>
      <c r="Q322" s="38" t="str">
        <f t="shared" ref="Q322:Q385" si="5">IF(H322&gt;=6,"Weekend","Weekday")</f>
        <v>Weekday</v>
      </c>
    </row>
    <row r="323" spans="1:17">
      <c r="A323" s="1">
        <v>322</v>
      </c>
      <c r="B323" s="2">
        <v>40557</v>
      </c>
      <c r="C323" s="1">
        <v>1</v>
      </c>
      <c r="D323" s="1">
        <v>0</v>
      </c>
      <c r="E323" s="1">
        <v>1</v>
      </c>
      <c r="F323" s="1">
        <v>21</v>
      </c>
      <c r="G323" s="1" t="b">
        <v>0</v>
      </c>
      <c r="H323" s="1">
        <v>5</v>
      </c>
      <c r="I323" s="1">
        <v>1</v>
      </c>
      <c r="J323" s="1">
        <v>0.16</v>
      </c>
      <c r="K323" s="20">
        <v>0.2273</v>
      </c>
      <c r="L323" s="23">
        <v>0.69</v>
      </c>
      <c r="M323" s="23">
        <v>0</v>
      </c>
      <c r="N323" s="23">
        <v>4</v>
      </c>
      <c r="O323" s="23">
        <v>48</v>
      </c>
      <c r="P323" s="24">
        <v>52</v>
      </c>
      <c r="Q323" s="38" t="str">
        <f t="shared" si="5"/>
        <v>Weekday</v>
      </c>
    </row>
    <row r="324" spans="1:17">
      <c r="A324" s="1">
        <v>323</v>
      </c>
      <c r="B324" s="2">
        <v>40557</v>
      </c>
      <c r="C324" s="1">
        <v>1</v>
      </c>
      <c r="D324" s="1">
        <v>0</v>
      </c>
      <c r="E324" s="1">
        <v>1</v>
      </c>
      <c r="F324" s="1">
        <v>22</v>
      </c>
      <c r="G324" s="1" t="b">
        <v>0</v>
      </c>
      <c r="H324" s="1">
        <v>5</v>
      </c>
      <c r="I324" s="1">
        <v>2</v>
      </c>
      <c r="J324" s="1">
        <v>0.16</v>
      </c>
      <c r="K324" s="19">
        <v>0.2273</v>
      </c>
      <c r="L324" s="21">
        <v>0.69</v>
      </c>
      <c r="M324" s="21">
        <v>0</v>
      </c>
      <c r="N324" s="21">
        <v>2</v>
      </c>
      <c r="O324" s="21">
        <v>34</v>
      </c>
      <c r="P324" s="22">
        <v>36</v>
      </c>
      <c r="Q324" s="38" t="str">
        <f t="shared" si="5"/>
        <v>Weekday</v>
      </c>
    </row>
    <row r="325" spans="1:17">
      <c r="A325" s="1">
        <v>324</v>
      </c>
      <c r="B325" s="2">
        <v>40557</v>
      </c>
      <c r="C325" s="1">
        <v>1</v>
      </c>
      <c r="D325" s="1">
        <v>0</v>
      </c>
      <c r="E325" s="1">
        <v>1</v>
      </c>
      <c r="F325" s="1">
        <v>23</v>
      </c>
      <c r="G325" s="1" t="b">
        <v>0</v>
      </c>
      <c r="H325" s="1">
        <v>5</v>
      </c>
      <c r="I325" s="1">
        <v>2</v>
      </c>
      <c r="J325" s="1">
        <v>0.18</v>
      </c>
      <c r="K325" s="20">
        <v>0.2424</v>
      </c>
      <c r="L325" s="23">
        <v>0.55000000000000004</v>
      </c>
      <c r="M325" s="23">
        <v>0</v>
      </c>
      <c r="N325" s="23">
        <v>1</v>
      </c>
      <c r="O325" s="23">
        <v>26</v>
      </c>
      <c r="P325" s="24">
        <v>27</v>
      </c>
      <c r="Q325" s="38" t="str">
        <f t="shared" si="5"/>
        <v>Weekday</v>
      </c>
    </row>
    <row r="326" spans="1:17">
      <c r="A326" s="1">
        <v>325</v>
      </c>
      <c r="B326" s="2">
        <v>40558</v>
      </c>
      <c r="C326" s="1">
        <v>1</v>
      </c>
      <c r="D326" s="1">
        <v>0</v>
      </c>
      <c r="E326" s="1">
        <v>1</v>
      </c>
      <c r="F326" s="1">
        <v>0</v>
      </c>
      <c r="G326" s="1" t="b">
        <v>0</v>
      </c>
      <c r="H326" s="1">
        <v>6</v>
      </c>
      <c r="I326" s="1">
        <v>1</v>
      </c>
      <c r="J326" s="1">
        <v>0.18</v>
      </c>
      <c r="K326" s="19">
        <v>0.2424</v>
      </c>
      <c r="L326" s="21">
        <v>0.55000000000000004</v>
      </c>
      <c r="M326" s="21">
        <v>0</v>
      </c>
      <c r="N326" s="21">
        <v>3</v>
      </c>
      <c r="O326" s="21">
        <v>25</v>
      </c>
      <c r="P326" s="22">
        <v>28</v>
      </c>
      <c r="Q326" s="38" t="str">
        <f t="shared" si="5"/>
        <v>Weekend</v>
      </c>
    </row>
    <row r="327" spans="1:17">
      <c r="A327" s="1">
        <v>326</v>
      </c>
      <c r="B327" s="2">
        <v>40558</v>
      </c>
      <c r="C327" s="1">
        <v>1</v>
      </c>
      <c r="D327" s="1">
        <v>0</v>
      </c>
      <c r="E327" s="1">
        <v>1</v>
      </c>
      <c r="F327" s="1">
        <v>1</v>
      </c>
      <c r="G327" s="1" t="b">
        <v>0</v>
      </c>
      <c r="H327" s="1">
        <v>6</v>
      </c>
      <c r="I327" s="1">
        <v>2</v>
      </c>
      <c r="J327" s="1">
        <v>0.16</v>
      </c>
      <c r="K327" s="20">
        <v>0.19700000000000001</v>
      </c>
      <c r="L327" s="23">
        <v>0.59</v>
      </c>
      <c r="M327" s="23">
        <v>8.9599999999999999E-2</v>
      </c>
      <c r="N327" s="23">
        <v>2</v>
      </c>
      <c r="O327" s="23">
        <v>18</v>
      </c>
      <c r="P327" s="24">
        <v>20</v>
      </c>
      <c r="Q327" s="38" t="str">
        <f t="shared" si="5"/>
        <v>Weekend</v>
      </c>
    </row>
    <row r="328" spans="1:17">
      <c r="A328" s="1">
        <v>327</v>
      </c>
      <c r="B328" s="2">
        <v>40558</v>
      </c>
      <c r="C328" s="1">
        <v>1</v>
      </c>
      <c r="D328" s="1">
        <v>0</v>
      </c>
      <c r="E328" s="1">
        <v>1</v>
      </c>
      <c r="F328" s="1">
        <v>2</v>
      </c>
      <c r="G328" s="1" t="b">
        <v>0</v>
      </c>
      <c r="H328" s="1">
        <v>6</v>
      </c>
      <c r="I328" s="1">
        <v>2</v>
      </c>
      <c r="J328" s="1">
        <v>0.16</v>
      </c>
      <c r="K328" s="19">
        <v>0.19700000000000001</v>
      </c>
      <c r="L328" s="21">
        <v>0.59</v>
      </c>
      <c r="M328" s="21">
        <v>8.9599999999999999E-2</v>
      </c>
      <c r="N328" s="21">
        <v>0</v>
      </c>
      <c r="O328" s="21">
        <v>12</v>
      </c>
      <c r="P328" s="22">
        <v>12</v>
      </c>
      <c r="Q328" s="38" t="str">
        <f t="shared" si="5"/>
        <v>Weekend</v>
      </c>
    </row>
    <row r="329" spans="1:17">
      <c r="A329" s="1">
        <v>328</v>
      </c>
      <c r="B329" s="2">
        <v>40558</v>
      </c>
      <c r="C329" s="1">
        <v>1</v>
      </c>
      <c r="D329" s="1">
        <v>0</v>
      </c>
      <c r="E329" s="1">
        <v>1</v>
      </c>
      <c r="F329" s="1">
        <v>3</v>
      </c>
      <c r="G329" s="1" t="b">
        <v>0</v>
      </c>
      <c r="H329" s="1">
        <v>6</v>
      </c>
      <c r="I329" s="1">
        <v>2</v>
      </c>
      <c r="J329" s="1">
        <v>0.16</v>
      </c>
      <c r="K329" s="20">
        <v>0.2273</v>
      </c>
      <c r="L329" s="23">
        <v>0.59</v>
      </c>
      <c r="M329" s="23">
        <v>0</v>
      </c>
      <c r="N329" s="23">
        <v>1</v>
      </c>
      <c r="O329" s="23">
        <v>7</v>
      </c>
      <c r="P329" s="24">
        <v>8</v>
      </c>
      <c r="Q329" s="38" t="str">
        <f t="shared" si="5"/>
        <v>Weekend</v>
      </c>
    </row>
    <row r="330" spans="1:17">
      <c r="A330" s="1">
        <v>329</v>
      </c>
      <c r="B330" s="2">
        <v>40558</v>
      </c>
      <c r="C330" s="1">
        <v>1</v>
      </c>
      <c r="D330" s="1">
        <v>0</v>
      </c>
      <c r="E330" s="1">
        <v>1</v>
      </c>
      <c r="F330" s="1">
        <v>4</v>
      </c>
      <c r="G330" s="1" t="b">
        <v>0</v>
      </c>
      <c r="H330" s="1">
        <v>6</v>
      </c>
      <c r="I330" s="1">
        <v>2</v>
      </c>
      <c r="J330" s="1">
        <v>0.16</v>
      </c>
      <c r="K330" s="19">
        <v>0.2273</v>
      </c>
      <c r="L330" s="21">
        <v>0.59</v>
      </c>
      <c r="M330" s="21">
        <v>0</v>
      </c>
      <c r="N330" s="21">
        <v>0</v>
      </c>
      <c r="O330" s="21">
        <v>5</v>
      </c>
      <c r="P330" s="22">
        <v>5</v>
      </c>
      <c r="Q330" s="38" t="str">
        <f t="shared" si="5"/>
        <v>Weekend</v>
      </c>
    </row>
    <row r="331" spans="1:17">
      <c r="A331" s="1">
        <v>330</v>
      </c>
      <c r="B331" s="2">
        <v>40558</v>
      </c>
      <c r="C331" s="1">
        <v>1</v>
      </c>
      <c r="D331" s="1">
        <v>0</v>
      </c>
      <c r="E331" s="1">
        <v>1</v>
      </c>
      <c r="F331" s="1">
        <v>5</v>
      </c>
      <c r="G331" s="1" t="b">
        <v>0</v>
      </c>
      <c r="H331" s="1">
        <v>6</v>
      </c>
      <c r="I331" s="1">
        <v>1</v>
      </c>
      <c r="J331" s="1">
        <v>0.16</v>
      </c>
      <c r="K331" s="20">
        <v>0.2273</v>
      </c>
      <c r="L331" s="23">
        <v>0.59</v>
      </c>
      <c r="M331" s="23">
        <v>0</v>
      </c>
      <c r="N331" s="23">
        <v>0</v>
      </c>
      <c r="O331" s="23">
        <v>1</v>
      </c>
      <c r="P331" s="24">
        <v>1</v>
      </c>
      <c r="Q331" s="38" t="str">
        <f t="shared" si="5"/>
        <v>Weekend</v>
      </c>
    </row>
    <row r="332" spans="1:17">
      <c r="A332" s="1">
        <v>331</v>
      </c>
      <c r="B332" s="2">
        <v>40558</v>
      </c>
      <c r="C332" s="1">
        <v>1</v>
      </c>
      <c r="D332" s="1">
        <v>0</v>
      </c>
      <c r="E332" s="1">
        <v>1</v>
      </c>
      <c r="F332" s="1">
        <v>6</v>
      </c>
      <c r="G332" s="1" t="b">
        <v>0</v>
      </c>
      <c r="H332" s="1">
        <v>6</v>
      </c>
      <c r="I332" s="1">
        <v>1</v>
      </c>
      <c r="J332" s="1">
        <v>0.14000000000000001</v>
      </c>
      <c r="K332" s="19">
        <v>0.16669999999999999</v>
      </c>
      <c r="L332" s="21">
        <v>0.63</v>
      </c>
      <c r="M332" s="21">
        <v>0.1045</v>
      </c>
      <c r="N332" s="21">
        <v>1</v>
      </c>
      <c r="O332" s="21">
        <v>2</v>
      </c>
      <c r="P332" s="22">
        <v>3</v>
      </c>
      <c r="Q332" s="38" t="str">
        <f t="shared" si="5"/>
        <v>Weekend</v>
      </c>
    </row>
    <row r="333" spans="1:17">
      <c r="A333" s="1">
        <v>332</v>
      </c>
      <c r="B333" s="2">
        <v>40558</v>
      </c>
      <c r="C333" s="1">
        <v>1</v>
      </c>
      <c r="D333" s="1">
        <v>0</v>
      </c>
      <c r="E333" s="1">
        <v>1</v>
      </c>
      <c r="F333" s="1">
        <v>7</v>
      </c>
      <c r="G333" s="1" t="b">
        <v>0</v>
      </c>
      <c r="H333" s="1">
        <v>6</v>
      </c>
      <c r="I333" s="1">
        <v>1</v>
      </c>
      <c r="J333" s="1">
        <v>0.14000000000000001</v>
      </c>
      <c r="K333" s="20">
        <v>0.21210000000000001</v>
      </c>
      <c r="L333" s="23">
        <v>0.63</v>
      </c>
      <c r="M333" s="23">
        <v>0</v>
      </c>
      <c r="N333" s="23">
        <v>1</v>
      </c>
      <c r="O333" s="23">
        <v>9</v>
      </c>
      <c r="P333" s="24">
        <v>10</v>
      </c>
      <c r="Q333" s="38" t="str">
        <f t="shared" si="5"/>
        <v>Weekend</v>
      </c>
    </row>
    <row r="334" spans="1:17">
      <c r="A334" s="1">
        <v>333</v>
      </c>
      <c r="B334" s="2">
        <v>40558</v>
      </c>
      <c r="C334" s="1">
        <v>1</v>
      </c>
      <c r="D334" s="1">
        <v>0</v>
      </c>
      <c r="E334" s="1">
        <v>1</v>
      </c>
      <c r="F334" s="1">
        <v>8</v>
      </c>
      <c r="G334" s="1" t="b">
        <v>0</v>
      </c>
      <c r="H334" s="1">
        <v>6</v>
      </c>
      <c r="I334" s="1">
        <v>1</v>
      </c>
      <c r="J334" s="1">
        <v>0.14000000000000001</v>
      </c>
      <c r="K334" s="19">
        <v>0.1515</v>
      </c>
      <c r="L334" s="21">
        <v>0.63</v>
      </c>
      <c r="M334" s="21">
        <v>0.1343</v>
      </c>
      <c r="N334" s="21">
        <v>1</v>
      </c>
      <c r="O334" s="21">
        <v>22</v>
      </c>
      <c r="P334" s="22">
        <v>23</v>
      </c>
      <c r="Q334" s="38" t="str">
        <f t="shared" si="5"/>
        <v>Weekend</v>
      </c>
    </row>
    <row r="335" spans="1:17">
      <c r="A335" s="1">
        <v>334</v>
      </c>
      <c r="B335" s="2">
        <v>40558</v>
      </c>
      <c r="C335" s="1">
        <v>1</v>
      </c>
      <c r="D335" s="1">
        <v>0</v>
      </c>
      <c r="E335" s="1">
        <v>1</v>
      </c>
      <c r="F335" s="1">
        <v>9</v>
      </c>
      <c r="G335" s="1" t="b">
        <v>0</v>
      </c>
      <c r="H335" s="1">
        <v>6</v>
      </c>
      <c r="I335" s="1">
        <v>1</v>
      </c>
      <c r="J335" s="1">
        <v>0.16</v>
      </c>
      <c r="K335" s="20">
        <v>0.18179999999999999</v>
      </c>
      <c r="L335" s="23">
        <v>0.64</v>
      </c>
      <c r="M335" s="23">
        <v>0.1343</v>
      </c>
      <c r="N335" s="23">
        <v>2</v>
      </c>
      <c r="O335" s="23">
        <v>31</v>
      </c>
      <c r="P335" s="24">
        <v>33</v>
      </c>
      <c r="Q335" s="38" t="str">
        <f t="shared" si="5"/>
        <v>Weekend</v>
      </c>
    </row>
    <row r="336" spans="1:17">
      <c r="A336" s="1">
        <v>335</v>
      </c>
      <c r="B336" s="2">
        <v>40558</v>
      </c>
      <c r="C336" s="1">
        <v>1</v>
      </c>
      <c r="D336" s="1">
        <v>0</v>
      </c>
      <c r="E336" s="1">
        <v>1</v>
      </c>
      <c r="F336" s="1">
        <v>10</v>
      </c>
      <c r="G336" s="1" t="b">
        <v>0</v>
      </c>
      <c r="H336" s="1">
        <v>6</v>
      </c>
      <c r="I336" s="1">
        <v>1</v>
      </c>
      <c r="J336" s="1">
        <v>0.18</v>
      </c>
      <c r="K336" s="19">
        <v>0.19700000000000001</v>
      </c>
      <c r="L336" s="21">
        <v>0.59</v>
      </c>
      <c r="M336" s="21">
        <v>0.16420000000000001</v>
      </c>
      <c r="N336" s="21">
        <v>2</v>
      </c>
      <c r="O336" s="21">
        <v>57</v>
      </c>
      <c r="P336" s="22">
        <v>59</v>
      </c>
      <c r="Q336" s="38" t="str">
        <f t="shared" si="5"/>
        <v>Weekend</v>
      </c>
    </row>
    <row r="337" spans="1:17">
      <c r="A337" s="1">
        <v>336</v>
      </c>
      <c r="B337" s="2">
        <v>40558</v>
      </c>
      <c r="C337" s="1">
        <v>1</v>
      </c>
      <c r="D337" s="1">
        <v>0</v>
      </c>
      <c r="E337" s="1">
        <v>1</v>
      </c>
      <c r="F337" s="1">
        <v>11</v>
      </c>
      <c r="G337" s="1" t="b">
        <v>0</v>
      </c>
      <c r="H337" s="1">
        <v>6</v>
      </c>
      <c r="I337" s="1">
        <v>1</v>
      </c>
      <c r="J337" s="1">
        <v>0.2</v>
      </c>
      <c r="K337" s="20">
        <v>0.19700000000000001</v>
      </c>
      <c r="L337" s="23">
        <v>0.55000000000000004</v>
      </c>
      <c r="M337" s="23">
        <v>0.22389999999999999</v>
      </c>
      <c r="N337" s="23">
        <v>18</v>
      </c>
      <c r="O337" s="23">
        <v>54</v>
      </c>
      <c r="P337" s="24">
        <v>72</v>
      </c>
      <c r="Q337" s="38" t="str">
        <f t="shared" si="5"/>
        <v>Weekend</v>
      </c>
    </row>
    <row r="338" spans="1:17">
      <c r="A338" s="1">
        <v>337</v>
      </c>
      <c r="B338" s="2">
        <v>40558</v>
      </c>
      <c r="C338" s="1">
        <v>1</v>
      </c>
      <c r="D338" s="1">
        <v>0</v>
      </c>
      <c r="E338" s="1">
        <v>1</v>
      </c>
      <c r="F338" s="1">
        <v>12</v>
      </c>
      <c r="G338" s="1" t="b">
        <v>0</v>
      </c>
      <c r="H338" s="1">
        <v>6</v>
      </c>
      <c r="I338" s="1">
        <v>1</v>
      </c>
      <c r="J338" s="1">
        <v>0.24</v>
      </c>
      <c r="K338" s="19">
        <v>0.2273</v>
      </c>
      <c r="L338" s="21">
        <v>0.48</v>
      </c>
      <c r="M338" s="21">
        <v>0.22389999999999999</v>
      </c>
      <c r="N338" s="21">
        <v>15</v>
      </c>
      <c r="O338" s="21">
        <v>74</v>
      </c>
      <c r="P338" s="22">
        <v>89</v>
      </c>
      <c r="Q338" s="38" t="str">
        <f t="shared" si="5"/>
        <v>Weekend</v>
      </c>
    </row>
    <row r="339" spans="1:17">
      <c r="A339" s="1">
        <v>338</v>
      </c>
      <c r="B339" s="2">
        <v>40558</v>
      </c>
      <c r="C339" s="1">
        <v>1</v>
      </c>
      <c r="D339" s="1">
        <v>0</v>
      </c>
      <c r="E339" s="1">
        <v>1</v>
      </c>
      <c r="F339" s="1">
        <v>13</v>
      </c>
      <c r="G339" s="1" t="b">
        <v>0</v>
      </c>
      <c r="H339" s="1">
        <v>6</v>
      </c>
      <c r="I339" s="1">
        <v>1</v>
      </c>
      <c r="J339" s="1">
        <v>0.28000000000000003</v>
      </c>
      <c r="K339" s="20">
        <v>0.2576</v>
      </c>
      <c r="L339" s="23">
        <v>0.38</v>
      </c>
      <c r="M339" s="23">
        <v>0.29849999999999999</v>
      </c>
      <c r="N339" s="23">
        <v>21</v>
      </c>
      <c r="O339" s="23">
        <v>80</v>
      </c>
      <c r="P339" s="24">
        <v>101</v>
      </c>
      <c r="Q339" s="38" t="str">
        <f t="shared" si="5"/>
        <v>Weekend</v>
      </c>
    </row>
    <row r="340" spans="1:17">
      <c r="A340" s="1">
        <v>339</v>
      </c>
      <c r="B340" s="2">
        <v>40558</v>
      </c>
      <c r="C340" s="1">
        <v>1</v>
      </c>
      <c r="D340" s="1">
        <v>0</v>
      </c>
      <c r="E340" s="1">
        <v>1</v>
      </c>
      <c r="F340" s="1">
        <v>14</v>
      </c>
      <c r="G340" s="1" t="b">
        <v>0</v>
      </c>
      <c r="H340" s="1">
        <v>6</v>
      </c>
      <c r="I340" s="1">
        <v>1</v>
      </c>
      <c r="J340" s="1">
        <v>0.3</v>
      </c>
      <c r="K340" s="19">
        <v>0.28789999999999999</v>
      </c>
      <c r="L340" s="21">
        <v>0.39</v>
      </c>
      <c r="M340" s="21">
        <v>0.28360000000000002</v>
      </c>
      <c r="N340" s="21">
        <v>26</v>
      </c>
      <c r="O340" s="21">
        <v>92</v>
      </c>
      <c r="P340" s="22">
        <v>118</v>
      </c>
      <c r="Q340" s="38" t="str">
        <f t="shared" si="5"/>
        <v>Weekend</v>
      </c>
    </row>
    <row r="341" spans="1:17">
      <c r="A341" s="1">
        <v>340</v>
      </c>
      <c r="B341" s="2">
        <v>40558</v>
      </c>
      <c r="C341" s="1">
        <v>1</v>
      </c>
      <c r="D341" s="1">
        <v>0</v>
      </c>
      <c r="E341" s="1">
        <v>1</v>
      </c>
      <c r="F341" s="1">
        <v>15</v>
      </c>
      <c r="G341" s="1" t="b">
        <v>0</v>
      </c>
      <c r="H341" s="1">
        <v>6</v>
      </c>
      <c r="I341" s="1">
        <v>2</v>
      </c>
      <c r="J341" s="1">
        <v>0.32</v>
      </c>
      <c r="K341" s="20">
        <v>0.31819999999999998</v>
      </c>
      <c r="L341" s="23">
        <v>0.36</v>
      </c>
      <c r="M341" s="23">
        <v>0.19400000000000001</v>
      </c>
      <c r="N341" s="23">
        <v>21</v>
      </c>
      <c r="O341" s="23">
        <v>108</v>
      </c>
      <c r="P341" s="24">
        <v>129</v>
      </c>
      <c r="Q341" s="38" t="str">
        <f t="shared" si="5"/>
        <v>Weekend</v>
      </c>
    </row>
    <row r="342" spans="1:17">
      <c r="A342" s="1">
        <v>341</v>
      </c>
      <c r="B342" s="2">
        <v>40558</v>
      </c>
      <c r="C342" s="1">
        <v>1</v>
      </c>
      <c r="D342" s="1">
        <v>0</v>
      </c>
      <c r="E342" s="1">
        <v>1</v>
      </c>
      <c r="F342" s="1">
        <v>16</v>
      </c>
      <c r="G342" s="1" t="b">
        <v>0</v>
      </c>
      <c r="H342" s="1">
        <v>6</v>
      </c>
      <c r="I342" s="1">
        <v>2</v>
      </c>
      <c r="J342" s="1">
        <v>0.34</v>
      </c>
      <c r="K342" s="19">
        <v>0.33329999999999999</v>
      </c>
      <c r="L342" s="21">
        <v>0.34</v>
      </c>
      <c r="M342" s="21">
        <v>0.19400000000000001</v>
      </c>
      <c r="N342" s="21">
        <v>33</v>
      </c>
      <c r="O342" s="21">
        <v>95</v>
      </c>
      <c r="P342" s="22">
        <v>128</v>
      </c>
      <c r="Q342" s="38" t="str">
        <f t="shared" si="5"/>
        <v>Weekend</v>
      </c>
    </row>
    <row r="343" spans="1:17">
      <c r="A343" s="1">
        <v>342</v>
      </c>
      <c r="B343" s="2">
        <v>40558</v>
      </c>
      <c r="C343" s="1">
        <v>1</v>
      </c>
      <c r="D343" s="1">
        <v>0</v>
      </c>
      <c r="E343" s="1">
        <v>1</v>
      </c>
      <c r="F343" s="1">
        <v>17</v>
      </c>
      <c r="G343" s="1" t="b">
        <v>0</v>
      </c>
      <c r="H343" s="1">
        <v>6</v>
      </c>
      <c r="I343" s="1">
        <v>2</v>
      </c>
      <c r="J343" s="1">
        <v>0.32</v>
      </c>
      <c r="K343" s="20">
        <v>0.30299999999999999</v>
      </c>
      <c r="L343" s="23">
        <v>0.36</v>
      </c>
      <c r="M343" s="23">
        <v>0.28360000000000002</v>
      </c>
      <c r="N343" s="23">
        <v>29</v>
      </c>
      <c r="O343" s="23">
        <v>54</v>
      </c>
      <c r="P343" s="24">
        <v>83</v>
      </c>
      <c r="Q343" s="38" t="str">
        <f t="shared" si="5"/>
        <v>Weekend</v>
      </c>
    </row>
    <row r="344" spans="1:17">
      <c r="A344" s="1">
        <v>343</v>
      </c>
      <c r="B344" s="2">
        <v>40558</v>
      </c>
      <c r="C344" s="1">
        <v>1</v>
      </c>
      <c r="D344" s="1">
        <v>0</v>
      </c>
      <c r="E344" s="1">
        <v>1</v>
      </c>
      <c r="F344" s="1">
        <v>18</v>
      </c>
      <c r="G344" s="1" t="b">
        <v>0</v>
      </c>
      <c r="H344" s="1">
        <v>6</v>
      </c>
      <c r="I344" s="1">
        <v>2</v>
      </c>
      <c r="J344" s="1">
        <v>0.3</v>
      </c>
      <c r="K344" s="19">
        <v>0.28789999999999999</v>
      </c>
      <c r="L344" s="21">
        <v>0.45</v>
      </c>
      <c r="M344" s="21">
        <v>0.25369999999999998</v>
      </c>
      <c r="N344" s="21">
        <v>15</v>
      </c>
      <c r="O344" s="21">
        <v>69</v>
      </c>
      <c r="P344" s="22">
        <v>84</v>
      </c>
      <c r="Q344" s="38" t="str">
        <f t="shared" si="5"/>
        <v>Weekend</v>
      </c>
    </row>
    <row r="345" spans="1:17">
      <c r="A345" s="1">
        <v>344</v>
      </c>
      <c r="B345" s="2">
        <v>40558</v>
      </c>
      <c r="C345" s="1">
        <v>1</v>
      </c>
      <c r="D345" s="1">
        <v>0</v>
      </c>
      <c r="E345" s="1">
        <v>1</v>
      </c>
      <c r="F345" s="1">
        <v>19</v>
      </c>
      <c r="G345" s="1" t="b">
        <v>0</v>
      </c>
      <c r="H345" s="1">
        <v>6</v>
      </c>
      <c r="I345" s="1">
        <v>2</v>
      </c>
      <c r="J345" s="1">
        <v>0.32</v>
      </c>
      <c r="K345" s="20">
        <v>0.30299999999999999</v>
      </c>
      <c r="L345" s="23">
        <v>0.39</v>
      </c>
      <c r="M345" s="23">
        <v>0.25369999999999998</v>
      </c>
      <c r="N345" s="23">
        <v>14</v>
      </c>
      <c r="O345" s="23">
        <v>60</v>
      </c>
      <c r="P345" s="24">
        <v>74</v>
      </c>
      <c r="Q345" s="38" t="str">
        <f t="shared" si="5"/>
        <v>Weekend</v>
      </c>
    </row>
    <row r="346" spans="1:17">
      <c r="A346" s="1">
        <v>345</v>
      </c>
      <c r="B346" s="2">
        <v>40558</v>
      </c>
      <c r="C346" s="1">
        <v>1</v>
      </c>
      <c r="D346" s="1">
        <v>0</v>
      </c>
      <c r="E346" s="1">
        <v>1</v>
      </c>
      <c r="F346" s="1">
        <v>20</v>
      </c>
      <c r="G346" s="1" t="b">
        <v>0</v>
      </c>
      <c r="H346" s="1">
        <v>6</v>
      </c>
      <c r="I346" s="1">
        <v>2</v>
      </c>
      <c r="J346" s="1">
        <v>0.32</v>
      </c>
      <c r="K346" s="19">
        <v>0.30299999999999999</v>
      </c>
      <c r="L346" s="21">
        <v>0.39</v>
      </c>
      <c r="M346" s="21">
        <v>0.25369999999999998</v>
      </c>
      <c r="N346" s="21">
        <v>6</v>
      </c>
      <c r="O346" s="21">
        <v>35</v>
      </c>
      <c r="P346" s="22">
        <v>41</v>
      </c>
      <c r="Q346" s="38" t="str">
        <f t="shared" si="5"/>
        <v>Weekend</v>
      </c>
    </row>
    <row r="347" spans="1:17">
      <c r="A347" s="1">
        <v>346</v>
      </c>
      <c r="B347" s="2">
        <v>40558</v>
      </c>
      <c r="C347" s="1">
        <v>1</v>
      </c>
      <c r="D347" s="1">
        <v>0</v>
      </c>
      <c r="E347" s="1">
        <v>1</v>
      </c>
      <c r="F347" s="1">
        <v>21</v>
      </c>
      <c r="G347" s="1" t="b">
        <v>0</v>
      </c>
      <c r="H347" s="1">
        <v>6</v>
      </c>
      <c r="I347" s="1">
        <v>2</v>
      </c>
      <c r="J347" s="1">
        <v>0.32</v>
      </c>
      <c r="K347" s="20">
        <v>0.30299999999999999</v>
      </c>
      <c r="L347" s="23">
        <v>0.39</v>
      </c>
      <c r="M347" s="23">
        <v>0.22389999999999999</v>
      </c>
      <c r="N347" s="23">
        <v>6</v>
      </c>
      <c r="O347" s="23">
        <v>51</v>
      </c>
      <c r="P347" s="24">
        <v>57</v>
      </c>
      <c r="Q347" s="38" t="str">
        <f t="shared" si="5"/>
        <v>Weekend</v>
      </c>
    </row>
    <row r="348" spans="1:17">
      <c r="A348" s="1">
        <v>347</v>
      </c>
      <c r="B348" s="2">
        <v>40558</v>
      </c>
      <c r="C348" s="1">
        <v>1</v>
      </c>
      <c r="D348" s="1">
        <v>0</v>
      </c>
      <c r="E348" s="1">
        <v>1</v>
      </c>
      <c r="F348" s="1">
        <v>22</v>
      </c>
      <c r="G348" s="1" t="b">
        <v>0</v>
      </c>
      <c r="H348" s="1">
        <v>6</v>
      </c>
      <c r="I348" s="1">
        <v>2</v>
      </c>
      <c r="J348" s="1">
        <v>0.3</v>
      </c>
      <c r="K348" s="19">
        <v>0.31819999999999998</v>
      </c>
      <c r="L348" s="21">
        <v>0.42</v>
      </c>
      <c r="M348" s="21">
        <v>0.1045</v>
      </c>
      <c r="N348" s="21">
        <v>0</v>
      </c>
      <c r="O348" s="21">
        <v>26</v>
      </c>
      <c r="P348" s="22">
        <v>26</v>
      </c>
      <c r="Q348" s="38" t="str">
        <f t="shared" si="5"/>
        <v>Weekend</v>
      </c>
    </row>
    <row r="349" spans="1:17">
      <c r="A349" s="1">
        <v>348</v>
      </c>
      <c r="B349" s="2">
        <v>40558</v>
      </c>
      <c r="C349" s="1">
        <v>1</v>
      </c>
      <c r="D349" s="1">
        <v>0</v>
      </c>
      <c r="E349" s="1">
        <v>1</v>
      </c>
      <c r="F349" s="1">
        <v>23</v>
      </c>
      <c r="G349" s="1" t="b">
        <v>0</v>
      </c>
      <c r="H349" s="1">
        <v>6</v>
      </c>
      <c r="I349" s="1">
        <v>1</v>
      </c>
      <c r="J349" s="1">
        <v>0.3</v>
      </c>
      <c r="K349" s="20">
        <v>0.28789999999999999</v>
      </c>
      <c r="L349" s="23">
        <v>0.45</v>
      </c>
      <c r="M349" s="23">
        <v>0.28360000000000002</v>
      </c>
      <c r="N349" s="23">
        <v>5</v>
      </c>
      <c r="O349" s="23">
        <v>39</v>
      </c>
      <c r="P349" s="24">
        <v>44</v>
      </c>
      <c r="Q349" s="38" t="str">
        <f t="shared" si="5"/>
        <v>Weekend</v>
      </c>
    </row>
    <row r="350" spans="1:17">
      <c r="A350" s="1">
        <v>349</v>
      </c>
      <c r="B350" s="2">
        <v>40559</v>
      </c>
      <c r="C350" s="1">
        <v>1</v>
      </c>
      <c r="D350" s="1">
        <v>0</v>
      </c>
      <c r="E350" s="1">
        <v>1</v>
      </c>
      <c r="F350" s="1">
        <v>0</v>
      </c>
      <c r="G350" s="1" t="b">
        <v>0</v>
      </c>
      <c r="H350" s="1">
        <v>0</v>
      </c>
      <c r="I350" s="1">
        <v>1</v>
      </c>
      <c r="J350" s="1">
        <v>0.26</v>
      </c>
      <c r="K350" s="19">
        <v>0.30299999999999999</v>
      </c>
      <c r="L350" s="21">
        <v>0.56000000000000005</v>
      </c>
      <c r="M350" s="21">
        <v>0</v>
      </c>
      <c r="N350" s="21">
        <v>6</v>
      </c>
      <c r="O350" s="21">
        <v>33</v>
      </c>
      <c r="P350" s="22">
        <v>39</v>
      </c>
      <c r="Q350" s="38" t="str">
        <f t="shared" si="5"/>
        <v>Weekday</v>
      </c>
    </row>
    <row r="351" spans="1:17">
      <c r="A351" s="1">
        <v>350</v>
      </c>
      <c r="B351" s="2">
        <v>40559</v>
      </c>
      <c r="C351" s="1">
        <v>1</v>
      </c>
      <c r="D351" s="1">
        <v>0</v>
      </c>
      <c r="E351" s="1">
        <v>1</v>
      </c>
      <c r="F351" s="1">
        <v>1</v>
      </c>
      <c r="G351" s="1" t="b">
        <v>0</v>
      </c>
      <c r="H351" s="1">
        <v>0</v>
      </c>
      <c r="I351" s="1">
        <v>1</v>
      </c>
      <c r="J351" s="1">
        <v>0.26</v>
      </c>
      <c r="K351" s="20">
        <v>0.2727</v>
      </c>
      <c r="L351" s="23">
        <v>0.56000000000000005</v>
      </c>
      <c r="M351" s="23">
        <v>0.1343</v>
      </c>
      <c r="N351" s="23">
        <v>4</v>
      </c>
      <c r="O351" s="23">
        <v>19</v>
      </c>
      <c r="P351" s="24">
        <v>23</v>
      </c>
      <c r="Q351" s="38" t="str">
        <f t="shared" si="5"/>
        <v>Weekday</v>
      </c>
    </row>
    <row r="352" spans="1:17">
      <c r="A352" s="1">
        <v>351</v>
      </c>
      <c r="B352" s="2">
        <v>40559</v>
      </c>
      <c r="C352" s="1">
        <v>1</v>
      </c>
      <c r="D352" s="1">
        <v>0</v>
      </c>
      <c r="E352" s="1">
        <v>1</v>
      </c>
      <c r="F352" s="1">
        <v>2</v>
      </c>
      <c r="G352" s="1" t="b">
        <v>0</v>
      </c>
      <c r="H352" s="1">
        <v>0</v>
      </c>
      <c r="I352" s="1">
        <v>1</v>
      </c>
      <c r="J352" s="1">
        <v>0.26</v>
      </c>
      <c r="K352" s="19">
        <v>0.28789999999999999</v>
      </c>
      <c r="L352" s="21">
        <v>0.56000000000000005</v>
      </c>
      <c r="M352" s="21">
        <v>8.9599999999999999E-2</v>
      </c>
      <c r="N352" s="21">
        <v>3</v>
      </c>
      <c r="O352" s="21">
        <v>13</v>
      </c>
      <c r="P352" s="22">
        <v>16</v>
      </c>
      <c r="Q352" s="38" t="str">
        <f t="shared" si="5"/>
        <v>Weekday</v>
      </c>
    </row>
    <row r="353" spans="1:17">
      <c r="A353" s="1">
        <v>352</v>
      </c>
      <c r="B353" s="2">
        <v>40559</v>
      </c>
      <c r="C353" s="1">
        <v>1</v>
      </c>
      <c r="D353" s="1">
        <v>0</v>
      </c>
      <c r="E353" s="1">
        <v>1</v>
      </c>
      <c r="F353" s="1">
        <v>3</v>
      </c>
      <c r="G353" s="1" t="b">
        <v>0</v>
      </c>
      <c r="H353" s="1">
        <v>0</v>
      </c>
      <c r="I353" s="1">
        <v>1</v>
      </c>
      <c r="J353" s="1">
        <v>0.22</v>
      </c>
      <c r="K353" s="20">
        <v>0.2727</v>
      </c>
      <c r="L353" s="23">
        <v>0.69</v>
      </c>
      <c r="M353" s="23">
        <v>0</v>
      </c>
      <c r="N353" s="23">
        <v>9</v>
      </c>
      <c r="O353" s="23">
        <v>6</v>
      </c>
      <c r="P353" s="24">
        <v>15</v>
      </c>
      <c r="Q353" s="38" t="str">
        <f t="shared" si="5"/>
        <v>Weekday</v>
      </c>
    </row>
    <row r="354" spans="1:17">
      <c r="A354" s="1">
        <v>353</v>
      </c>
      <c r="B354" s="2">
        <v>40559</v>
      </c>
      <c r="C354" s="1">
        <v>1</v>
      </c>
      <c r="D354" s="1">
        <v>0</v>
      </c>
      <c r="E354" s="1">
        <v>1</v>
      </c>
      <c r="F354" s="1">
        <v>4</v>
      </c>
      <c r="G354" s="1" t="b">
        <v>0</v>
      </c>
      <c r="H354" s="1">
        <v>0</v>
      </c>
      <c r="I354" s="1">
        <v>1</v>
      </c>
      <c r="J354" s="1">
        <v>0.26</v>
      </c>
      <c r="K354" s="19">
        <v>0.2576</v>
      </c>
      <c r="L354" s="21">
        <v>0.56000000000000005</v>
      </c>
      <c r="M354" s="21">
        <v>0.16420000000000001</v>
      </c>
      <c r="N354" s="21">
        <v>0</v>
      </c>
      <c r="O354" s="21">
        <v>1</v>
      </c>
      <c r="P354" s="22">
        <v>1</v>
      </c>
      <c r="Q354" s="38" t="str">
        <f t="shared" si="5"/>
        <v>Weekday</v>
      </c>
    </row>
    <row r="355" spans="1:17">
      <c r="A355" s="1">
        <v>354</v>
      </c>
      <c r="B355" s="2">
        <v>40559</v>
      </c>
      <c r="C355" s="1">
        <v>1</v>
      </c>
      <c r="D355" s="1">
        <v>0</v>
      </c>
      <c r="E355" s="1">
        <v>1</v>
      </c>
      <c r="F355" s="1">
        <v>5</v>
      </c>
      <c r="G355" s="1" t="b">
        <v>0</v>
      </c>
      <c r="H355" s="1">
        <v>0</v>
      </c>
      <c r="I355" s="1">
        <v>2</v>
      </c>
      <c r="J355" s="1">
        <v>0.26</v>
      </c>
      <c r="K355" s="20">
        <v>0.2576</v>
      </c>
      <c r="L355" s="23">
        <v>0.56000000000000005</v>
      </c>
      <c r="M355" s="23">
        <v>0.16420000000000001</v>
      </c>
      <c r="N355" s="23">
        <v>1</v>
      </c>
      <c r="O355" s="23">
        <v>1</v>
      </c>
      <c r="P355" s="24">
        <v>2</v>
      </c>
      <c r="Q355" s="38" t="str">
        <f t="shared" si="5"/>
        <v>Weekday</v>
      </c>
    </row>
    <row r="356" spans="1:17">
      <c r="A356" s="1">
        <v>355</v>
      </c>
      <c r="B356" s="2">
        <v>40559</v>
      </c>
      <c r="C356" s="1">
        <v>1</v>
      </c>
      <c r="D356" s="1">
        <v>0</v>
      </c>
      <c r="E356" s="1">
        <v>1</v>
      </c>
      <c r="F356" s="1">
        <v>6</v>
      </c>
      <c r="G356" s="1" t="b">
        <v>0</v>
      </c>
      <c r="H356" s="1">
        <v>0</v>
      </c>
      <c r="I356" s="1">
        <v>2</v>
      </c>
      <c r="J356" s="1">
        <v>0.26</v>
      </c>
      <c r="K356" s="19">
        <v>0.2576</v>
      </c>
      <c r="L356" s="21">
        <v>0.56000000000000005</v>
      </c>
      <c r="M356" s="21">
        <v>0.16420000000000001</v>
      </c>
      <c r="N356" s="21">
        <v>0</v>
      </c>
      <c r="O356" s="21">
        <v>1</v>
      </c>
      <c r="P356" s="22">
        <v>1</v>
      </c>
      <c r="Q356" s="38" t="str">
        <f t="shared" si="5"/>
        <v>Weekday</v>
      </c>
    </row>
    <row r="357" spans="1:17">
      <c r="A357" s="1">
        <v>356</v>
      </c>
      <c r="B357" s="2">
        <v>40559</v>
      </c>
      <c r="C357" s="1">
        <v>1</v>
      </c>
      <c r="D357" s="1">
        <v>0</v>
      </c>
      <c r="E357" s="1">
        <v>1</v>
      </c>
      <c r="F357" s="1">
        <v>7</v>
      </c>
      <c r="G357" s="1" t="b">
        <v>0</v>
      </c>
      <c r="H357" s="1">
        <v>0</v>
      </c>
      <c r="I357" s="1">
        <v>2</v>
      </c>
      <c r="J357" s="1">
        <v>0.24</v>
      </c>
      <c r="K357" s="20">
        <v>0.21210000000000001</v>
      </c>
      <c r="L357" s="23">
        <v>0.56000000000000005</v>
      </c>
      <c r="M357" s="23">
        <v>0.29849999999999999</v>
      </c>
      <c r="N357" s="23">
        <v>0</v>
      </c>
      <c r="O357" s="23">
        <v>3</v>
      </c>
      <c r="P357" s="24">
        <v>3</v>
      </c>
      <c r="Q357" s="38" t="str">
        <f t="shared" si="5"/>
        <v>Weekday</v>
      </c>
    </row>
    <row r="358" spans="1:17">
      <c r="A358" s="1">
        <v>357</v>
      </c>
      <c r="B358" s="2">
        <v>40559</v>
      </c>
      <c r="C358" s="1">
        <v>1</v>
      </c>
      <c r="D358" s="1">
        <v>0</v>
      </c>
      <c r="E358" s="1">
        <v>1</v>
      </c>
      <c r="F358" s="1">
        <v>8</v>
      </c>
      <c r="G358" s="1" t="b">
        <v>0</v>
      </c>
      <c r="H358" s="1">
        <v>0</v>
      </c>
      <c r="I358" s="1">
        <v>1</v>
      </c>
      <c r="J358" s="1">
        <v>0.22</v>
      </c>
      <c r="K358" s="19">
        <v>0.21210000000000001</v>
      </c>
      <c r="L358" s="21">
        <v>0.55000000000000004</v>
      </c>
      <c r="M358" s="21">
        <v>0.28360000000000002</v>
      </c>
      <c r="N358" s="21">
        <v>0</v>
      </c>
      <c r="O358" s="21">
        <v>18</v>
      </c>
      <c r="P358" s="22">
        <v>18</v>
      </c>
      <c r="Q358" s="38" t="str">
        <f t="shared" si="5"/>
        <v>Weekday</v>
      </c>
    </row>
    <row r="359" spans="1:17">
      <c r="A359" s="1">
        <v>358</v>
      </c>
      <c r="B359" s="2">
        <v>40559</v>
      </c>
      <c r="C359" s="1">
        <v>1</v>
      </c>
      <c r="D359" s="1">
        <v>0</v>
      </c>
      <c r="E359" s="1">
        <v>1</v>
      </c>
      <c r="F359" s="1">
        <v>9</v>
      </c>
      <c r="G359" s="1" t="b">
        <v>0</v>
      </c>
      <c r="H359" s="1">
        <v>0</v>
      </c>
      <c r="I359" s="1">
        <v>1</v>
      </c>
      <c r="J359" s="1">
        <v>0.22</v>
      </c>
      <c r="K359" s="20">
        <v>0.21210000000000001</v>
      </c>
      <c r="L359" s="23">
        <v>0.51</v>
      </c>
      <c r="M359" s="23">
        <v>0.25369999999999998</v>
      </c>
      <c r="N359" s="23">
        <v>3</v>
      </c>
      <c r="O359" s="23">
        <v>29</v>
      </c>
      <c r="P359" s="24">
        <v>32</v>
      </c>
      <c r="Q359" s="38" t="str">
        <f t="shared" si="5"/>
        <v>Weekday</v>
      </c>
    </row>
    <row r="360" spans="1:17">
      <c r="A360" s="1">
        <v>359</v>
      </c>
      <c r="B360" s="2">
        <v>40559</v>
      </c>
      <c r="C360" s="1">
        <v>1</v>
      </c>
      <c r="D360" s="1">
        <v>0</v>
      </c>
      <c r="E360" s="1">
        <v>1</v>
      </c>
      <c r="F360" s="1">
        <v>10</v>
      </c>
      <c r="G360" s="1" t="b">
        <v>0</v>
      </c>
      <c r="H360" s="1">
        <v>0</v>
      </c>
      <c r="I360" s="1">
        <v>1</v>
      </c>
      <c r="J360" s="1">
        <v>0.22</v>
      </c>
      <c r="K360" s="19">
        <v>0.21210000000000001</v>
      </c>
      <c r="L360" s="21">
        <v>0.51</v>
      </c>
      <c r="M360" s="21">
        <v>0.28360000000000002</v>
      </c>
      <c r="N360" s="21">
        <v>8</v>
      </c>
      <c r="O360" s="21">
        <v>71</v>
      </c>
      <c r="P360" s="22">
        <v>79</v>
      </c>
      <c r="Q360" s="38" t="str">
        <f t="shared" si="5"/>
        <v>Weekday</v>
      </c>
    </row>
    <row r="361" spans="1:17">
      <c r="A361" s="1">
        <v>360</v>
      </c>
      <c r="B361" s="2">
        <v>40559</v>
      </c>
      <c r="C361" s="1">
        <v>1</v>
      </c>
      <c r="D361" s="1">
        <v>0</v>
      </c>
      <c r="E361" s="1">
        <v>1</v>
      </c>
      <c r="F361" s="1">
        <v>11</v>
      </c>
      <c r="G361" s="1" t="b">
        <v>0</v>
      </c>
      <c r="H361" s="1">
        <v>0</v>
      </c>
      <c r="I361" s="1">
        <v>1</v>
      </c>
      <c r="J361" s="1">
        <v>0.24</v>
      </c>
      <c r="K361" s="20">
        <v>0.2273</v>
      </c>
      <c r="L361" s="23">
        <v>0.44</v>
      </c>
      <c r="M361" s="23">
        <v>0.25369999999999998</v>
      </c>
      <c r="N361" s="23">
        <v>23</v>
      </c>
      <c r="O361" s="23">
        <v>70</v>
      </c>
      <c r="P361" s="24">
        <v>93</v>
      </c>
      <c r="Q361" s="38" t="str">
        <f t="shared" si="5"/>
        <v>Weekday</v>
      </c>
    </row>
    <row r="362" spans="1:17">
      <c r="A362" s="1">
        <v>361</v>
      </c>
      <c r="B362" s="2">
        <v>40559</v>
      </c>
      <c r="C362" s="1">
        <v>1</v>
      </c>
      <c r="D362" s="1">
        <v>0</v>
      </c>
      <c r="E362" s="1">
        <v>1</v>
      </c>
      <c r="F362" s="1">
        <v>12</v>
      </c>
      <c r="G362" s="1" t="b">
        <v>0</v>
      </c>
      <c r="H362" s="1">
        <v>0</v>
      </c>
      <c r="I362" s="1">
        <v>1</v>
      </c>
      <c r="J362" s="1">
        <v>0.24</v>
      </c>
      <c r="K362" s="19">
        <v>0.21210000000000001</v>
      </c>
      <c r="L362" s="21">
        <v>0.41</v>
      </c>
      <c r="M362" s="21">
        <v>0.28360000000000002</v>
      </c>
      <c r="N362" s="21">
        <v>29</v>
      </c>
      <c r="O362" s="21">
        <v>75</v>
      </c>
      <c r="P362" s="22">
        <v>104</v>
      </c>
      <c r="Q362" s="38" t="str">
        <f t="shared" si="5"/>
        <v>Weekday</v>
      </c>
    </row>
    <row r="363" spans="1:17">
      <c r="A363" s="1">
        <v>362</v>
      </c>
      <c r="B363" s="2">
        <v>40559</v>
      </c>
      <c r="C363" s="1">
        <v>1</v>
      </c>
      <c r="D363" s="1">
        <v>0</v>
      </c>
      <c r="E363" s="1">
        <v>1</v>
      </c>
      <c r="F363" s="1">
        <v>13</v>
      </c>
      <c r="G363" s="1" t="b">
        <v>0</v>
      </c>
      <c r="H363" s="1">
        <v>0</v>
      </c>
      <c r="I363" s="1">
        <v>1</v>
      </c>
      <c r="J363" s="1">
        <v>0.26</v>
      </c>
      <c r="K363" s="20">
        <v>0.2273</v>
      </c>
      <c r="L363" s="23">
        <v>0.35</v>
      </c>
      <c r="M363" s="23">
        <v>0.29849999999999999</v>
      </c>
      <c r="N363" s="23">
        <v>23</v>
      </c>
      <c r="O363" s="23">
        <v>95</v>
      </c>
      <c r="P363" s="24">
        <v>118</v>
      </c>
      <c r="Q363" s="38" t="str">
        <f t="shared" si="5"/>
        <v>Weekday</v>
      </c>
    </row>
    <row r="364" spans="1:17">
      <c r="A364" s="1">
        <v>363</v>
      </c>
      <c r="B364" s="2">
        <v>40559</v>
      </c>
      <c r="C364" s="1">
        <v>1</v>
      </c>
      <c r="D364" s="1">
        <v>0</v>
      </c>
      <c r="E364" s="1">
        <v>1</v>
      </c>
      <c r="F364" s="1">
        <v>14</v>
      </c>
      <c r="G364" s="1" t="b">
        <v>0</v>
      </c>
      <c r="H364" s="1">
        <v>0</v>
      </c>
      <c r="I364" s="1">
        <v>1</v>
      </c>
      <c r="J364" s="1">
        <v>0.28000000000000003</v>
      </c>
      <c r="K364" s="19">
        <v>0.2727</v>
      </c>
      <c r="L364" s="21">
        <v>0.36</v>
      </c>
      <c r="M364" s="21">
        <v>0.25369999999999998</v>
      </c>
      <c r="N364" s="21">
        <v>22</v>
      </c>
      <c r="O364" s="21">
        <v>69</v>
      </c>
      <c r="P364" s="22">
        <v>91</v>
      </c>
      <c r="Q364" s="38" t="str">
        <f t="shared" si="5"/>
        <v>Weekday</v>
      </c>
    </row>
    <row r="365" spans="1:17">
      <c r="A365" s="1">
        <v>364</v>
      </c>
      <c r="B365" s="2">
        <v>40559</v>
      </c>
      <c r="C365" s="1">
        <v>1</v>
      </c>
      <c r="D365" s="1">
        <v>0</v>
      </c>
      <c r="E365" s="1">
        <v>1</v>
      </c>
      <c r="F365" s="1">
        <v>15</v>
      </c>
      <c r="G365" s="1" t="b">
        <v>0</v>
      </c>
      <c r="H365" s="1">
        <v>0</v>
      </c>
      <c r="I365" s="1">
        <v>1</v>
      </c>
      <c r="J365" s="1">
        <v>0.26</v>
      </c>
      <c r="K365" s="20">
        <v>0.2424</v>
      </c>
      <c r="L365" s="23">
        <v>0.38</v>
      </c>
      <c r="M365" s="23">
        <v>0.25369999999999998</v>
      </c>
      <c r="N365" s="23">
        <v>35</v>
      </c>
      <c r="O365" s="23">
        <v>78</v>
      </c>
      <c r="P365" s="24">
        <v>113</v>
      </c>
      <c r="Q365" s="38" t="str">
        <f t="shared" si="5"/>
        <v>Weekday</v>
      </c>
    </row>
    <row r="366" spans="1:17">
      <c r="A366" s="1">
        <v>365</v>
      </c>
      <c r="B366" s="2">
        <v>40559</v>
      </c>
      <c r="C366" s="1">
        <v>1</v>
      </c>
      <c r="D366" s="1">
        <v>0</v>
      </c>
      <c r="E366" s="1">
        <v>1</v>
      </c>
      <c r="F366" s="1">
        <v>16</v>
      </c>
      <c r="G366" s="1" t="b">
        <v>0</v>
      </c>
      <c r="H366" s="1">
        <v>0</v>
      </c>
      <c r="I366" s="1">
        <v>1</v>
      </c>
      <c r="J366" s="1">
        <v>0.24</v>
      </c>
      <c r="K366" s="19">
        <v>0.2273</v>
      </c>
      <c r="L366" s="21">
        <v>0.38</v>
      </c>
      <c r="M366" s="21">
        <v>0.22389999999999999</v>
      </c>
      <c r="N366" s="21">
        <v>22</v>
      </c>
      <c r="O366" s="21">
        <v>77</v>
      </c>
      <c r="P366" s="22">
        <v>99</v>
      </c>
      <c r="Q366" s="38" t="str">
        <f t="shared" si="5"/>
        <v>Weekday</v>
      </c>
    </row>
    <row r="367" spans="1:17">
      <c r="A367" s="1">
        <v>366</v>
      </c>
      <c r="B367" s="2">
        <v>40559</v>
      </c>
      <c r="C367" s="1">
        <v>1</v>
      </c>
      <c r="D367" s="1">
        <v>0</v>
      </c>
      <c r="E367" s="1">
        <v>1</v>
      </c>
      <c r="F367" s="1">
        <v>17</v>
      </c>
      <c r="G367" s="1" t="b">
        <v>0</v>
      </c>
      <c r="H367" s="1">
        <v>0</v>
      </c>
      <c r="I367" s="1">
        <v>1</v>
      </c>
      <c r="J367" s="1">
        <v>0.22</v>
      </c>
      <c r="K367" s="20">
        <v>0.21210000000000001</v>
      </c>
      <c r="L367" s="23">
        <v>0.37</v>
      </c>
      <c r="M367" s="23">
        <v>0.25369999999999998</v>
      </c>
      <c r="N367" s="23">
        <v>23</v>
      </c>
      <c r="O367" s="23">
        <v>82</v>
      </c>
      <c r="P367" s="24">
        <v>105</v>
      </c>
      <c r="Q367" s="38" t="str">
        <f t="shared" si="5"/>
        <v>Weekday</v>
      </c>
    </row>
    <row r="368" spans="1:17">
      <c r="A368" s="1">
        <v>367</v>
      </c>
      <c r="B368" s="2">
        <v>40559</v>
      </c>
      <c r="C368" s="1">
        <v>1</v>
      </c>
      <c r="D368" s="1">
        <v>0</v>
      </c>
      <c r="E368" s="1">
        <v>1</v>
      </c>
      <c r="F368" s="1">
        <v>18</v>
      </c>
      <c r="G368" s="1" t="b">
        <v>0</v>
      </c>
      <c r="H368" s="1">
        <v>0</v>
      </c>
      <c r="I368" s="1">
        <v>1</v>
      </c>
      <c r="J368" s="1">
        <v>0.2</v>
      </c>
      <c r="K368" s="19">
        <v>0.21210000000000001</v>
      </c>
      <c r="L368" s="21">
        <v>0.4</v>
      </c>
      <c r="M368" s="21">
        <v>0.16420000000000001</v>
      </c>
      <c r="N368" s="21">
        <v>11</v>
      </c>
      <c r="O368" s="21">
        <v>56</v>
      </c>
      <c r="P368" s="22">
        <v>67</v>
      </c>
      <c r="Q368" s="38" t="str">
        <f t="shared" si="5"/>
        <v>Weekday</v>
      </c>
    </row>
    <row r="369" spans="1:17">
      <c r="A369" s="1">
        <v>368</v>
      </c>
      <c r="B369" s="2">
        <v>40559</v>
      </c>
      <c r="C369" s="1">
        <v>1</v>
      </c>
      <c r="D369" s="1">
        <v>0</v>
      </c>
      <c r="E369" s="1">
        <v>1</v>
      </c>
      <c r="F369" s="1">
        <v>19</v>
      </c>
      <c r="G369" s="1" t="b">
        <v>0</v>
      </c>
      <c r="H369" s="1">
        <v>0</v>
      </c>
      <c r="I369" s="1">
        <v>1</v>
      </c>
      <c r="J369" s="1">
        <v>0.18</v>
      </c>
      <c r="K369" s="20">
        <v>0.19700000000000001</v>
      </c>
      <c r="L369" s="23">
        <v>0.47</v>
      </c>
      <c r="M369" s="23">
        <v>0.1343</v>
      </c>
      <c r="N369" s="23">
        <v>14</v>
      </c>
      <c r="O369" s="23">
        <v>47</v>
      </c>
      <c r="P369" s="24">
        <v>61</v>
      </c>
      <c r="Q369" s="38" t="str">
        <f t="shared" si="5"/>
        <v>Weekday</v>
      </c>
    </row>
    <row r="370" spans="1:17">
      <c r="A370" s="1">
        <v>369</v>
      </c>
      <c r="B370" s="2">
        <v>40559</v>
      </c>
      <c r="C370" s="1">
        <v>1</v>
      </c>
      <c r="D370" s="1">
        <v>0</v>
      </c>
      <c r="E370" s="1">
        <v>1</v>
      </c>
      <c r="F370" s="1">
        <v>20</v>
      </c>
      <c r="G370" s="1" t="b">
        <v>0</v>
      </c>
      <c r="H370" s="1">
        <v>0</v>
      </c>
      <c r="I370" s="1">
        <v>1</v>
      </c>
      <c r="J370" s="1">
        <v>0.18</v>
      </c>
      <c r="K370" s="19">
        <v>0.19700000000000001</v>
      </c>
      <c r="L370" s="21">
        <v>0.47</v>
      </c>
      <c r="M370" s="21">
        <v>0.16420000000000001</v>
      </c>
      <c r="N370" s="21">
        <v>7</v>
      </c>
      <c r="O370" s="21">
        <v>50</v>
      </c>
      <c r="P370" s="22">
        <v>57</v>
      </c>
      <c r="Q370" s="38" t="str">
        <f t="shared" si="5"/>
        <v>Weekday</v>
      </c>
    </row>
    <row r="371" spans="1:17">
      <c r="A371" s="1">
        <v>370</v>
      </c>
      <c r="B371" s="2">
        <v>40559</v>
      </c>
      <c r="C371" s="1">
        <v>1</v>
      </c>
      <c r="D371" s="1">
        <v>0</v>
      </c>
      <c r="E371" s="1">
        <v>1</v>
      </c>
      <c r="F371" s="1">
        <v>21</v>
      </c>
      <c r="G371" s="1" t="b">
        <v>0</v>
      </c>
      <c r="H371" s="1">
        <v>0</v>
      </c>
      <c r="I371" s="1">
        <v>1</v>
      </c>
      <c r="J371" s="1">
        <v>0.18</v>
      </c>
      <c r="K371" s="20">
        <v>0.19700000000000001</v>
      </c>
      <c r="L371" s="23">
        <v>0.51</v>
      </c>
      <c r="M371" s="23">
        <v>0.16420000000000001</v>
      </c>
      <c r="N371" s="23">
        <v>6</v>
      </c>
      <c r="O371" s="23">
        <v>22</v>
      </c>
      <c r="P371" s="24">
        <v>28</v>
      </c>
      <c r="Q371" s="38" t="str">
        <f t="shared" si="5"/>
        <v>Weekday</v>
      </c>
    </row>
    <row r="372" spans="1:17">
      <c r="A372" s="1">
        <v>371</v>
      </c>
      <c r="B372" s="2">
        <v>40559</v>
      </c>
      <c r="C372" s="1">
        <v>1</v>
      </c>
      <c r="D372" s="1">
        <v>0</v>
      </c>
      <c r="E372" s="1">
        <v>1</v>
      </c>
      <c r="F372" s="1">
        <v>22</v>
      </c>
      <c r="G372" s="1" t="b">
        <v>0</v>
      </c>
      <c r="H372" s="1">
        <v>0</v>
      </c>
      <c r="I372" s="1">
        <v>2</v>
      </c>
      <c r="J372" s="1">
        <v>0.2</v>
      </c>
      <c r="K372" s="19">
        <v>0.21210000000000001</v>
      </c>
      <c r="L372" s="21">
        <v>0.49</v>
      </c>
      <c r="M372" s="21">
        <v>0.1343</v>
      </c>
      <c r="N372" s="21">
        <v>2</v>
      </c>
      <c r="O372" s="21">
        <v>19</v>
      </c>
      <c r="P372" s="22">
        <v>21</v>
      </c>
      <c r="Q372" s="38" t="str">
        <f t="shared" si="5"/>
        <v>Weekday</v>
      </c>
    </row>
    <row r="373" spans="1:17">
      <c r="A373" s="1">
        <v>372</v>
      </c>
      <c r="B373" s="2">
        <v>40559</v>
      </c>
      <c r="C373" s="1">
        <v>1</v>
      </c>
      <c r="D373" s="1">
        <v>0</v>
      </c>
      <c r="E373" s="1">
        <v>1</v>
      </c>
      <c r="F373" s="1">
        <v>23</v>
      </c>
      <c r="G373" s="1" t="b">
        <v>0</v>
      </c>
      <c r="H373" s="1">
        <v>0</v>
      </c>
      <c r="I373" s="1">
        <v>2</v>
      </c>
      <c r="J373" s="1">
        <v>0.2</v>
      </c>
      <c r="K373" s="20">
        <v>0.2273</v>
      </c>
      <c r="L373" s="23">
        <v>0.4</v>
      </c>
      <c r="M373" s="23">
        <v>0.1045</v>
      </c>
      <c r="N373" s="23">
        <v>0</v>
      </c>
      <c r="O373" s="23">
        <v>18</v>
      </c>
      <c r="P373" s="24">
        <v>18</v>
      </c>
      <c r="Q373" s="38" t="str">
        <f t="shared" si="5"/>
        <v>Weekday</v>
      </c>
    </row>
    <row r="374" spans="1:17">
      <c r="A374" s="1">
        <v>373</v>
      </c>
      <c r="B374" s="2">
        <v>40560</v>
      </c>
      <c r="C374" s="1">
        <v>1</v>
      </c>
      <c r="D374" s="1">
        <v>0</v>
      </c>
      <c r="E374" s="1">
        <v>1</v>
      </c>
      <c r="F374" s="1">
        <v>0</v>
      </c>
      <c r="G374" s="1" t="b">
        <v>1</v>
      </c>
      <c r="H374" s="1">
        <v>1</v>
      </c>
      <c r="I374" s="1">
        <v>2</v>
      </c>
      <c r="J374" s="1">
        <v>0.2</v>
      </c>
      <c r="K374" s="19">
        <v>0.19700000000000001</v>
      </c>
      <c r="L374" s="21">
        <v>0.47</v>
      </c>
      <c r="M374" s="21">
        <v>0.22389999999999999</v>
      </c>
      <c r="N374" s="21">
        <v>1</v>
      </c>
      <c r="O374" s="21">
        <v>16</v>
      </c>
      <c r="P374" s="22">
        <v>17</v>
      </c>
      <c r="Q374" s="38" t="str">
        <f t="shared" si="5"/>
        <v>Weekday</v>
      </c>
    </row>
    <row r="375" spans="1:17">
      <c r="A375" s="1">
        <v>374</v>
      </c>
      <c r="B375" s="2">
        <v>40560</v>
      </c>
      <c r="C375" s="1">
        <v>1</v>
      </c>
      <c r="D375" s="1">
        <v>0</v>
      </c>
      <c r="E375" s="1">
        <v>1</v>
      </c>
      <c r="F375" s="1">
        <v>1</v>
      </c>
      <c r="G375" s="1" t="b">
        <v>1</v>
      </c>
      <c r="H375" s="1">
        <v>1</v>
      </c>
      <c r="I375" s="1">
        <v>2</v>
      </c>
      <c r="J375" s="1">
        <v>0.2</v>
      </c>
      <c r="K375" s="20">
        <v>0.19700000000000001</v>
      </c>
      <c r="L375" s="23">
        <v>0.44</v>
      </c>
      <c r="M375" s="23">
        <v>0.19400000000000001</v>
      </c>
      <c r="N375" s="23">
        <v>1</v>
      </c>
      <c r="O375" s="23">
        <v>15</v>
      </c>
      <c r="P375" s="24">
        <v>16</v>
      </c>
      <c r="Q375" s="38" t="str">
        <f t="shared" si="5"/>
        <v>Weekday</v>
      </c>
    </row>
    <row r="376" spans="1:17">
      <c r="A376" s="1">
        <v>375</v>
      </c>
      <c r="B376" s="2">
        <v>40560</v>
      </c>
      <c r="C376" s="1">
        <v>1</v>
      </c>
      <c r="D376" s="1">
        <v>0</v>
      </c>
      <c r="E376" s="1">
        <v>1</v>
      </c>
      <c r="F376" s="1">
        <v>2</v>
      </c>
      <c r="G376" s="1" t="b">
        <v>1</v>
      </c>
      <c r="H376" s="1">
        <v>1</v>
      </c>
      <c r="I376" s="1">
        <v>2</v>
      </c>
      <c r="J376" s="1">
        <v>0.18</v>
      </c>
      <c r="K376" s="19">
        <v>0.16669999999999999</v>
      </c>
      <c r="L376" s="21">
        <v>0.43</v>
      </c>
      <c r="M376" s="21">
        <v>0.25369999999999998</v>
      </c>
      <c r="N376" s="21">
        <v>0</v>
      </c>
      <c r="O376" s="21">
        <v>8</v>
      </c>
      <c r="P376" s="22">
        <v>8</v>
      </c>
      <c r="Q376" s="38" t="str">
        <f t="shared" si="5"/>
        <v>Weekday</v>
      </c>
    </row>
    <row r="377" spans="1:17">
      <c r="A377" s="1">
        <v>376</v>
      </c>
      <c r="B377" s="2">
        <v>40560</v>
      </c>
      <c r="C377" s="1">
        <v>1</v>
      </c>
      <c r="D377" s="1">
        <v>0</v>
      </c>
      <c r="E377" s="1">
        <v>1</v>
      </c>
      <c r="F377" s="1">
        <v>3</v>
      </c>
      <c r="G377" s="1" t="b">
        <v>1</v>
      </c>
      <c r="H377" s="1">
        <v>1</v>
      </c>
      <c r="I377" s="1">
        <v>2</v>
      </c>
      <c r="J377" s="1">
        <v>0.18</v>
      </c>
      <c r="K377" s="20">
        <v>0.18179999999999999</v>
      </c>
      <c r="L377" s="23">
        <v>0.43</v>
      </c>
      <c r="M377" s="23">
        <v>0.19400000000000001</v>
      </c>
      <c r="N377" s="23">
        <v>0</v>
      </c>
      <c r="O377" s="23">
        <v>2</v>
      </c>
      <c r="P377" s="24">
        <v>2</v>
      </c>
      <c r="Q377" s="38" t="str">
        <f t="shared" si="5"/>
        <v>Weekday</v>
      </c>
    </row>
    <row r="378" spans="1:17">
      <c r="A378" s="1">
        <v>377</v>
      </c>
      <c r="B378" s="2">
        <v>40560</v>
      </c>
      <c r="C378" s="1">
        <v>1</v>
      </c>
      <c r="D378" s="1">
        <v>0</v>
      </c>
      <c r="E378" s="1">
        <v>1</v>
      </c>
      <c r="F378" s="1">
        <v>4</v>
      </c>
      <c r="G378" s="1" t="b">
        <v>1</v>
      </c>
      <c r="H378" s="1">
        <v>1</v>
      </c>
      <c r="I378" s="1">
        <v>2</v>
      </c>
      <c r="J378" s="1">
        <v>0.18</v>
      </c>
      <c r="K378" s="19">
        <v>0.19700000000000001</v>
      </c>
      <c r="L378" s="21">
        <v>0.43</v>
      </c>
      <c r="M378" s="21">
        <v>0.1343</v>
      </c>
      <c r="N378" s="21">
        <v>1</v>
      </c>
      <c r="O378" s="21">
        <v>2</v>
      </c>
      <c r="P378" s="22">
        <v>3</v>
      </c>
      <c r="Q378" s="38" t="str">
        <f t="shared" si="5"/>
        <v>Weekday</v>
      </c>
    </row>
    <row r="379" spans="1:17">
      <c r="A379" s="1">
        <v>378</v>
      </c>
      <c r="B379" s="2">
        <v>40560</v>
      </c>
      <c r="C379" s="1">
        <v>1</v>
      </c>
      <c r="D379" s="1">
        <v>0</v>
      </c>
      <c r="E379" s="1">
        <v>1</v>
      </c>
      <c r="F379" s="1">
        <v>5</v>
      </c>
      <c r="G379" s="1" t="b">
        <v>1</v>
      </c>
      <c r="H379" s="1">
        <v>1</v>
      </c>
      <c r="I379" s="1">
        <v>2</v>
      </c>
      <c r="J379" s="1">
        <v>0.18</v>
      </c>
      <c r="K379" s="20">
        <v>0.19700000000000001</v>
      </c>
      <c r="L379" s="23">
        <v>0.43</v>
      </c>
      <c r="M379" s="23">
        <v>0.16420000000000001</v>
      </c>
      <c r="N379" s="23">
        <v>0</v>
      </c>
      <c r="O379" s="23">
        <v>1</v>
      </c>
      <c r="P379" s="24">
        <v>1</v>
      </c>
      <c r="Q379" s="38" t="str">
        <f t="shared" si="5"/>
        <v>Weekday</v>
      </c>
    </row>
    <row r="380" spans="1:17">
      <c r="A380" s="1">
        <v>379</v>
      </c>
      <c r="B380" s="2">
        <v>40560</v>
      </c>
      <c r="C380" s="1">
        <v>1</v>
      </c>
      <c r="D380" s="1">
        <v>0</v>
      </c>
      <c r="E380" s="1">
        <v>1</v>
      </c>
      <c r="F380" s="1">
        <v>6</v>
      </c>
      <c r="G380" s="1" t="b">
        <v>1</v>
      </c>
      <c r="H380" s="1">
        <v>1</v>
      </c>
      <c r="I380" s="1">
        <v>2</v>
      </c>
      <c r="J380" s="1">
        <v>0.18</v>
      </c>
      <c r="K380" s="19">
        <v>0.18179999999999999</v>
      </c>
      <c r="L380" s="21">
        <v>0.43</v>
      </c>
      <c r="M380" s="21">
        <v>0.19400000000000001</v>
      </c>
      <c r="N380" s="21">
        <v>0</v>
      </c>
      <c r="O380" s="21">
        <v>5</v>
      </c>
      <c r="P380" s="22">
        <v>5</v>
      </c>
      <c r="Q380" s="38" t="str">
        <f t="shared" si="5"/>
        <v>Weekday</v>
      </c>
    </row>
    <row r="381" spans="1:17">
      <c r="A381" s="1">
        <v>380</v>
      </c>
      <c r="B381" s="2">
        <v>40560</v>
      </c>
      <c r="C381" s="1">
        <v>1</v>
      </c>
      <c r="D381" s="1">
        <v>0</v>
      </c>
      <c r="E381" s="1">
        <v>1</v>
      </c>
      <c r="F381" s="1">
        <v>7</v>
      </c>
      <c r="G381" s="1" t="b">
        <v>1</v>
      </c>
      <c r="H381" s="1">
        <v>1</v>
      </c>
      <c r="I381" s="1">
        <v>2</v>
      </c>
      <c r="J381" s="1">
        <v>0.16</v>
      </c>
      <c r="K381" s="20">
        <v>0.18179999999999999</v>
      </c>
      <c r="L381" s="23">
        <v>0.5</v>
      </c>
      <c r="M381" s="23">
        <v>0.1343</v>
      </c>
      <c r="N381" s="23">
        <v>4</v>
      </c>
      <c r="O381" s="23">
        <v>9</v>
      </c>
      <c r="P381" s="24">
        <v>13</v>
      </c>
      <c r="Q381" s="38" t="str">
        <f t="shared" si="5"/>
        <v>Weekday</v>
      </c>
    </row>
    <row r="382" spans="1:17">
      <c r="A382" s="1">
        <v>381</v>
      </c>
      <c r="B382" s="2">
        <v>40560</v>
      </c>
      <c r="C382" s="1">
        <v>1</v>
      </c>
      <c r="D382" s="1">
        <v>0</v>
      </c>
      <c r="E382" s="1">
        <v>1</v>
      </c>
      <c r="F382" s="1">
        <v>8</v>
      </c>
      <c r="G382" s="1" t="b">
        <v>1</v>
      </c>
      <c r="H382" s="1">
        <v>1</v>
      </c>
      <c r="I382" s="1">
        <v>2</v>
      </c>
      <c r="J382" s="1">
        <v>0.16</v>
      </c>
      <c r="K382" s="19">
        <v>0.1515</v>
      </c>
      <c r="L382" s="21">
        <v>0.47</v>
      </c>
      <c r="M382" s="21">
        <v>0.22389999999999999</v>
      </c>
      <c r="N382" s="21">
        <v>3</v>
      </c>
      <c r="O382" s="21">
        <v>30</v>
      </c>
      <c r="P382" s="22">
        <v>33</v>
      </c>
      <c r="Q382" s="38" t="str">
        <f t="shared" si="5"/>
        <v>Weekday</v>
      </c>
    </row>
    <row r="383" spans="1:17">
      <c r="A383" s="1">
        <v>382</v>
      </c>
      <c r="B383" s="2">
        <v>40560</v>
      </c>
      <c r="C383" s="1">
        <v>1</v>
      </c>
      <c r="D383" s="1">
        <v>0</v>
      </c>
      <c r="E383" s="1">
        <v>1</v>
      </c>
      <c r="F383" s="1">
        <v>9</v>
      </c>
      <c r="G383" s="1" t="b">
        <v>1</v>
      </c>
      <c r="H383" s="1">
        <v>1</v>
      </c>
      <c r="I383" s="1">
        <v>2</v>
      </c>
      <c r="J383" s="1">
        <v>0.16</v>
      </c>
      <c r="K383" s="20">
        <v>0.1515</v>
      </c>
      <c r="L383" s="23">
        <v>0.47</v>
      </c>
      <c r="M383" s="23">
        <v>0.22389999999999999</v>
      </c>
      <c r="N383" s="23">
        <v>8</v>
      </c>
      <c r="O383" s="23">
        <v>39</v>
      </c>
      <c r="P383" s="24">
        <v>47</v>
      </c>
      <c r="Q383" s="38" t="str">
        <f t="shared" si="5"/>
        <v>Weekday</v>
      </c>
    </row>
    <row r="384" spans="1:17">
      <c r="A384" s="1">
        <v>383</v>
      </c>
      <c r="B384" s="2">
        <v>40560</v>
      </c>
      <c r="C384" s="1">
        <v>1</v>
      </c>
      <c r="D384" s="1">
        <v>0</v>
      </c>
      <c r="E384" s="1">
        <v>1</v>
      </c>
      <c r="F384" s="1">
        <v>10</v>
      </c>
      <c r="G384" s="1" t="b">
        <v>1</v>
      </c>
      <c r="H384" s="1">
        <v>1</v>
      </c>
      <c r="I384" s="1">
        <v>2</v>
      </c>
      <c r="J384" s="1">
        <v>0.16</v>
      </c>
      <c r="K384" s="19">
        <v>0.1515</v>
      </c>
      <c r="L384" s="21">
        <v>0.5</v>
      </c>
      <c r="M384" s="21">
        <v>0.25369999999999998</v>
      </c>
      <c r="N384" s="21">
        <v>7</v>
      </c>
      <c r="O384" s="21">
        <v>50</v>
      </c>
      <c r="P384" s="22">
        <v>57</v>
      </c>
      <c r="Q384" s="38" t="str">
        <f t="shared" si="5"/>
        <v>Weekday</v>
      </c>
    </row>
    <row r="385" spans="1:17">
      <c r="A385" s="1">
        <v>384</v>
      </c>
      <c r="B385" s="2">
        <v>40560</v>
      </c>
      <c r="C385" s="1">
        <v>1</v>
      </c>
      <c r="D385" s="1">
        <v>0</v>
      </c>
      <c r="E385" s="1">
        <v>1</v>
      </c>
      <c r="F385" s="1">
        <v>11</v>
      </c>
      <c r="G385" s="1" t="b">
        <v>1</v>
      </c>
      <c r="H385" s="1">
        <v>1</v>
      </c>
      <c r="I385" s="1">
        <v>2</v>
      </c>
      <c r="J385" s="1">
        <v>0.16</v>
      </c>
      <c r="K385" s="20">
        <v>0.1515</v>
      </c>
      <c r="L385" s="23">
        <v>0.55000000000000004</v>
      </c>
      <c r="M385" s="23">
        <v>0.19400000000000001</v>
      </c>
      <c r="N385" s="23">
        <v>9</v>
      </c>
      <c r="O385" s="23">
        <v>55</v>
      </c>
      <c r="P385" s="24">
        <v>64</v>
      </c>
      <c r="Q385" s="38" t="str">
        <f t="shared" si="5"/>
        <v>Weekday</v>
      </c>
    </row>
    <row r="386" spans="1:17">
      <c r="A386" s="1">
        <v>385</v>
      </c>
      <c r="B386" s="2">
        <v>40560</v>
      </c>
      <c r="C386" s="1">
        <v>1</v>
      </c>
      <c r="D386" s="1">
        <v>0</v>
      </c>
      <c r="E386" s="1">
        <v>1</v>
      </c>
      <c r="F386" s="1">
        <v>12</v>
      </c>
      <c r="G386" s="1" t="b">
        <v>1</v>
      </c>
      <c r="H386" s="1">
        <v>1</v>
      </c>
      <c r="I386" s="1">
        <v>2</v>
      </c>
      <c r="J386" s="1">
        <v>0.18</v>
      </c>
      <c r="K386" s="19">
        <v>0.19700000000000001</v>
      </c>
      <c r="L386" s="21">
        <v>0.47</v>
      </c>
      <c r="M386" s="21">
        <v>0.1343</v>
      </c>
      <c r="N386" s="21">
        <v>10</v>
      </c>
      <c r="O386" s="21">
        <v>70</v>
      </c>
      <c r="P386" s="22">
        <v>80</v>
      </c>
      <c r="Q386" s="38" t="str">
        <f t="shared" ref="Q386:Q449" si="6">IF(H386&gt;=6,"Weekend","Weekday")</f>
        <v>Weekday</v>
      </c>
    </row>
    <row r="387" spans="1:17">
      <c r="A387" s="1">
        <v>386</v>
      </c>
      <c r="B387" s="2">
        <v>40560</v>
      </c>
      <c r="C387" s="1">
        <v>1</v>
      </c>
      <c r="D387" s="1">
        <v>0</v>
      </c>
      <c r="E387" s="1">
        <v>1</v>
      </c>
      <c r="F387" s="1">
        <v>13</v>
      </c>
      <c r="G387" s="1" t="b">
        <v>1</v>
      </c>
      <c r="H387" s="1">
        <v>1</v>
      </c>
      <c r="I387" s="1">
        <v>2</v>
      </c>
      <c r="J387" s="1">
        <v>0.18</v>
      </c>
      <c r="K387" s="20">
        <v>0.19700000000000001</v>
      </c>
      <c r="L387" s="23">
        <v>0.47</v>
      </c>
      <c r="M387" s="23">
        <v>0.1343</v>
      </c>
      <c r="N387" s="23">
        <v>13</v>
      </c>
      <c r="O387" s="23">
        <v>80</v>
      </c>
      <c r="P387" s="24">
        <v>93</v>
      </c>
      <c r="Q387" s="38" t="str">
        <f t="shared" si="6"/>
        <v>Weekday</v>
      </c>
    </row>
    <row r="388" spans="1:17">
      <c r="A388" s="1">
        <v>387</v>
      </c>
      <c r="B388" s="2">
        <v>40560</v>
      </c>
      <c r="C388" s="1">
        <v>1</v>
      </c>
      <c r="D388" s="1">
        <v>0</v>
      </c>
      <c r="E388" s="1">
        <v>1</v>
      </c>
      <c r="F388" s="1">
        <v>14</v>
      </c>
      <c r="G388" s="1" t="b">
        <v>1</v>
      </c>
      <c r="H388" s="1">
        <v>1</v>
      </c>
      <c r="I388" s="1">
        <v>2</v>
      </c>
      <c r="J388" s="1">
        <v>0.18</v>
      </c>
      <c r="K388" s="19">
        <v>0.21210000000000001</v>
      </c>
      <c r="L388" s="21">
        <v>0.43</v>
      </c>
      <c r="M388" s="21">
        <v>0.1045</v>
      </c>
      <c r="N388" s="21">
        <v>12</v>
      </c>
      <c r="O388" s="21">
        <v>74</v>
      </c>
      <c r="P388" s="22">
        <v>86</v>
      </c>
      <c r="Q388" s="38" t="str">
        <f t="shared" si="6"/>
        <v>Weekday</v>
      </c>
    </row>
    <row r="389" spans="1:17">
      <c r="A389" s="1">
        <v>388</v>
      </c>
      <c r="B389" s="2">
        <v>40560</v>
      </c>
      <c r="C389" s="1">
        <v>1</v>
      </c>
      <c r="D389" s="1">
        <v>0</v>
      </c>
      <c r="E389" s="1">
        <v>1</v>
      </c>
      <c r="F389" s="1">
        <v>15</v>
      </c>
      <c r="G389" s="1" t="b">
        <v>1</v>
      </c>
      <c r="H389" s="1">
        <v>1</v>
      </c>
      <c r="I389" s="1">
        <v>2</v>
      </c>
      <c r="J389" s="1">
        <v>0.2</v>
      </c>
      <c r="K389" s="20">
        <v>0.21210000000000001</v>
      </c>
      <c r="L389" s="23">
        <v>0.47</v>
      </c>
      <c r="M389" s="23">
        <v>0.16420000000000001</v>
      </c>
      <c r="N389" s="23">
        <v>21</v>
      </c>
      <c r="O389" s="23">
        <v>72</v>
      </c>
      <c r="P389" s="24">
        <v>93</v>
      </c>
      <c r="Q389" s="38" t="str">
        <f t="shared" si="6"/>
        <v>Weekday</v>
      </c>
    </row>
    <row r="390" spans="1:17">
      <c r="A390" s="1">
        <v>389</v>
      </c>
      <c r="B390" s="2">
        <v>40560</v>
      </c>
      <c r="C390" s="1">
        <v>1</v>
      </c>
      <c r="D390" s="1">
        <v>0</v>
      </c>
      <c r="E390" s="1">
        <v>1</v>
      </c>
      <c r="F390" s="1">
        <v>16</v>
      </c>
      <c r="G390" s="1" t="b">
        <v>1</v>
      </c>
      <c r="H390" s="1">
        <v>1</v>
      </c>
      <c r="I390" s="1">
        <v>2</v>
      </c>
      <c r="J390" s="1">
        <v>0.2</v>
      </c>
      <c r="K390" s="19">
        <v>0.21210000000000001</v>
      </c>
      <c r="L390" s="21">
        <v>0.47</v>
      </c>
      <c r="M390" s="21">
        <v>0.16420000000000001</v>
      </c>
      <c r="N390" s="21">
        <v>6</v>
      </c>
      <c r="O390" s="21">
        <v>76</v>
      </c>
      <c r="P390" s="22">
        <v>82</v>
      </c>
      <c r="Q390" s="38" t="str">
        <f t="shared" si="6"/>
        <v>Weekday</v>
      </c>
    </row>
    <row r="391" spans="1:17">
      <c r="A391" s="1">
        <v>390</v>
      </c>
      <c r="B391" s="2">
        <v>40560</v>
      </c>
      <c r="C391" s="1">
        <v>1</v>
      </c>
      <c r="D391" s="1">
        <v>0</v>
      </c>
      <c r="E391" s="1">
        <v>1</v>
      </c>
      <c r="F391" s="1">
        <v>17</v>
      </c>
      <c r="G391" s="1" t="b">
        <v>1</v>
      </c>
      <c r="H391" s="1">
        <v>1</v>
      </c>
      <c r="I391" s="1">
        <v>1</v>
      </c>
      <c r="J391" s="1">
        <v>0.2</v>
      </c>
      <c r="K391" s="20">
        <v>0.19700000000000001</v>
      </c>
      <c r="L391" s="23">
        <v>0.51</v>
      </c>
      <c r="M391" s="23">
        <v>0.19400000000000001</v>
      </c>
      <c r="N391" s="23">
        <v>4</v>
      </c>
      <c r="O391" s="23">
        <v>67</v>
      </c>
      <c r="P391" s="24">
        <v>71</v>
      </c>
      <c r="Q391" s="38" t="str">
        <f t="shared" si="6"/>
        <v>Weekday</v>
      </c>
    </row>
    <row r="392" spans="1:17">
      <c r="A392" s="1">
        <v>391</v>
      </c>
      <c r="B392" s="2">
        <v>40560</v>
      </c>
      <c r="C392" s="1">
        <v>1</v>
      </c>
      <c r="D392" s="1">
        <v>0</v>
      </c>
      <c r="E392" s="1">
        <v>1</v>
      </c>
      <c r="F392" s="1">
        <v>18</v>
      </c>
      <c r="G392" s="1" t="b">
        <v>1</v>
      </c>
      <c r="H392" s="1">
        <v>1</v>
      </c>
      <c r="I392" s="1">
        <v>2</v>
      </c>
      <c r="J392" s="1">
        <v>0.18</v>
      </c>
      <c r="K392" s="19">
        <v>0.16669999999999999</v>
      </c>
      <c r="L392" s="21">
        <v>0.55000000000000004</v>
      </c>
      <c r="M392" s="21">
        <v>0.25369999999999998</v>
      </c>
      <c r="N392" s="21">
        <v>7</v>
      </c>
      <c r="O392" s="21">
        <v>85</v>
      </c>
      <c r="P392" s="22">
        <v>92</v>
      </c>
      <c r="Q392" s="38" t="str">
        <f t="shared" si="6"/>
        <v>Weekday</v>
      </c>
    </row>
    <row r="393" spans="1:17">
      <c r="A393" s="1">
        <v>392</v>
      </c>
      <c r="B393" s="2">
        <v>40560</v>
      </c>
      <c r="C393" s="1">
        <v>1</v>
      </c>
      <c r="D393" s="1">
        <v>0</v>
      </c>
      <c r="E393" s="1">
        <v>1</v>
      </c>
      <c r="F393" s="1">
        <v>19</v>
      </c>
      <c r="G393" s="1" t="b">
        <v>1</v>
      </c>
      <c r="H393" s="1">
        <v>1</v>
      </c>
      <c r="I393" s="1">
        <v>3</v>
      </c>
      <c r="J393" s="1">
        <v>0.18</v>
      </c>
      <c r="K393" s="20">
        <v>0.18179999999999999</v>
      </c>
      <c r="L393" s="23">
        <v>0.59</v>
      </c>
      <c r="M393" s="23">
        <v>0.19400000000000001</v>
      </c>
      <c r="N393" s="23">
        <v>2</v>
      </c>
      <c r="O393" s="23">
        <v>58</v>
      </c>
      <c r="P393" s="24">
        <v>60</v>
      </c>
      <c r="Q393" s="38" t="str">
        <f t="shared" si="6"/>
        <v>Weekday</v>
      </c>
    </row>
    <row r="394" spans="1:17">
      <c r="A394" s="1">
        <v>393</v>
      </c>
      <c r="B394" s="2">
        <v>40560</v>
      </c>
      <c r="C394" s="1">
        <v>1</v>
      </c>
      <c r="D394" s="1">
        <v>0</v>
      </c>
      <c r="E394" s="1">
        <v>1</v>
      </c>
      <c r="F394" s="1">
        <v>20</v>
      </c>
      <c r="G394" s="1" t="b">
        <v>1</v>
      </c>
      <c r="H394" s="1">
        <v>1</v>
      </c>
      <c r="I394" s="1">
        <v>3</v>
      </c>
      <c r="J394" s="1">
        <v>0.16</v>
      </c>
      <c r="K394" s="19">
        <v>0.1515</v>
      </c>
      <c r="L394" s="21">
        <v>0.8</v>
      </c>
      <c r="M394" s="21">
        <v>0.19400000000000001</v>
      </c>
      <c r="N394" s="21">
        <v>4</v>
      </c>
      <c r="O394" s="21">
        <v>29</v>
      </c>
      <c r="P394" s="22">
        <v>33</v>
      </c>
      <c r="Q394" s="38" t="str">
        <f t="shared" si="6"/>
        <v>Weekday</v>
      </c>
    </row>
    <row r="395" spans="1:17">
      <c r="A395" s="1">
        <v>394</v>
      </c>
      <c r="B395" s="2">
        <v>40560</v>
      </c>
      <c r="C395" s="1">
        <v>1</v>
      </c>
      <c r="D395" s="1">
        <v>0</v>
      </c>
      <c r="E395" s="1">
        <v>1</v>
      </c>
      <c r="F395" s="1">
        <v>21</v>
      </c>
      <c r="G395" s="1" t="b">
        <v>1</v>
      </c>
      <c r="H395" s="1">
        <v>1</v>
      </c>
      <c r="I395" s="1">
        <v>3</v>
      </c>
      <c r="J395" s="1">
        <v>0.16</v>
      </c>
      <c r="K395" s="20">
        <v>0.1515</v>
      </c>
      <c r="L395" s="23">
        <v>0.8</v>
      </c>
      <c r="M395" s="23">
        <v>0.19400000000000001</v>
      </c>
      <c r="N395" s="23">
        <v>3</v>
      </c>
      <c r="O395" s="23">
        <v>24</v>
      </c>
      <c r="P395" s="24">
        <v>27</v>
      </c>
      <c r="Q395" s="38" t="str">
        <f t="shared" si="6"/>
        <v>Weekday</v>
      </c>
    </row>
    <row r="396" spans="1:17">
      <c r="A396" s="1">
        <v>395</v>
      </c>
      <c r="B396" s="2">
        <v>40560</v>
      </c>
      <c r="C396" s="1">
        <v>1</v>
      </c>
      <c r="D396" s="1">
        <v>0</v>
      </c>
      <c r="E396" s="1">
        <v>1</v>
      </c>
      <c r="F396" s="1">
        <v>22</v>
      </c>
      <c r="G396" s="1" t="b">
        <v>1</v>
      </c>
      <c r="H396" s="1">
        <v>1</v>
      </c>
      <c r="I396" s="1">
        <v>3</v>
      </c>
      <c r="J396" s="1">
        <v>0.14000000000000001</v>
      </c>
      <c r="K396" s="19">
        <v>0.1212</v>
      </c>
      <c r="L396" s="21">
        <v>0.93</v>
      </c>
      <c r="M396" s="21">
        <v>0.25369999999999998</v>
      </c>
      <c r="N396" s="21">
        <v>0</v>
      </c>
      <c r="O396" s="21">
        <v>13</v>
      </c>
      <c r="P396" s="22">
        <v>13</v>
      </c>
      <c r="Q396" s="38" t="str">
        <f t="shared" si="6"/>
        <v>Weekday</v>
      </c>
    </row>
    <row r="397" spans="1:17">
      <c r="A397" s="1">
        <v>396</v>
      </c>
      <c r="B397" s="2">
        <v>40560</v>
      </c>
      <c r="C397" s="1">
        <v>1</v>
      </c>
      <c r="D397" s="1">
        <v>0</v>
      </c>
      <c r="E397" s="1">
        <v>1</v>
      </c>
      <c r="F397" s="1">
        <v>23</v>
      </c>
      <c r="G397" s="1" t="b">
        <v>1</v>
      </c>
      <c r="H397" s="1">
        <v>1</v>
      </c>
      <c r="I397" s="1">
        <v>3</v>
      </c>
      <c r="J397" s="1">
        <v>0.16</v>
      </c>
      <c r="K397" s="20">
        <v>0.13639999999999999</v>
      </c>
      <c r="L397" s="23">
        <v>0.86</v>
      </c>
      <c r="M397" s="23">
        <v>0.28360000000000002</v>
      </c>
      <c r="N397" s="23">
        <v>1</v>
      </c>
      <c r="O397" s="23">
        <v>3</v>
      </c>
      <c r="P397" s="24">
        <v>4</v>
      </c>
      <c r="Q397" s="38" t="str">
        <f t="shared" si="6"/>
        <v>Weekday</v>
      </c>
    </row>
    <row r="398" spans="1:17">
      <c r="A398" s="1">
        <v>397</v>
      </c>
      <c r="B398" s="2">
        <v>40561</v>
      </c>
      <c r="C398" s="1">
        <v>1</v>
      </c>
      <c r="D398" s="1">
        <v>0</v>
      </c>
      <c r="E398" s="1">
        <v>1</v>
      </c>
      <c r="F398" s="1">
        <v>12</v>
      </c>
      <c r="G398" s="1" t="b">
        <v>0</v>
      </c>
      <c r="H398" s="1">
        <v>2</v>
      </c>
      <c r="I398" s="1">
        <v>2</v>
      </c>
      <c r="J398" s="1">
        <v>0.2</v>
      </c>
      <c r="K398" s="19">
        <v>0.18179999999999999</v>
      </c>
      <c r="L398" s="21">
        <v>0.86</v>
      </c>
      <c r="M398" s="21">
        <v>0.32840000000000003</v>
      </c>
      <c r="N398" s="21">
        <v>0</v>
      </c>
      <c r="O398" s="21">
        <v>3</v>
      </c>
      <c r="P398" s="22">
        <v>3</v>
      </c>
      <c r="Q398" s="38" t="str">
        <f t="shared" si="6"/>
        <v>Weekday</v>
      </c>
    </row>
    <row r="399" spans="1:17">
      <c r="A399" s="1">
        <v>398</v>
      </c>
      <c r="B399" s="2">
        <v>40561</v>
      </c>
      <c r="C399" s="1">
        <v>1</v>
      </c>
      <c r="D399" s="1">
        <v>0</v>
      </c>
      <c r="E399" s="1">
        <v>1</v>
      </c>
      <c r="F399" s="1">
        <v>13</v>
      </c>
      <c r="G399" s="1" t="b">
        <v>0</v>
      </c>
      <c r="H399" s="1">
        <v>2</v>
      </c>
      <c r="I399" s="1">
        <v>2</v>
      </c>
      <c r="J399" s="1">
        <v>0.2</v>
      </c>
      <c r="K399" s="20">
        <v>0.19700000000000001</v>
      </c>
      <c r="L399" s="23">
        <v>0.86</v>
      </c>
      <c r="M399" s="23">
        <v>0.22389999999999999</v>
      </c>
      <c r="N399" s="23">
        <v>0</v>
      </c>
      <c r="O399" s="23">
        <v>22</v>
      </c>
      <c r="P399" s="24">
        <v>22</v>
      </c>
      <c r="Q399" s="38" t="str">
        <f t="shared" si="6"/>
        <v>Weekday</v>
      </c>
    </row>
    <row r="400" spans="1:17">
      <c r="A400" s="1">
        <v>399</v>
      </c>
      <c r="B400" s="2">
        <v>40561</v>
      </c>
      <c r="C400" s="1">
        <v>1</v>
      </c>
      <c r="D400" s="1">
        <v>0</v>
      </c>
      <c r="E400" s="1">
        <v>1</v>
      </c>
      <c r="F400" s="1">
        <v>14</v>
      </c>
      <c r="G400" s="1" t="b">
        <v>0</v>
      </c>
      <c r="H400" s="1">
        <v>2</v>
      </c>
      <c r="I400" s="1">
        <v>2</v>
      </c>
      <c r="J400" s="1">
        <v>0.22</v>
      </c>
      <c r="K400" s="19">
        <v>0.2273</v>
      </c>
      <c r="L400" s="21">
        <v>0.8</v>
      </c>
      <c r="M400" s="21">
        <v>0.16420000000000001</v>
      </c>
      <c r="N400" s="21">
        <v>2</v>
      </c>
      <c r="O400" s="21">
        <v>26</v>
      </c>
      <c r="P400" s="22">
        <v>28</v>
      </c>
      <c r="Q400" s="38" t="str">
        <f t="shared" si="6"/>
        <v>Weekday</v>
      </c>
    </row>
    <row r="401" spans="1:17">
      <c r="A401" s="1">
        <v>400</v>
      </c>
      <c r="B401" s="2">
        <v>40561</v>
      </c>
      <c r="C401" s="1">
        <v>1</v>
      </c>
      <c r="D401" s="1">
        <v>0</v>
      </c>
      <c r="E401" s="1">
        <v>1</v>
      </c>
      <c r="F401" s="1">
        <v>15</v>
      </c>
      <c r="G401" s="1" t="b">
        <v>0</v>
      </c>
      <c r="H401" s="1">
        <v>2</v>
      </c>
      <c r="I401" s="1">
        <v>2</v>
      </c>
      <c r="J401" s="1">
        <v>0.22</v>
      </c>
      <c r="K401" s="20">
        <v>0.2273</v>
      </c>
      <c r="L401" s="23">
        <v>0.87</v>
      </c>
      <c r="M401" s="23">
        <v>0.16420000000000001</v>
      </c>
      <c r="N401" s="23">
        <v>3</v>
      </c>
      <c r="O401" s="23">
        <v>32</v>
      </c>
      <c r="P401" s="24">
        <v>35</v>
      </c>
      <c r="Q401" s="38" t="str">
        <f t="shared" si="6"/>
        <v>Weekday</v>
      </c>
    </row>
    <row r="402" spans="1:17">
      <c r="A402" s="1">
        <v>401</v>
      </c>
      <c r="B402" s="2">
        <v>40561</v>
      </c>
      <c r="C402" s="1">
        <v>1</v>
      </c>
      <c r="D402" s="1">
        <v>0</v>
      </c>
      <c r="E402" s="1">
        <v>1</v>
      </c>
      <c r="F402" s="1">
        <v>16</v>
      </c>
      <c r="G402" s="1" t="b">
        <v>0</v>
      </c>
      <c r="H402" s="1">
        <v>2</v>
      </c>
      <c r="I402" s="1">
        <v>2</v>
      </c>
      <c r="J402" s="1">
        <v>0.22</v>
      </c>
      <c r="K402" s="19">
        <v>0.2273</v>
      </c>
      <c r="L402" s="21">
        <v>0.87</v>
      </c>
      <c r="M402" s="21">
        <v>0.19400000000000001</v>
      </c>
      <c r="N402" s="21">
        <v>0</v>
      </c>
      <c r="O402" s="21">
        <v>61</v>
      </c>
      <c r="P402" s="22">
        <v>61</v>
      </c>
      <c r="Q402" s="38" t="str">
        <f t="shared" si="6"/>
        <v>Weekday</v>
      </c>
    </row>
    <row r="403" spans="1:17">
      <c r="A403" s="1">
        <v>402</v>
      </c>
      <c r="B403" s="2">
        <v>40561</v>
      </c>
      <c r="C403" s="1">
        <v>1</v>
      </c>
      <c r="D403" s="1">
        <v>0</v>
      </c>
      <c r="E403" s="1">
        <v>1</v>
      </c>
      <c r="F403" s="1">
        <v>17</v>
      </c>
      <c r="G403" s="1" t="b">
        <v>0</v>
      </c>
      <c r="H403" s="1">
        <v>2</v>
      </c>
      <c r="I403" s="1">
        <v>2</v>
      </c>
      <c r="J403" s="1">
        <v>0.22</v>
      </c>
      <c r="K403" s="20">
        <v>0.2273</v>
      </c>
      <c r="L403" s="23">
        <v>0.82</v>
      </c>
      <c r="M403" s="23">
        <v>0.19400000000000001</v>
      </c>
      <c r="N403" s="23">
        <v>1</v>
      </c>
      <c r="O403" s="23">
        <v>124</v>
      </c>
      <c r="P403" s="24">
        <v>125</v>
      </c>
      <c r="Q403" s="38" t="str">
        <f t="shared" si="6"/>
        <v>Weekday</v>
      </c>
    </row>
    <row r="404" spans="1:17">
      <c r="A404" s="1">
        <v>403</v>
      </c>
      <c r="B404" s="2">
        <v>40561</v>
      </c>
      <c r="C404" s="1">
        <v>1</v>
      </c>
      <c r="D404" s="1">
        <v>0</v>
      </c>
      <c r="E404" s="1">
        <v>1</v>
      </c>
      <c r="F404" s="1">
        <v>18</v>
      </c>
      <c r="G404" s="1" t="b">
        <v>0</v>
      </c>
      <c r="H404" s="1">
        <v>2</v>
      </c>
      <c r="I404" s="1">
        <v>2</v>
      </c>
      <c r="J404" s="1">
        <v>0.22</v>
      </c>
      <c r="K404" s="19">
        <v>0.2273</v>
      </c>
      <c r="L404" s="21">
        <v>0.8</v>
      </c>
      <c r="M404" s="21">
        <v>0.16420000000000001</v>
      </c>
      <c r="N404" s="21">
        <v>1</v>
      </c>
      <c r="O404" s="21">
        <v>132</v>
      </c>
      <c r="P404" s="22">
        <v>133</v>
      </c>
      <c r="Q404" s="38" t="str">
        <f t="shared" si="6"/>
        <v>Weekday</v>
      </c>
    </row>
    <row r="405" spans="1:17">
      <c r="A405" s="1">
        <v>404</v>
      </c>
      <c r="B405" s="2">
        <v>40561</v>
      </c>
      <c r="C405" s="1">
        <v>1</v>
      </c>
      <c r="D405" s="1">
        <v>0</v>
      </c>
      <c r="E405" s="1">
        <v>1</v>
      </c>
      <c r="F405" s="1">
        <v>19</v>
      </c>
      <c r="G405" s="1" t="b">
        <v>0</v>
      </c>
      <c r="H405" s="1">
        <v>2</v>
      </c>
      <c r="I405" s="1">
        <v>2</v>
      </c>
      <c r="J405" s="1">
        <v>0.22</v>
      </c>
      <c r="K405" s="20">
        <v>0.2273</v>
      </c>
      <c r="L405" s="23">
        <v>0.8</v>
      </c>
      <c r="M405" s="23">
        <v>0.1343</v>
      </c>
      <c r="N405" s="23">
        <v>1</v>
      </c>
      <c r="O405" s="23">
        <v>98</v>
      </c>
      <c r="P405" s="24">
        <v>99</v>
      </c>
      <c r="Q405" s="38" t="str">
        <f t="shared" si="6"/>
        <v>Weekday</v>
      </c>
    </row>
    <row r="406" spans="1:17">
      <c r="A406" s="1">
        <v>405</v>
      </c>
      <c r="B406" s="2">
        <v>40561</v>
      </c>
      <c r="C406" s="1">
        <v>1</v>
      </c>
      <c r="D406" s="1">
        <v>0</v>
      </c>
      <c r="E406" s="1">
        <v>1</v>
      </c>
      <c r="F406" s="1">
        <v>20</v>
      </c>
      <c r="G406" s="1" t="b">
        <v>0</v>
      </c>
      <c r="H406" s="1">
        <v>2</v>
      </c>
      <c r="I406" s="1">
        <v>2</v>
      </c>
      <c r="J406" s="1">
        <v>0.22</v>
      </c>
      <c r="K406" s="19">
        <v>0.2727</v>
      </c>
      <c r="L406" s="21">
        <v>0.87</v>
      </c>
      <c r="M406" s="21">
        <v>0</v>
      </c>
      <c r="N406" s="21">
        <v>0</v>
      </c>
      <c r="O406" s="21">
        <v>83</v>
      </c>
      <c r="P406" s="22">
        <v>83</v>
      </c>
      <c r="Q406" s="38" t="str">
        <f t="shared" si="6"/>
        <v>Weekday</v>
      </c>
    </row>
    <row r="407" spans="1:17">
      <c r="A407" s="1">
        <v>406</v>
      </c>
      <c r="B407" s="2">
        <v>40561</v>
      </c>
      <c r="C407" s="1">
        <v>1</v>
      </c>
      <c r="D407" s="1">
        <v>0</v>
      </c>
      <c r="E407" s="1">
        <v>1</v>
      </c>
      <c r="F407" s="1">
        <v>21</v>
      </c>
      <c r="G407" s="1" t="b">
        <v>0</v>
      </c>
      <c r="H407" s="1">
        <v>2</v>
      </c>
      <c r="I407" s="1">
        <v>2</v>
      </c>
      <c r="J407" s="1">
        <v>0.22</v>
      </c>
      <c r="K407" s="20">
        <v>0.2424</v>
      </c>
      <c r="L407" s="23">
        <v>0.93</v>
      </c>
      <c r="M407" s="23">
        <v>0.1045</v>
      </c>
      <c r="N407" s="23">
        <v>0</v>
      </c>
      <c r="O407" s="23">
        <v>41</v>
      </c>
      <c r="P407" s="24">
        <v>41</v>
      </c>
      <c r="Q407" s="38" t="str">
        <f t="shared" si="6"/>
        <v>Weekday</v>
      </c>
    </row>
    <row r="408" spans="1:17">
      <c r="A408" s="1">
        <v>407</v>
      </c>
      <c r="B408" s="2">
        <v>40561</v>
      </c>
      <c r="C408" s="1">
        <v>1</v>
      </c>
      <c r="D408" s="1">
        <v>0</v>
      </c>
      <c r="E408" s="1">
        <v>1</v>
      </c>
      <c r="F408" s="1">
        <v>22</v>
      </c>
      <c r="G408" s="1" t="b">
        <v>0</v>
      </c>
      <c r="H408" s="1">
        <v>2</v>
      </c>
      <c r="I408" s="1">
        <v>2</v>
      </c>
      <c r="J408" s="1">
        <v>0.22</v>
      </c>
      <c r="K408" s="19">
        <v>0.2576</v>
      </c>
      <c r="L408" s="21">
        <v>0.93</v>
      </c>
      <c r="M408" s="21">
        <v>8.9599999999999999E-2</v>
      </c>
      <c r="N408" s="21">
        <v>0</v>
      </c>
      <c r="O408" s="21">
        <v>33</v>
      </c>
      <c r="P408" s="22">
        <v>33</v>
      </c>
      <c r="Q408" s="38" t="str">
        <f t="shared" si="6"/>
        <v>Weekday</v>
      </c>
    </row>
    <row r="409" spans="1:17">
      <c r="A409" s="1">
        <v>408</v>
      </c>
      <c r="B409" s="2">
        <v>40561</v>
      </c>
      <c r="C409" s="1">
        <v>1</v>
      </c>
      <c r="D409" s="1">
        <v>0</v>
      </c>
      <c r="E409" s="1">
        <v>1</v>
      </c>
      <c r="F409" s="1">
        <v>23</v>
      </c>
      <c r="G409" s="1" t="b">
        <v>0</v>
      </c>
      <c r="H409" s="1">
        <v>2</v>
      </c>
      <c r="I409" s="1">
        <v>2</v>
      </c>
      <c r="J409" s="1">
        <v>0.22</v>
      </c>
      <c r="K409" s="20">
        <v>0.2727</v>
      </c>
      <c r="L409" s="23">
        <v>0.93</v>
      </c>
      <c r="M409" s="23">
        <v>0</v>
      </c>
      <c r="N409" s="23">
        <v>1</v>
      </c>
      <c r="O409" s="23">
        <v>19</v>
      </c>
      <c r="P409" s="24">
        <v>20</v>
      </c>
      <c r="Q409" s="38" t="str">
        <f t="shared" si="6"/>
        <v>Weekday</v>
      </c>
    </row>
    <row r="410" spans="1:17">
      <c r="A410" s="1">
        <v>409</v>
      </c>
      <c r="B410" s="2">
        <v>40562</v>
      </c>
      <c r="C410" s="1">
        <v>1</v>
      </c>
      <c r="D410" s="1">
        <v>0</v>
      </c>
      <c r="E410" s="1">
        <v>1</v>
      </c>
      <c r="F410" s="1">
        <v>0</v>
      </c>
      <c r="G410" s="1" t="b">
        <v>0</v>
      </c>
      <c r="H410" s="1">
        <v>3</v>
      </c>
      <c r="I410" s="1">
        <v>2</v>
      </c>
      <c r="J410" s="1">
        <v>0.22</v>
      </c>
      <c r="K410" s="19">
        <v>0.2727</v>
      </c>
      <c r="L410" s="21">
        <v>0.93</v>
      </c>
      <c r="M410" s="21">
        <v>0</v>
      </c>
      <c r="N410" s="21">
        <v>0</v>
      </c>
      <c r="O410" s="21">
        <v>3</v>
      </c>
      <c r="P410" s="22">
        <v>3</v>
      </c>
      <c r="Q410" s="38" t="str">
        <f t="shared" si="6"/>
        <v>Weekday</v>
      </c>
    </row>
    <row r="411" spans="1:17">
      <c r="A411" s="1">
        <v>410</v>
      </c>
      <c r="B411" s="2">
        <v>40562</v>
      </c>
      <c r="C411" s="1">
        <v>1</v>
      </c>
      <c r="D411" s="1">
        <v>0</v>
      </c>
      <c r="E411" s="1">
        <v>1</v>
      </c>
      <c r="F411" s="1">
        <v>1</v>
      </c>
      <c r="G411" s="1" t="b">
        <v>0</v>
      </c>
      <c r="H411" s="1">
        <v>3</v>
      </c>
      <c r="I411" s="1">
        <v>3</v>
      </c>
      <c r="J411" s="1">
        <v>0.22</v>
      </c>
      <c r="K411" s="20">
        <v>0.2273</v>
      </c>
      <c r="L411" s="23">
        <v>0.93</v>
      </c>
      <c r="M411" s="23">
        <v>0.1343</v>
      </c>
      <c r="N411" s="23">
        <v>1</v>
      </c>
      <c r="O411" s="23">
        <v>6</v>
      </c>
      <c r="P411" s="24">
        <v>7</v>
      </c>
      <c r="Q411" s="38" t="str">
        <f t="shared" si="6"/>
        <v>Weekday</v>
      </c>
    </row>
    <row r="412" spans="1:17">
      <c r="A412" s="1">
        <v>411</v>
      </c>
      <c r="B412" s="2">
        <v>40562</v>
      </c>
      <c r="C412" s="1">
        <v>1</v>
      </c>
      <c r="D412" s="1">
        <v>0</v>
      </c>
      <c r="E412" s="1">
        <v>1</v>
      </c>
      <c r="F412" s="1">
        <v>2</v>
      </c>
      <c r="G412" s="1" t="b">
        <v>0</v>
      </c>
      <c r="H412" s="1">
        <v>3</v>
      </c>
      <c r="I412" s="1">
        <v>3</v>
      </c>
      <c r="J412" s="1">
        <v>0.22</v>
      </c>
      <c r="K412" s="19">
        <v>0.2273</v>
      </c>
      <c r="L412" s="21">
        <v>0.93</v>
      </c>
      <c r="M412" s="21">
        <v>0.1343</v>
      </c>
      <c r="N412" s="21">
        <v>0</v>
      </c>
      <c r="O412" s="21">
        <v>3</v>
      </c>
      <c r="P412" s="22">
        <v>3</v>
      </c>
      <c r="Q412" s="38" t="str">
        <f t="shared" si="6"/>
        <v>Weekday</v>
      </c>
    </row>
    <row r="413" spans="1:17">
      <c r="A413" s="1">
        <v>412</v>
      </c>
      <c r="B413" s="2">
        <v>40562</v>
      </c>
      <c r="C413" s="1">
        <v>1</v>
      </c>
      <c r="D413" s="1">
        <v>0</v>
      </c>
      <c r="E413" s="1">
        <v>1</v>
      </c>
      <c r="F413" s="1">
        <v>4</v>
      </c>
      <c r="G413" s="1" t="b">
        <v>0</v>
      </c>
      <c r="H413" s="1">
        <v>3</v>
      </c>
      <c r="I413" s="1">
        <v>3</v>
      </c>
      <c r="J413" s="1">
        <v>0.22</v>
      </c>
      <c r="K413" s="20">
        <v>0.2273</v>
      </c>
      <c r="L413" s="23">
        <v>0.93</v>
      </c>
      <c r="M413" s="23">
        <v>0.1343</v>
      </c>
      <c r="N413" s="23">
        <v>1</v>
      </c>
      <c r="O413" s="23">
        <v>1</v>
      </c>
      <c r="P413" s="24">
        <v>2</v>
      </c>
      <c r="Q413" s="38" t="str">
        <f t="shared" si="6"/>
        <v>Weekday</v>
      </c>
    </row>
    <row r="414" spans="1:17">
      <c r="A414" s="1">
        <v>413</v>
      </c>
      <c r="B414" s="2">
        <v>40562</v>
      </c>
      <c r="C414" s="1">
        <v>1</v>
      </c>
      <c r="D414" s="1">
        <v>0</v>
      </c>
      <c r="E414" s="1">
        <v>1</v>
      </c>
      <c r="F414" s="1">
        <v>5</v>
      </c>
      <c r="G414" s="1" t="b">
        <v>0</v>
      </c>
      <c r="H414" s="1">
        <v>3</v>
      </c>
      <c r="I414" s="1">
        <v>2</v>
      </c>
      <c r="J414" s="1">
        <v>0.22</v>
      </c>
      <c r="K414" s="19">
        <v>0.2576</v>
      </c>
      <c r="L414" s="21">
        <v>0.93</v>
      </c>
      <c r="M414" s="21">
        <v>8.9599999999999999E-2</v>
      </c>
      <c r="N414" s="21">
        <v>0</v>
      </c>
      <c r="O414" s="21">
        <v>7</v>
      </c>
      <c r="P414" s="22">
        <v>7</v>
      </c>
      <c r="Q414" s="38" t="str">
        <f t="shared" si="6"/>
        <v>Weekday</v>
      </c>
    </row>
    <row r="415" spans="1:17">
      <c r="A415" s="1">
        <v>414</v>
      </c>
      <c r="B415" s="2">
        <v>40562</v>
      </c>
      <c r="C415" s="1">
        <v>1</v>
      </c>
      <c r="D415" s="1">
        <v>0</v>
      </c>
      <c r="E415" s="1">
        <v>1</v>
      </c>
      <c r="F415" s="1">
        <v>6</v>
      </c>
      <c r="G415" s="1" t="b">
        <v>0</v>
      </c>
      <c r="H415" s="1">
        <v>3</v>
      </c>
      <c r="I415" s="1">
        <v>2</v>
      </c>
      <c r="J415" s="1">
        <v>0.22</v>
      </c>
      <c r="K415" s="20">
        <v>0.2576</v>
      </c>
      <c r="L415" s="23">
        <v>0.93</v>
      </c>
      <c r="M415" s="23">
        <v>8.9599999999999999E-2</v>
      </c>
      <c r="N415" s="23">
        <v>0</v>
      </c>
      <c r="O415" s="23">
        <v>32</v>
      </c>
      <c r="P415" s="24">
        <v>32</v>
      </c>
      <c r="Q415" s="38" t="str">
        <f t="shared" si="6"/>
        <v>Weekday</v>
      </c>
    </row>
    <row r="416" spans="1:17">
      <c r="A416" s="1">
        <v>415</v>
      </c>
      <c r="B416" s="2">
        <v>40562</v>
      </c>
      <c r="C416" s="1">
        <v>1</v>
      </c>
      <c r="D416" s="1">
        <v>0</v>
      </c>
      <c r="E416" s="1">
        <v>1</v>
      </c>
      <c r="F416" s="1">
        <v>7</v>
      </c>
      <c r="G416" s="1" t="b">
        <v>0</v>
      </c>
      <c r="H416" s="1">
        <v>3</v>
      </c>
      <c r="I416" s="1">
        <v>2</v>
      </c>
      <c r="J416" s="1">
        <v>0.24</v>
      </c>
      <c r="K416" s="19">
        <v>0.2576</v>
      </c>
      <c r="L416" s="21">
        <v>0.92</v>
      </c>
      <c r="M416" s="21">
        <v>0.1045</v>
      </c>
      <c r="N416" s="21">
        <v>1</v>
      </c>
      <c r="O416" s="21">
        <v>89</v>
      </c>
      <c r="P416" s="22">
        <v>90</v>
      </c>
      <c r="Q416" s="38" t="str">
        <f t="shared" si="6"/>
        <v>Weekday</v>
      </c>
    </row>
    <row r="417" spans="1:17">
      <c r="A417" s="1">
        <v>416</v>
      </c>
      <c r="B417" s="2">
        <v>40562</v>
      </c>
      <c r="C417" s="1">
        <v>1</v>
      </c>
      <c r="D417" s="1">
        <v>0</v>
      </c>
      <c r="E417" s="1">
        <v>1</v>
      </c>
      <c r="F417" s="1">
        <v>8</v>
      </c>
      <c r="G417" s="1" t="b">
        <v>0</v>
      </c>
      <c r="H417" s="1">
        <v>3</v>
      </c>
      <c r="I417" s="1">
        <v>2</v>
      </c>
      <c r="J417" s="1">
        <v>0.24</v>
      </c>
      <c r="K417" s="20">
        <v>0.2576</v>
      </c>
      <c r="L417" s="23">
        <v>0.93</v>
      </c>
      <c r="M417" s="23">
        <v>0.1045</v>
      </c>
      <c r="N417" s="23">
        <v>1</v>
      </c>
      <c r="O417" s="23">
        <v>196</v>
      </c>
      <c r="P417" s="24">
        <v>197</v>
      </c>
      <c r="Q417" s="38" t="str">
        <f t="shared" si="6"/>
        <v>Weekday</v>
      </c>
    </row>
    <row r="418" spans="1:17">
      <c r="A418" s="1">
        <v>417</v>
      </c>
      <c r="B418" s="2">
        <v>40562</v>
      </c>
      <c r="C418" s="1">
        <v>1</v>
      </c>
      <c r="D418" s="1">
        <v>0</v>
      </c>
      <c r="E418" s="1">
        <v>1</v>
      </c>
      <c r="F418" s="1">
        <v>9</v>
      </c>
      <c r="G418" s="1" t="b">
        <v>0</v>
      </c>
      <c r="H418" s="1">
        <v>3</v>
      </c>
      <c r="I418" s="1">
        <v>2</v>
      </c>
      <c r="J418" s="1">
        <v>0.24</v>
      </c>
      <c r="K418" s="19">
        <v>0.2576</v>
      </c>
      <c r="L418" s="21">
        <v>0.93</v>
      </c>
      <c r="M418" s="21">
        <v>0.1045</v>
      </c>
      <c r="N418" s="21">
        <v>2</v>
      </c>
      <c r="O418" s="21">
        <v>107</v>
      </c>
      <c r="P418" s="22">
        <v>109</v>
      </c>
      <c r="Q418" s="38" t="str">
        <f t="shared" si="6"/>
        <v>Weekday</v>
      </c>
    </row>
    <row r="419" spans="1:17">
      <c r="A419" s="1">
        <v>418</v>
      </c>
      <c r="B419" s="2">
        <v>40562</v>
      </c>
      <c r="C419" s="1">
        <v>1</v>
      </c>
      <c r="D419" s="1">
        <v>0</v>
      </c>
      <c r="E419" s="1">
        <v>1</v>
      </c>
      <c r="F419" s="1">
        <v>10</v>
      </c>
      <c r="G419" s="1" t="b">
        <v>0</v>
      </c>
      <c r="H419" s="1">
        <v>3</v>
      </c>
      <c r="I419" s="1">
        <v>2</v>
      </c>
      <c r="J419" s="1">
        <v>0.26</v>
      </c>
      <c r="K419" s="20">
        <v>0.2727</v>
      </c>
      <c r="L419" s="23">
        <v>0.93</v>
      </c>
      <c r="M419" s="23">
        <v>0.1343</v>
      </c>
      <c r="N419" s="23">
        <v>1</v>
      </c>
      <c r="O419" s="23">
        <v>46</v>
      </c>
      <c r="P419" s="24">
        <v>47</v>
      </c>
      <c r="Q419" s="38" t="str">
        <f t="shared" si="6"/>
        <v>Weekday</v>
      </c>
    </row>
    <row r="420" spans="1:17">
      <c r="A420" s="1">
        <v>419</v>
      </c>
      <c r="B420" s="2">
        <v>40562</v>
      </c>
      <c r="C420" s="1">
        <v>1</v>
      </c>
      <c r="D420" s="1">
        <v>0</v>
      </c>
      <c r="E420" s="1">
        <v>1</v>
      </c>
      <c r="F420" s="1">
        <v>11</v>
      </c>
      <c r="G420" s="1" t="b">
        <v>0</v>
      </c>
      <c r="H420" s="1">
        <v>3</v>
      </c>
      <c r="I420" s="1">
        <v>2</v>
      </c>
      <c r="J420" s="1">
        <v>0.28000000000000003</v>
      </c>
      <c r="K420" s="19">
        <v>0.30299999999999999</v>
      </c>
      <c r="L420" s="21">
        <v>0.87</v>
      </c>
      <c r="M420" s="21">
        <v>8.9599999999999999E-2</v>
      </c>
      <c r="N420" s="21">
        <v>5</v>
      </c>
      <c r="O420" s="21">
        <v>47</v>
      </c>
      <c r="P420" s="22">
        <v>52</v>
      </c>
      <c r="Q420" s="38" t="str">
        <f t="shared" si="6"/>
        <v>Weekday</v>
      </c>
    </row>
    <row r="421" spans="1:17">
      <c r="A421" s="1">
        <v>420</v>
      </c>
      <c r="B421" s="2">
        <v>40562</v>
      </c>
      <c r="C421" s="1">
        <v>1</v>
      </c>
      <c r="D421" s="1">
        <v>0</v>
      </c>
      <c r="E421" s="1">
        <v>1</v>
      </c>
      <c r="F421" s="1">
        <v>12</v>
      </c>
      <c r="G421" s="1" t="b">
        <v>0</v>
      </c>
      <c r="H421" s="1">
        <v>3</v>
      </c>
      <c r="I421" s="1">
        <v>2</v>
      </c>
      <c r="J421" s="1">
        <v>0.3</v>
      </c>
      <c r="K421" s="20">
        <v>0.31819999999999998</v>
      </c>
      <c r="L421" s="23">
        <v>0.81</v>
      </c>
      <c r="M421" s="23">
        <v>8.9599999999999999E-2</v>
      </c>
      <c r="N421" s="23">
        <v>5</v>
      </c>
      <c r="O421" s="23">
        <v>65</v>
      </c>
      <c r="P421" s="24">
        <v>70</v>
      </c>
      <c r="Q421" s="38" t="str">
        <f t="shared" si="6"/>
        <v>Weekday</v>
      </c>
    </row>
    <row r="422" spans="1:17">
      <c r="A422" s="1">
        <v>421</v>
      </c>
      <c r="B422" s="2">
        <v>40562</v>
      </c>
      <c r="C422" s="1">
        <v>1</v>
      </c>
      <c r="D422" s="1">
        <v>0</v>
      </c>
      <c r="E422" s="1">
        <v>1</v>
      </c>
      <c r="F422" s="1">
        <v>13</v>
      </c>
      <c r="G422" s="1" t="b">
        <v>0</v>
      </c>
      <c r="H422" s="1">
        <v>3</v>
      </c>
      <c r="I422" s="1">
        <v>1</v>
      </c>
      <c r="J422" s="1">
        <v>0.4</v>
      </c>
      <c r="K422" s="19">
        <v>0.40910000000000002</v>
      </c>
      <c r="L422" s="21">
        <v>0.62</v>
      </c>
      <c r="M422" s="21">
        <v>0.28360000000000002</v>
      </c>
      <c r="N422" s="21">
        <v>11</v>
      </c>
      <c r="O422" s="21">
        <v>67</v>
      </c>
      <c r="P422" s="22">
        <v>78</v>
      </c>
      <c r="Q422" s="38" t="str">
        <f t="shared" si="6"/>
        <v>Weekday</v>
      </c>
    </row>
    <row r="423" spans="1:17">
      <c r="A423" s="1">
        <v>422</v>
      </c>
      <c r="B423" s="2">
        <v>40562</v>
      </c>
      <c r="C423" s="1">
        <v>1</v>
      </c>
      <c r="D423" s="1">
        <v>0</v>
      </c>
      <c r="E423" s="1">
        <v>1</v>
      </c>
      <c r="F423" s="1">
        <v>14</v>
      </c>
      <c r="G423" s="1" t="b">
        <v>0</v>
      </c>
      <c r="H423" s="1">
        <v>3</v>
      </c>
      <c r="I423" s="1">
        <v>1</v>
      </c>
      <c r="J423" s="1">
        <v>0.4</v>
      </c>
      <c r="K423" s="20">
        <v>0.40910000000000002</v>
      </c>
      <c r="L423" s="23">
        <v>0.57999999999999996</v>
      </c>
      <c r="M423" s="23">
        <v>0.25369999999999998</v>
      </c>
      <c r="N423" s="23">
        <v>7</v>
      </c>
      <c r="O423" s="23">
        <v>68</v>
      </c>
      <c r="P423" s="24">
        <v>75</v>
      </c>
      <c r="Q423" s="38" t="str">
        <f t="shared" si="6"/>
        <v>Weekday</v>
      </c>
    </row>
    <row r="424" spans="1:17">
      <c r="A424" s="1">
        <v>423</v>
      </c>
      <c r="B424" s="2">
        <v>40562</v>
      </c>
      <c r="C424" s="1">
        <v>1</v>
      </c>
      <c r="D424" s="1">
        <v>0</v>
      </c>
      <c r="E424" s="1">
        <v>1</v>
      </c>
      <c r="F424" s="1">
        <v>15</v>
      </c>
      <c r="G424" s="1" t="b">
        <v>0</v>
      </c>
      <c r="H424" s="1">
        <v>3</v>
      </c>
      <c r="I424" s="1">
        <v>1</v>
      </c>
      <c r="J424" s="1">
        <v>0.4</v>
      </c>
      <c r="K424" s="19">
        <v>0.40910000000000002</v>
      </c>
      <c r="L424" s="21">
        <v>0.54</v>
      </c>
      <c r="M424" s="21">
        <v>0.28360000000000002</v>
      </c>
      <c r="N424" s="21">
        <v>4</v>
      </c>
      <c r="O424" s="21">
        <v>78</v>
      </c>
      <c r="P424" s="22">
        <v>82</v>
      </c>
      <c r="Q424" s="38" t="str">
        <f t="shared" si="6"/>
        <v>Weekday</v>
      </c>
    </row>
    <row r="425" spans="1:17">
      <c r="A425" s="1">
        <v>424</v>
      </c>
      <c r="B425" s="2">
        <v>40562</v>
      </c>
      <c r="C425" s="1">
        <v>1</v>
      </c>
      <c r="D425" s="1">
        <v>0</v>
      </c>
      <c r="E425" s="1">
        <v>1</v>
      </c>
      <c r="F425" s="1">
        <v>16</v>
      </c>
      <c r="G425" s="1" t="b">
        <v>0</v>
      </c>
      <c r="H425" s="1">
        <v>3</v>
      </c>
      <c r="I425" s="1">
        <v>1</v>
      </c>
      <c r="J425" s="1">
        <v>0.38</v>
      </c>
      <c r="K425" s="20">
        <v>0.39389999999999997</v>
      </c>
      <c r="L425" s="23">
        <v>0.57999999999999996</v>
      </c>
      <c r="M425" s="23">
        <v>0.3881</v>
      </c>
      <c r="N425" s="23">
        <v>10</v>
      </c>
      <c r="O425" s="23">
        <v>94</v>
      </c>
      <c r="P425" s="24">
        <v>104</v>
      </c>
      <c r="Q425" s="38" t="str">
        <f t="shared" si="6"/>
        <v>Weekday</v>
      </c>
    </row>
    <row r="426" spans="1:17">
      <c r="A426" s="1">
        <v>425</v>
      </c>
      <c r="B426" s="2">
        <v>40562</v>
      </c>
      <c r="C426" s="1">
        <v>1</v>
      </c>
      <c r="D426" s="1">
        <v>0</v>
      </c>
      <c r="E426" s="1">
        <v>1</v>
      </c>
      <c r="F426" s="1">
        <v>17</v>
      </c>
      <c r="G426" s="1" t="b">
        <v>0</v>
      </c>
      <c r="H426" s="1">
        <v>3</v>
      </c>
      <c r="I426" s="1">
        <v>1</v>
      </c>
      <c r="J426" s="1">
        <v>0.36</v>
      </c>
      <c r="K426" s="19">
        <v>0.33329999999999999</v>
      </c>
      <c r="L426" s="21">
        <v>0.56999999999999995</v>
      </c>
      <c r="M426" s="21">
        <v>0.32840000000000003</v>
      </c>
      <c r="N426" s="21">
        <v>7</v>
      </c>
      <c r="O426" s="21">
        <v>190</v>
      </c>
      <c r="P426" s="22">
        <v>197</v>
      </c>
      <c r="Q426" s="38" t="str">
        <f t="shared" si="6"/>
        <v>Weekday</v>
      </c>
    </row>
    <row r="427" spans="1:17">
      <c r="A427" s="1">
        <v>426</v>
      </c>
      <c r="B427" s="2">
        <v>40562</v>
      </c>
      <c r="C427" s="1">
        <v>1</v>
      </c>
      <c r="D427" s="1">
        <v>0</v>
      </c>
      <c r="E427" s="1">
        <v>1</v>
      </c>
      <c r="F427" s="1">
        <v>18</v>
      </c>
      <c r="G427" s="1" t="b">
        <v>0</v>
      </c>
      <c r="H427" s="1">
        <v>3</v>
      </c>
      <c r="I427" s="1">
        <v>1</v>
      </c>
      <c r="J427" s="1">
        <v>0.34</v>
      </c>
      <c r="K427" s="20">
        <v>0.31819999999999998</v>
      </c>
      <c r="L427" s="23">
        <v>0.61</v>
      </c>
      <c r="M427" s="23">
        <v>0.28360000000000002</v>
      </c>
      <c r="N427" s="23">
        <v>5</v>
      </c>
      <c r="O427" s="23">
        <v>156</v>
      </c>
      <c r="P427" s="24">
        <v>161</v>
      </c>
      <c r="Q427" s="38" t="str">
        <f t="shared" si="6"/>
        <v>Weekday</v>
      </c>
    </row>
    <row r="428" spans="1:17">
      <c r="A428" s="1">
        <v>427</v>
      </c>
      <c r="B428" s="2">
        <v>40562</v>
      </c>
      <c r="C428" s="1">
        <v>1</v>
      </c>
      <c r="D428" s="1">
        <v>0</v>
      </c>
      <c r="E428" s="1">
        <v>1</v>
      </c>
      <c r="F428" s="1">
        <v>19</v>
      </c>
      <c r="G428" s="1" t="b">
        <v>0</v>
      </c>
      <c r="H428" s="1">
        <v>3</v>
      </c>
      <c r="I428" s="1">
        <v>1</v>
      </c>
      <c r="J428" s="1">
        <v>0.32</v>
      </c>
      <c r="K428" s="19">
        <v>0.28789999999999999</v>
      </c>
      <c r="L428" s="21">
        <v>0.56999999999999995</v>
      </c>
      <c r="M428" s="21">
        <v>0.41789999999999999</v>
      </c>
      <c r="N428" s="21">
        <v>4</v>
      </c>
      <c r="O428" s="21">
        <v>108</v>
      </c>
      <c r="P428" s="22">
        <v>112</v>
      </c>
      <c r="Q428" s="38" t="str">
        <f t="shared" si="6"/>
        <v>Weekday</v>
      </c>
    </row>
    <row r="429" spans="1:17">
      <c r="A429" s="1">
        <v>428</v>
      </c>
      <c r="B429" s="2">
        <v>40562</v>
      </c>
      <c r="C429" s="1">
        <v>1</v>
      </c>
      <c r="D429" s="1">
        <v>0</v>
      </c>
      <c r="E429" s="1">
        <v>1</v>
      </c>
      <c r="F429" s="1">
        <v>20</v>
      </c>
      <c r="G429" s="1" t="b">
        <v>0</v>
      </c>
      <c r="H429" s="1">
        <v>3</v>
      </c>
      <c r="I429" s="1">
        <v>1</v>
      </c>
      <c r="J429" s="1">
        <v>0.32</v>
      </c>
      <c r="K429" s="20">
        <v>0.30299999999999999</v>
      </c>
      <c r="L429" s="23">
        <v>0.49</v>
      </c>
      <c r="M429" s="23">
        <v>0.29849999999999999</v>
      </c>
      <c r="N429" s="23">
        <v>2</v>
      </c>
      <c r="O429" s="23">
        <v>74</v>
      </c>
      <c r="P429" s="24">
        <v>76</v>
      </c>
      <c r="Q429" s="38" t="str">
        <f t="shared" si="6"/>
        <v>Weekday</v>
      </c>
    </row>
    <row r="430" spans="1:17">
      <c r="A430" s="1">
        <v>429</v>
      </c>
      <c r="B430" s="2">
        <v>40562</v>
      </c>
      <c r="C430" s="1">
        <v>1</v>
      </c>
      <c r="D430" s="1">
        <v>0</v>
      </c>
      <c r="E430" s="1">
        <v>1</v>
      </c>
      <c r="F430" s="1">
        <v>21</v>
      </c>
      <c r="G430" s="1" t="b">
        <v>0</v>
      </c>
      <c r="H430" s="1">
        <v>3</v>
      </c>
      <c r="I430" s="1">
        <v>1</v>
      </c>
      <c r="J430" s="1">
        <v>0.32</v>
      </c>
      <c r="K430" s="19">
        <v>0.28789999999999999</v>
      </c>
      <c r="L430" s="21">
        <v>0.49</v>
      </c>
      <c r="M430" s="21">
        <v>0.41789999999999999</v>
      </c>
      <c r="N430" s="21">
        <v>4</v>
      </c>
      <c r="O430" s="21">
        <v>55</v>
      </c>
      <c r="P430" s="22">
        <v>59</v>
      </c>
      <c r="Q430" s="38" t="str">
        <f t="shared" si="6"/>
        <v>Weekday</v>
      </c>
    </row>
    <row r="431" spans="1:17">
      <c r="A431" s="1">
        <v>430</v>
      </c>
      <c r="B431" s="2">
        <v>40562</v>
      </c>
      <c r="C431" s="1">
        <v>1</v>
      </c>
      <c r="D431" s="1">
        <v>0</v>
      </c>
      <c r="E431" s="1">
        <v>1</v>
      </c>
      <c r="F431" s="1">
        <v>22</v>
      </c>
      <c r="G431" s="1" t="b">
        <v>0</v>
      </c>
      <c r="H431" s="1">
        <v>3</v>
      </c>
      <c r="I431" s="1">
        <v>1</v>
      </c>
      <c r="J431" s="1">
        <v>0.3</v>
      </c>
      <c r="K431" s="20">
        <v>0.30299999999999999</v>
      </c>
      <c r="L431" s="23">
        <v>0.52</v>
      </c>
      <c r="M431" s="23">
        <v>0.16420000000000001</v>
      </c>
      <c r="N431" s="23">
        <v>6</v>
      </c>
      <c r="O431" s="23">
        <v>53</v>
      </c>
      <c r="P431" s="24">
        <v>59</v>
      </c>
      <c r="Q431" s="38" t="str">
        <f t="shared" si="6"/>
        <v>Weekday</v>
      </c>
    </row>
    <row r="432" spans="1:17">
      <c r="A432" s="1">
        <v>431</v>
      </c>
      <c r="B432" s="2">
        <v>40562</v>
      </c>
      <c r="C432" s="1">
        <v>1</v>
      </c>
      <c r="D432" s="1">
        <v>0</v>
      </c>
      <c r="E432" s="1">
        <v>1</v>
      </c>
      <c r="F432" s="1">
        <v>23</v>
      </c>
      <c r="G432" s="1" t="b">
        <v>0</v>
      </c>
      <c r="H432" s="1">
        <v>3</v>
      </c>
      <c r="I432" s="1">
        <v>1</v>
      </c>
      <c r="J432" s="1">
        <v>0.3</v>
      </c>
      <c r="K432" s="19">
        <v>0.2727</v>
      </c>
      <c r="L432" s="21">
        <v>0.52</v>
      </c>
      <c r="M432" s="21">
        <v>0.4627</v>
      </c>
      <c r="N432" s="21">
        <v>1</v>
      </c>
      <c r="O432" s="21">
        <v>27</v>
      </c>
      <c r="P432" s="22">
        <v>28</v>
      </c>
      <c r="Q432" s="38" t="str">
        <f t="shared" si="6"/>
        <v>Weekday</v>
      </c>
    </row>
    <row r="433" spans="1:17">
      <c r="A433" s="1">
        <v>432</v>
      </c>
      <c r="B433" s="2">
        <v>40563</v>
      </c>
      <c r="C433" s="1">
        <v>1</v>
      </c>
      <c r="D433" s="1">
        <v>0</v>
      </c>
      <c r="E433" s="1">
        <v>1</v>
      </c>
      <c r="F433" s="1">
        <v>0</v>
      </c>
      <c r="G433" s="1" t="b">
        <v>0</v>
      </c>
      <c r="H433" s="1">
        <v>4</v>
      </c>
      <c r="I433" s="1">
        <v>1</v>
      </c>
      <c r="J433" s="1">
        <v>0.26</v>
      </c>
      <c r="K433" s="20">
        <v>0.2273</v>
      </c>
      <c r="L433" s="23">
        <v>0.56000000000000005</v>
      </c>
      <c r="M433" s="23">
        <v>0.3881</v>
      </c>
      <c r="N433" s="23">
        <v>5</v>
      </c>
      <c r="O433" s="23">
        <v>8</v>
      </c>
      <c r="P433" s="24">
        <v>13</v>
      </c>
      <c r="Q433" s="38" t="str">
        <f t="shared" si="6"/>
        <v>Weekday</v>
      </c>
    </row>
    <row r="434" spans="1:17">
      <c r="A434" s="1">
        <v>433</v>
      </c>
      <c r="B434" s="2">
        <v>40563</v>
      </c>
      <c r="C434" s="1">
        <v>1</v>
      </c>
      <c r="D434" s="1">
        <v>0</v>
      </c>
      <c r="E434" s="1">
        <v>1</v>
      </c>
      <c r="F434" s="1">
        <v>1</v>
      </c>
      <c r="G434" s="1" t="b">
        <v>0</v>
      </c>
      <c r="H434" s="1">
        <v>4</v>
      </c>
      <c r="I434" s="1">
        <v>1</v>
      </c>
      <c r="J434" s="1">
        <v>0.26</v>
      </c>
      <c r="K434" s="19">
        <v>0.2727</v>
      </c>
      <c r="L434" s="21">
        <v>0.56000000000000005</v>
      </c>
      <c r="M434" s="21">
        <v>0</v>
      </c>
      <c r="N434" s="21">
        <v>2</v>
      </c>
      <c r="O434" s="21">
        <v>3</v>
      </c>
      <c r="P434" s="22">
        <v>5</v>
      </c>
      <c r="Q434" s="38" t="str">
        <f t="shared" si="6"/>
        <v>Weekday</v>
      </c>
    </row>
    <row r="435" spans="1:17">
      <c r="A435" s="1">
        <v>434</v>
      </c>
      <c r="B435" s="2">
        <v>40563</v>
      </c>
      <c r="C435" s="1">
        <v>1</v>
      </c>
      <c r="D435" s="1">
        <v>0</v>
      </c>
      <c r="E435" s="1">
        <v>1</v>
      </c>
      <c r="F435" s="1">
        <v>2</v>
      </c>
      <c r="G435" s="1" t="b">
        <v>0</v>
      </c>
      <c r="H435" s="1">
        <v>4</v>
      </c>
      <c r="I435" s="1">
        <v>1</v>
      </c>
      <c r="J435" s="1">
        <v>0.26</v>
      </c>
      <c r="K435" s="20">
        <v>0.2727</v>
      </c>
      <c r="L435" s="23">
        <v>0.56000000000000005</v>
      </c>
      <c r="M435" s="23">
        <v>0</v>
      </c>
      <c r="N435" s="23">
        <v>0</v>
      </c>
      <c r="O435" s="23">
        <v>2</v>
      </c>
      <c r="P435" s="24">
        <v>2</v>
      </c>
      <c r="Q435" s="38" t="str">
        <f t="shared" si="6"/>
        <v>Weekday</v>
      </c>
    </row>
    <row r="436" spans="1:17">
      <c r="A436" s="1">
        <v>435</v>
      </c>
      <c r="B436" s="2">
        <v>40563</v>
      </c>
      <c r="C436" s="1">
        <v>1</v>
      </c>
      <c r="D436" s="1">
        <v>0</v>
      </c>
      <c r="E436" s="1">
        <v>1</v>
      </c>
      <c r="F436" s="1">
        <v>3</v>
      </c>
      <c r="G436" s="1" t="b">
        <v>0</v>
      </c>
      <c r="H436" s="1">
        <v>4</v>
      </c>
      <c r="I436" s="1">
        <v>1</v>
      </c>
      <c r="J436" s="1">
        <v>0.26</v>
      </c>
      <c r="K436" s="19">
        <v>0.2576</v>
      </c>
      <c r="L436" s="21">
        <v>0.56000000000000005</v>
      </c>
      <c r="M436" s="21">
        <v>0.16420000000000001</v>
      </c>
      <c r="N436" s="21">
        <v>0</v>
      </c>
      <c r="O436" s="21">
        <v>1</v>
      </c>
      <c r="P436" s="22">
        <v>1</v>
      </c>
      <c r="Q436" s="38" t="str">
        <f t="shared" si="6"/>
        <v>Weekday</v>
      </c>
    </row>
    <row r="437" spans="1:17">
      <c r="A437" s="1">
        <v>436</v>
      </c>
      <c r="B437" s="2">
        <v>40563</v>
      </c>
      <c r="C437" s="1">
        <v>1</v>
      </c>
      <c r="D437" s="1">
        <v>0</v>
      </c>
      <c r="E437" s="1">
        <v>1</v>
      </c>
      <c r="F437" s="1">
        <v>4</v>
      </c>
      <c r="G437" s="1" t="b">
        <v>0</v>
      </c>
      <c r="H437" s="1">
        <v>4</v>
      </c>
      <c r="I437" s="1">
        <v>1</v>
      </c>
      <c r="J437" s="1">
        <v>0.26</v>
      </c>
      <c r="K437" s="20">
        <v>0.2576</v>
      </c>
      <c r="L437" s="23">
        <v>0.56000000000000005</v>
      </c>
      <c r="M437" s="23">
        <v>0.16420000000000001</v>
      </c>
      <c r="N437" s="23">
        <v>0</v>
      </c>
      <c r="O437" s="23">
        <v>1</v>
      </c>
      <c r="P437" s="24">
        <v>1</v>
      </c>
      <c r="Q437" s="38" t="str">
        <f t="shared" si="6"/>
        <v>Weekday</v>
      </c>
    </row>
    <row r="438" spans="1:17">
      <c r="A438" s="1">
        <v>437</v>
      </c>
      <c r="B438" s="2">
        <v>40563</v>
      </c>
      <c r="C438" s="1">
        <v>1</v>
      </c>
      <c r="D438" s="1">
        <v>0</v>
      </c>
      <c r="E438" s="1">
        <v>1</v>
      </c>
      <c r="F438" s="1">
        <v>5</v>
      </c>
      <c r="G438" s="1" t="b">
        <v>0</v>
      </c>
      <c r="H438" s="1">
        <v>4</v>
      </c>
      <c r="I438" s="1">
        <v>1</v>
      </c>
      <c r="J438" s="1">
        <v>0.24</v>
      </c>
      <c r="K438" s="19">
        <v>0.2273</v>
      </c>
      <c r="L438" s="21">
        <v>0.6</v>
      </c>
      <c r="M438" s="21">
        <v>0.22389999999999999</v>
      </c>
      <c r="N438" s="21">
        <v>0</v>
      </c>
      <c r="O438" s="21">
        <v>6</v>
      </c>
      <c r="P438" s="22">
        <v>6</v>
      </c>
      <c r="Q438" s="38" t="str">
        <f t="shared" si="6"/>
        <v>Weekday</v>
      </c>
    </row>
    <row r="439" spans="1:17">
      <c r="A439" s="1">
        <v>438</v>
      </c>
      <c r="B439" s="2">
        <v>40563</v>
      </c>
      <c r="C439" s="1">
        <v>1</v>
      </c>
      <c r="D439" s="1">
        <v>0</v>
      </c>
      <c r="E439" s="1">
        <v>1</v>
      </c>
      <c r="F439" s="1">
        <v>6</v>
      </c>
      <c r="G439" s="1" t="b">
        <v>0</v>
      </c>
      <c r="H439" s="1">
        <v>4</v>
      </c>
      <c r="I439" s="1">
        <v>1</v>
      </c>
      <c r="J439" s="1">
        <v>0.22</v>
      </c>
      <c r="K439" s="20">
        <v>0.21210000000000001</v>
      </c>
      <c r="L439" s="23">
        <v>0.6</v>
      </c>
      <c r="M439" s="23">
        <v>0.22389999999999999</v>
      </c>
      <c r="N439" s="23">
        <v>0</v>
      </c>
      <c r="O439" s="23">
        <v>35</v>
      </c>
      <c r="P439" s="24">
        <v>35</v>
      </c>
      <c r="Q439" s="38" t="str">
        <f t="shared" si="6"/>
        <v>Weekday</v>
      </c>
    </row>
    <row r="440" spans="1:17">
      <c r="A440" s="1">
        <v>439</v>
      </c>
      <c r="B440" s="2">
        <v>40563</v>
      </c>
      <c r="C440" s="1">
        <v>1</v>
      </c>
      <c r="D440" s="1">
        <v>0</v>
      </c>
      <c r="E440" s="1">
        <v>1</v>
      </c>
      <c r="F440" s="1">
        <v>7</v>
      </c>
      <c r="G440" s="1" t="b">
        <v>0</v>
      </c>
      <c r="H440" s="1">
        <v>4</v>
      </c>
      <c r="I440" s="1">
        <v>1</v>
      </c>
      <c r="J440" s="1">
        <v>0.22</v>
      </c>
      <c r="K440" s="19">
        <v>0.21210000000000001</v>
      </c>
      <c r="L440" s="21">
        <v>0.55000000000000004</v>
      </c>
      <c r="M440" s="21">
        <v>0.22389999999999999</v>
      </c>
      <c r="N440" s="21">
        <v>1</v>
      </c>
      <c r="O440" s="21">
        <v>100</v>
      </c>
      <c r="P440" s="22">
        <v>101</v>
      </c>
      <c r="Q440" s="38" t="str">
        <f t="shared" si="6"/>
        <v>Weekday</v>
      </c>
    </row>
    <row r="441" spans="1:17">
      <c r="A441" s="1">
        <v>440</v>
      </c>
      <c r="B441" s="2">
        <v>40563</v>
      </c>
      <c r="C441" s="1">
        <v>1</v>
      </c>
      <c r="D441" s="1">
        <v>0</v>
      </c>
      <c r="E441" s="1">
        <v>1</v>
      </c>
      <c r="F441" s="1">
        <v>8</v>
      </c>
      <c r="G441" s="1" t="b">
        <v>0</v>
      </c>
      <c r="H441" s="1">
        <v>4</v>
      </c>
      <c r="I441" s="1">
        <v>1</v>
      </c>
      <c r="J441" s="1">
        <v>0.22</v>
      </c>
      <c r="K441" s="20">
        <v>0.21210000000000001</v>
      </c>
      <c r="L441" s="23">
        <v>0.55000000000000004</v>
      </c>
      <c r="M441" s="23">
        <v>0.28360000000000002</v>
      </c>
      <c r="N441" s="23">
        <v>2</v>
      </c>
      <c r="O441" s="23">
        <v>247</v>
      </c>
      <c r="P441" s="24">
        <v>249</v>
      </c>
      <c r="Q441" s="38" t="str">
        <f t="shared" si="6"/>
        <v>Weekday</v>
      </c>
    </row>
    <row r="442" spans="1:17">
      <c r="A442" s="1">
        <v>441</v>
      </c>
      <c r="B442" s="2">
        <v>40563</v>
      </c>
      <c r="C442" s="1">
        <v>1</v>
      </c>
      <c r="D442" s="1">
        <v>0</v>
      </c>
      <c r="E442" s="1">
        <v>1</v>
      </c>
      <c r="F442" s="1">
        <v>9</v>
      </c>
      <c r="G442" s="1" t="b">
        <v>0</v>
      </c>
      <c r="H442" s="1">
        <v>4</v>
      </c>
      <c r="I442" s="1">
        <v>2</v>
      </c>
      <c r="J442" s="1">
        <v>0.24</v>
      </c>
      <c r="K442" s="19">
        <v>0.2273</v>
      </c>
      <c r="L442" s="21">
        <v>0.52</v>
      </c>
      <c r="M442" s="21">
        <v>0.22389999999999999</v>
      </c>
      <c r="N442" s="21">
        <v>3</v>
      </c>
      <c r="O442" s="21">
        <v>140</v>
      </c>
      <c r="P442" s="22">
        <v>143</v>
      </c>
      <c r="Q442" s="38" t="str">
        <f t="shared" si="6"/>
        <v>Weekday</v>
      </c>
    </row>
    <row r="443" spans="1:17">
      <c r="A443" s="1">
        <v>442</v>
      </c>
      <c r="B443" s="2">
        <v>40563</v>
      </c>
      <c r="C443" s="1">
        <v>1</v>
      </c>
      <c r="D443" s="1">
        <v>0</v>
      </c>
      <c r="E443" s="1">
        <v>1</v>
      </c>
      <c r="F443" s="1">
        <v>10</v>
      </c>
      <c r="G443" s="1" t="b">
        <v>0</v>
      </c>
      <c r="H443" s="1">
        <v>4</v>
      </c>
      <c r="I443" s="1">
        <v>1</v>
      </c>
      <c r="J443" s="1">
        <v>0.26</v>
      </c>
      <c r="K443" s="20">
        <v>0.2273</v>
      </c>
      <c r="L443" s="23">
        <v>0.48</v>
      </c>
      <c r="M443" s="23">
        <v>0.29849999999999999</v>
      </c>
      <c r="N443" s="23">
        <v>1</v>
      </c>
      <c r="O443" s="23">
        <v>56</v>
      </c>
      <c r="P443" s="24">
        <v>57</v>
      </c>
      <c r="Q443" s="38" t="str">
        <f t="shared" si="6"/>
        <v>Weekday</v>
      </c>
    </row>
    <row r="444" spans="1:17">
      <c r="A444" s="1">
        <v>443</v>
      </c>
      <c r="B444" s="2">
        <v>40563</v>
      </c>
      <c r="C444" s="1">
        <v>1</v>
      </c>
      <c r="D444" s="1">
        <v>0</v>
      </c>
      <c r="E444" s="1">
        <v>1</v>
      </c>
      <c r="F444" s="1">
        <v>11</v>
      </c>
      <c r="G444" s="1" t="b">
        <v>0</v>
      </c>
      <c r="H444" s="1">
        <v>4</v>
      </c>
      <c r="I444" s="1">
        <v>2</v>
      </c>
      <c r="J444" s="1">
        <v>0.28000000000000003</v>
      </c>
      <c r="K444" s="19">
        <v>0.2727</v>
      </c>
      <c r="L444" s="21">
        <v>0.45</v>
      </c>
      <c r="M444" s="21">
        <v>0.16420000000000001</v>
      </c>
      <c r="N444" s="21">
        <v>5</v>
      </c>
      <c r="O444" s="21">
        <v>63</v>
      </c>
      <c r="P444" s="22">
        <v>68</v>
      </c>
      <c r="Q444" s="38" t="str">
        <f t="shared" si="6"/>
        <v>Weekday</v>
      </c>
    </row>
    <row r="445" spans="1:17">
      <c r="A445" s="1">
        <v>444</v>
      </c>
      <c r="B445" s="2">
        <v>40563</v>
      </c>
      <c r="C445" s="1">
        <v>1</v>
      </c>
      <c r="D445" s="1">
        <v>0</v>
      </c>
      <c r="E445" s="1">
        <v>1</v>
      </c>
      <c r="F445" s="1">
        <v>12</v>
      </c>
      <c r="G445" s="1" t="b">
        <v>0</v>
      </c>
      <c r="H445" s="1">
        <v>4</v>
      </c>
      <c r="I445" s="1">
        <v>2</v>
      </c>
      <c r="J445" s="1">
        <v>0.3</v>
      </c>
      <c r="K445" s="20">
        <v>0.33329999999999999</v>
      </c>
      <c r="L445" s="23">
        <v>0.42</v>
      </c>
      <c r="M445" s="23">
        <v>0</v>
      </c>
      <c r="N445" s="23">
        <v>7</v>
      </c>
      <c r="O445" s="23">
        <v>77</v>
      </c>
      <c r="P445" s="24">
        <v>84</v>
      </c>
      <c r="Q445" s="38" t="str">
        <f t="shared" si="6"/>
        <v>Weekday</v>
      </c>
    </row>
    <row r="446" spans="1:17">
      <c r="A446" s="1">
        <v>445</v>
      </c>
      <c r="B446" s="2">
        <v>40563</v>
      </c>
      <c r="C446" s="1">
        <v>1</v>
      </c>
      <c r="D446" s="1">
        <v>0</v>
      </c>
      <c r="E446" s="1">
        <v>1</v>
      </c>
      <c r="F446" s="1">
        <v>13</v>
      </c>
      <c r="G446" s="1" t="b">
        <v>0</v>
      </c>
      <c r="H446" s="1">
        <v>4</v>
      </c>
      <c r="I446" s="1">
        <v>2</v>
      </c>
      <c r="J446" s="1">
        <v>0.28000000000000003</v>
      </c>
      <c r="K446" s="19">
        <v>0.28789999999999999</v>
      </c>
      <c r="L446" s="21">
        <v>0.45</v>
      </c>
      <c r="M446" s="21">
        <v>0.1045</v>
      </c>
      <c r="N446" s="21">
        <v>12</v>
      </c>
      <c r="O446" s="21">
        <v>86</v>
      </c>
      <c r="P446" s="22">
        <v>98</v>
      </c>
      <c r="Q446" s="38" t="str">
        <f t="shared" si="6"/>
        <v>Weekday</v>
      </c>
    </row>
    <row r="447" spans="1:17">
      <c r="A447" s="1">
        <v>446</v>
      </c>
      <c r="B447" s="2">
        <v>40563</v>
      </c>
      <c r="C447" s="1">
        <v>1</v>
      </c>
      <c r="D447" s="1">
        <v>0</v>
      </c>
      <c r="E447" s="1">
        <v>1</v>
      </c>
      <c r="F447" s="1">
        <v>14</v>
      </c>
      <c r="G447" s="1" t="b">
        <v>0</v>
      </c>
      <c r="H447" s="1">
        <v>4</v>
      </c>
      <c r="I447" s="1">
        <v>2</v>
      </c>
      <c r="J447" s="1">
        <v>0.3</v>
      </c>
      <c r="K447" s="20">
        <v>0.30299999999999999</v>
      </c>
      <c r="L447" s="23">
        <v>0.45</v>
      </c>
      <c r="M447" s="23">
        <v>0.1343</v>
      </c>
      <c r="N447" s="23">
        <v>6</v>
      </c>
      <c r="O447" s="23">
        <v>75</v>
      </c>
      <c r="P447" s="24">
        <v>81</v>
      </c>
      <c r="Q447" s="38" t="str">
        <f t="shared" si="6"/>
        <v>Weekday</v>
      </c>
    </row>
    <row r="448" spans="1:17">
      <c r="A448" s="1">
        <v>447</v>
      </c>
      <c r="B448" s="2">
        <v>40563</v>
      </c>
      <c r="C448" s="1">
        <v>1</v>
      </c>
      <c r="D448" s="1">
        <v>0</v>
      </c>
      <c r="E448" s="1">
        <v>1</v>
      </c>
      <c r="F448" s="1">
        <v>15</v>
      </c>
      <c r="G448" s="1" t="b">
        <v>0</v>
      </c>
      <c r="H448" s="1">
        <v>4</v>
      </c>
      <c r="I448" s="1">
        <v>2</v>
      </c>
      <c r="J448" s="1">
        <v>0.32</v>
      </c>
      <c r="K448" s="19">
        <v>0.31819999999999998</v>
      </c>
      <c r="L448" s="21">
        <v>0.45</v>
      </c>
      <c r="M448" s="21">
        <v>0.19400000000000001</v>
      </c>
      <c r="N448" s="21">
        <v>8</v>
      </c>
      <c r="O448" s="21">
        <v>62</v>
      </c>
      <c r="P448" s="22">
        <v>70</v>
      </c>
      <c r="Q448" s="38" t="str">
        <f t="shared" si="6"/>
        <v>Weekday</v>
      </c>
    </row>
    <row r="449" spans="1:17">
      <c r="A449" s="1">
        <v>448</v>
      </c>
      <c r="B449" s="2">
        <v>40563</v>
      </c>
      <c r="C449" s="1">
        <v>1</v>
      </c>
      <c r="D449" s="1">
        <v>0</v>
      </c>
      <c r="E449" s="1">
        <v>1</v>
      </c>
      <c r="F449" s="1">
        <v>16</v>
      </c>
      <c r="G449" s="1" t="b">
        <v>0</v>
      </c>
      <c r="H449" s="1">
        <v>4</v>
      </c>
      <c r="I449" s="1">
        <v>2</v>
      </c>
      <c r="J449" s="1">
        <v>0.3</v>
      </c>
      <c r="K449" s="20">
        <v>0.30299999999999999</v>
      </c>
      <c r="L449" s="23">
        <v>0.49</v>
      </c>
      <c r="M449" s="23">
        <v>0.1343</v>
      </c>
      <c r="N449" s="23">
        <v>8</v>
      </c>
      <c r="O449" s="23">
        <v>83</v>
      </c>
      <c r="P449" s="24">
        <v>91</v>
      </c>
      <c r="Q449" s="38" t="str">
        <f t="shared" si="6"/>
        <v>Weekday</v>
      </c>
    </row>
    <row r="450" spans="1:17">
      <c r="A450" s="1">
        <v>449</v>
      </c>
      <c r="B450" s="2">
        <v>40563</v>
      </c>
      <c r="C450" s="1">
        <v>1</v>
      </c>
      <c r="D450" s="1">
        <v>0</v>
      </c>
      <c r="E450" s="1">
        <v>1</v>
      </c>
      <c r="F450" s="1">
        <v>17</v>
      </c>
      <c r="G450" s="1" t="b">
        <v>0</v>
      </c>
      <c r="H450" s="1">
        <v>4</v>
      </c>
      <c r="I450" s="1">
        <v>2</v>
      </c>
      <c r="J450" s="1">
        <v>0.3</v>
      </c>
      <c r="K450" s="19">
        <v>0.31819999999999998</v>
      </c>
      <c r="L450" s="21">
        <v>0.49</v>
      </c>
      <c r="M450" s="21">
        <v>0.1045</v>
      </c>
      <c r="N450" s="21">
        <v>8</v>
      </c>
      <c r="O450" s="21">
        <v>207</v>
      </c>
      <c r="P450" s="22">
        <v>215</v>
      </c>
      <c r="Q450" s="38" t="str">
        <f t="shared" ref="Q450:Q513" si="7">IF(H450&gt;=6,"Weekend","Weekday")</f>
        <v>Weekday</v>
      </c>
    </row>
    <row r="451" spans="1:17">
      <c r="A451" s="1">
        <v>450</v>
      </c>
      <c r="B451" s="2">
        <v>40563</v>
      </c>
      <c r="C451" s="1">
        <v>1</v>
      </c>
      <c r="D451" s="1">
        <v>0</v>
      </c>
      <c r="E451" s="1">
        <v>1</v>
      </c>
      <c r="F451" s="1">
        <v>18</v>
      </c>
      <c r="G451" s="1" t="b">
        <v>0</v>
      </c>
      <c r="H451" s="1">
        <v>4</v>
      </c>
      <c r="I451" s="1">
        <v>2</v>
      </c>
      <c r="J451" s="1">
        <v>0.26</v>
      </c>
      <c r="K451" s="20">
        <v>0.2576</v>
      </c>
      <c r="L451" s="23">
        <v>0.56000000000000005</v>
      </c>
      <c r="M451" s="23">
        <v>0.19400000000000001</v>
      </c>
      <c r="N451" s="23">
        <v>1</v>
      </c>
      <c r="O451" s="23">
        <v>184</v>
      </c>
      <c r="P451" s="24">
        <v>185</v>
      </c>
      <c r="Q451" s="38" t="str">
        <f t="shared" si="7"/>
        <v>Weekday</v>
      </c>
    </row>
    <row r="452" spans="1:17">
      <c r="A452" s="1">
        <v>451</v>
      </c>
      <c r="B452" s="2">
        <v>40563</v>
      </c>
      <c r="C452" s="1">
        <v>1</v>
      </c>
      <c r="D452" s="1">
        <v>0</v>
      </c>
      <c r="E452" s="1">
        <v>1</v>
      </c>
      <c r="F452" s="1">
        <v>19</v>
      </c>
      <c r="G452" s="1" t="b">
        <v>0</v>
      </c>
      <c r="H452" s="1">
        <v>4</v>
      </c>
      <c r="I452" s="1">
        <v>1</v>
      </c>
      <c r="J452" s="1">
        <v>0.26</v>
      </c>
      <c r="K452" s="19">
        <v>0.2273</v>
      </c>
      <c r="L452" s="21">
        <v>0.56000000000000005</v>
      </c>
      <c r="M452" s="21">
        <v>0.32840000000000003</v>
      </c>
      <c r="N452" s="21">
        <v>6</v>
      </c>
      <c r="O452" s="21">
        <v>146</v>
      </c>
      <c r="P452" s="22">
        <v>152</v>
      </c>
      <c r="Q452" s="38" t="str">
        <f t="shared" si="7"/>
        <v>Weekday</v>
      </c>
    </row>
    <row r="453" spans="1:17">
      <c r="A453" s="1">
        <v>452</v>
      </c>
      <c r="B453" s="2">
        <v>40563</v>
      </c>
      <c r="C453" s="1">
        <v>1</v>
      </c>
      <c r="D453" s="1">
        <v>0</v>
      </c>
      <c r="E453" s="1">
        <v>1</v>
      </c>
      <c r="F453" s="1">
        <v>20</v>
      </c>
      <c r="G453" s="1" t="b">
        <v>0</v>
      </c>
      <c r="H453" s="1">
        <v>4</v>
      </c>
      <c r="I453" s="1">
        <v>2</v>
      </c>
      <c r="J453" s="1">
        <v>0.26</v>
      </c>
      <c r="K453" s="20">
        <v>0.2424</v>
      </c>
      <c r="L453" s="23">
        <v>0.6</v>
      </c>
      <c r="M453" s="23">
        <v>0.28360000000000002</v>
      </c>
      <c r="N453" s="23">
        <v>2</v>
      </c>
      <c r="O453" s="23">
        <v>124</v>
      </c>
      <c r="P453" s="24">
        <v>126</v>
      </c>
      <c r="Q453" s="38" t="str">
        <f t="shared" si="7"/>
        <v>Weekday</v>
      </c>
    </row>
    <row r="454" spans="1:17">
      <c r="A454" s="1">
        <v>453</v>
      </c>
      <c r="B454" s="2">
        <v>40563</v>
      </c>
      <c r="C454" s="1">
        <v>1</v>
      </c>
      <c r="D454" s="1">
        <v>0</v>
      </c>
      <c r="E454" s="1">
        <v>1</v>
      </c>
      <c r="F454" s="1">
        <v>21</v>
      </c>
      <c r="G454" s="1" t="b">
        <v>0</v>
      </c>
      <c r="H454" s="1">
        <v>4</v>
      </c>
      <c r="I454" s="1">
        <v>2</v>
      </c>
      <c r="J454" s="1">
        <v>0.24</v>
      </c>
      <c r="K454" s="19">
        <v>0.2273</v>
      </c>
      <c r="L454" s="21">
        <v>0.6</v>
      </c>
      <c r="M454" s="21">
        <v>0.25369999999999998</v>
      </c>
      <c r="N454" s="21">
        <v>3</v>
      </c>
      <c r="O454" s="21">
        <v>54</v>
      </c>
      <c r="P454" s="22">
        <v>57</v>
      </c>
      <c r="Q454" s="38" t="str">
        <f t="shared" si="7"/>
        <v>Weekday</v>
      </c>
    </row>
    <row r="455" spans="1:17">
      <c r="A455" s="1">
        <v>454</v>
      </c>
      <c r="B455" s="2">
        <v>40563</v>
      </c>
      <c r="C455" s="1">
        <v>1</v>
      </c>
      <c r="D455" s="1">
        <v>0</v>
      </c>
      <c r="E455" s="1">
        <v>1</v>
      </c>
      <c r="F455" s="1">
        <v>22</v>
      </c>
      <c r="G455" s="1" t="b">
        <v>0</v>
      </c>
      <c r="H455" s="1">
        <v>4</v>
      </c>
      <c r="I455" s="1">
        <v>2</v>
      </c>
      <c r="J455" s="1">
        <v>0.24</v>
      </c>
      <c r="K455" s="20">
        <v>0.21210000000000001</v>
      </c>
      <c r="L455" s="23">
        <v>0.65</v>
      </c>
      <c r="M455" s="23">
        <v>0.28360000000000002</v>
      </c>
      <c r="N455" s="23">
        <v>0</v>
      </c>
      <c r="O455" s="23">
        <v>56</v>
      </c>
      <c r="P455" s="24">
        <v>56</v>
      </c>
      <c r="Q455" s="38" t="str">
        <f t="shared" si="7"/>
        <v>Weekday</v>
      </c>
    </row>
    <row r="456" spans="1:17">
      <c r="A456" s="1">
        <v>455</v>
      </c>
      <c r="B456" s="2">
        <v>40563</v>
      </c>
      <c r="C456" s="1">
        <v>1</v>
      </c>
      <c r="D456" s="1">
        <v>0</v>
      </c>
      <c r="E456" s="1">
        <v>1</v>
      </c>
      <c r="F456" s="1">
        <v>23</v>
      </c>
      <c r="G456" s="1" t="b">
        <v>0</v>
      </c>
      <c r="H456" s="1">
        <v>4</v>
      </c>
      <c r="I456" s="1">
        <v>2</v>
      </c>
      <c r="J456" s="1">
        <v>0.24</v>
      </c>
      <c r="K456" s="19">
        <v>0.21210000000000001</v>
      </c>
      <c r="L456" s="21">
        <v>0.65</v>
      </c>
      <c r="M456" s="21">
        <v>0.32840000000000003</v>
      </c>
      <c r="N456" s="21">
        <v>3</v>
      </c>
      <c r="O456" s="21">
        <v>28</v>
      </c>
      <c r="P456" s="22">
        <v>31</v>
      </c>
      <c r="Q456" s="38" t="str">
        <f t="shared" si="7"/>
        <v>Weekday</v>
      </c>
    </row>
    <row r="457" spans="1:17">
      <c r="A457" s="1">
        <v>456</v>
      </c>
      <c r="B457" s="2">
        <v>40564</v>
      </c>
      <c r="C457" s="1">
        <v>1</v>
      </c>
      <c r="D457" s="1">
        <v>0</v>
      </c>
      <c r="E457" s="1">
        <v>1</v>
      </c>
      <c r="F457" s="1">
        <v>0</v>
      </c>
      <c r="G457" s="1" t="b">
        <v>0</v>
      </c>
      <c r="H457" s="1">
        <v>5</v>
      </c>
      <c r="I457" s="1">
        <v>2</v>
      </c>
      <c r="J457" s="1">
        <v>0.24</v>
      </c>
      <c r="K457" s="20">
        <v>0.2273</v>
      </c>
      <c r="L457" s="23">
        <v>0.7</v>
      </c>
      <c r="M457" s="23">
        <v>0.25369999999999998</v>
      </c>
      <c r="N457" s="23">
        <v>1</v>
      </c>
      <c r="O457" s="23">
        <v>20</v>
      </c>
      <c r="P457" s="24">
        <v>21</v>
      </c>
      <c r="Q457" s="38" t="str">
        <f t="shared" si="7"/>
        <v>Weekday</v>
      </c>
    </row>
    <row r="458" spans="1:17">
      <c r="A458" s="1">
        <v>457</v>
      </c>
      <c r="B458" s="2">
        <v>40564</v>
      </c>
      <c r="C458" s="1">
        <v>1</v>
      </c>
      <c r="D458" s="1">
        <v>0</v>
      </c>
      <c r="E458" s="1">
        <v>1</v>
      </c>
      <c r="F458" s="1">
        <v>1</v>
      </c>
      <c r="G458" s="1" t="b">
        <v>0</v>
      </c>
      <c r="H458" s="1">
        <v>5</v>
      </c>
      <c r="I458" s="1">
        <v>2</v>
      </c>
      <c r="J458" s="1">
        <v>0.24</v>
      </c>
      <c r="K458" s="19">
        <v>0.2273</v>
      </c>
      <c r="L458" s="21">
        <v>0.7</v>
      </c>
      <c r="M458" s="21">
        <v>0.25369999999999998</v>
      </c>
      <c r="N458" s="21">
        <v>0</v>
      </c>
      <c r="O458" s="21">
        <v>6</v>
      </c>
      <c r="P458" s="22">
        <v>6</v>
      </c>
      <c r="Q458" s="38" t="str">
        <f t="shared" si="7"/>
        <v>Weekday</v>
      </c>
    </row>
    <row r="459" spans="1:17">
      <c r="A459" s="1">
        <v>458</v>
      </c>
      <c r="B459" s="2">
        <v>40564</v>
      </c>
      <c r="C459" s="1">
        <v>1</v>
      </c>
      <c r="D459" s="1">
        <v>0</v>
      </c>
      <c r="E459" s="1">
        <v>1</v>
      </c>
      <c r="F459" s="1">
        <v>2</v>
      </c>
      <c r="G459" s="1" t="b">
        <v>0</v>
      </c>
      <c r="H459" s="1">
        <v>5</v>
      </c>
      <c r="I459" s="1">
        <v>3</v>
      </c>
      <c r="J459" s="1">
        <v>0.24</v>
      </c>
      <c r="K459" s="20">
        <v>0.2424</v>
      </c>
      <c r="L459" s="23">
        <v>0.75</v>
      </c>
      <c r="M459" s="23">
        <v>0.16420000000000001</v>
      </c>
      <c r="N459" s="23">
        <v>0</v>
      </c>
      <c r="O459" s="23">
        <v>2</v>
      </c>
      <c r="P459" s="24">
        <v>2</v>
      </c>
      <c r="Q459" s="38" t="str">
        <f t="shared" si="7"/>
        <v>Weekday</v>
      </c>
    </row>
    <row r="460" spans="1:17">
      <c r="A460" s="1">
        <v>459</v>
      </c>
      <c r="B460" s="2">
        <v>40564</v>
      </c>
      <c r="C460" s="1">
        <v>1</v>
      </c>
      <c r="D460" s="1">
        <v>0</v>
      </c>
      <c r="E460" s="1">
        <v>1</v>
      </c>
      <c r="F460" s="1">
        <v>3</v>
      </c>
      <c r="G460" s="1" t="b">
        <v>0</v>
      </c>
      <c r="H460" s="1">
        <v>5</v>
      </c>
      <c r="I460" s="1">
        <v>3</v>
      </c>
      <c r="J460" s="1">
        <v>0.22</v>
      </c>
      <c r="K460" s="19">
        <v>0.21210000000000001</v>
      </c>
      <c r="L460" s="21">
        <v>0.8</v>
      </c>
      <c r="M460" s="21">
        <v>0.29849999999999999</v>
      </c>
      <c r="N460" s="21">
        <v>0</v>
      </c>
      <c r="O460" s="21">
        <v>1</v>
      </c>
      <c r="P460" s="22">
        <v>1</v>
      </c>
      <c r="Q460" s="38" t="str">
        <f t="shared" si="7"/>
        <v>Weekday</v>
      </c>
    </row>
    <row r="461" spans="1:17">
      <c r="A461" s="1">
        <v>460</v>
      </c>
      <c r="B461" s="2">
        <v>40564</v>
      </c>
      <c r="C461" s="1">
        <v>1</v>
      </c>
      <c r="D461" s="1">
        <v>0</v>
      </c>
      <c r="E461" s="1">
        <v>1</v>
      </c>
      <c r="F461" s="1">
        <v>4</v>
      </c>
      <c r="G461" s="1" t="b">
        <v>0</v>
      </c>
      <c r="H461" s="1">
        <v>5</v>
      </c>
      <c r="I461" s="1">
        <v>2</v>
      </c>
      <c r="J461" s="1">
        <v>0.22</v>
      </c>
      <c r="K461" s="20">
        <v>0.2576</v>
      </c>
      <c r="L461" s="23">
        <v>0.87</v>
      </c>
      <c r="M461" s="23">
        <v>8.9599999999999999E-2</v>
      </c>
      <c r="N461" s="23">
        <v>0</v>
      </c>
      <c r="O461" s="23">
        <v>1</v>
      </c>
      <c r="P461" s="24">
        <v>1</v>
      </c>
      <c r="Q461" s="38" t="str">
        <f t="shared" si="7"/>
        <v>Weekday</v>
      </c>
    </row>
    <row r="462" spans="1:17">
      <c r="A462" s="1">
        <v>461</v>
      </c>
      <c r="B462" s="2">
        <v>40564</v>
      </c>
      <c r="C462" s="1">
        <v>1</v>
      </c>
      <c r="D462" s="1">
        <v>0</v>
      </c>
      <c r="E462" s="1">
        <v>1</v>
      </c>
      <c r="F462" s="1">
        <v>5</v>
      </c>
      <c r="G462" s="1" t="b">
        <v>0</v>
      </c>
      <c r="H462" s="1">
        <v>5</v>
      </c>
      <c r="I462" s="1">
        <v>1</v>
      </c>
      <c r="J462" s="1">
        <v>0.24</v>
      </c>
      <c r="K462" s="19">
        <v>0.19700000000000001</v>
      </c>
      <c r="L462" s="21">
        <v>0.6</v>
      </c>
      <c r="M462" s="21">
        <v>0.41789999999999999</v>
      </c>
      <c r="N462" s="21">
        <v>1</v>
      </c>
      <c r="O462" s="21">
        <v>4</v>
      </c>
      <c r="P462" s="22">
        <v>5</v>
      </c>
      <c r="Q462" s="38" t="str">
        <f t="shared" si="7"/>
        <v>Weekday</v>
      </c>
    </row>
    <row r="463" spans="1:17">
      <c r="A463" s="1">
        <v>462</v>
      </c>
      <c r="B463" s="2">
        <v>40564</v>
      </c>
      <c r="C463" s="1">
        <v>1</v>
      </c>
      <c r="D463" s="1">
        <v>0</v>
      </c>
      <c r="E463" s="1">
        <v>1</v>
      </c>
      <c r="F463" s="1">
        <v>6</v>
      </c>
      <c r="G463" s="1" t="b">
        <v>0</v>
      </c>
      <c r="H463" s="1">
        <v>5</v>
      </c>
      <c r="I463" s="1">
        <v>1</v>
      </c>
      <c r="J463" s="1">
        <v>0.22</v>
      </c>
      <c r="K463" s="20">
        <v>0.21210000000000001</v>
      </c>
      <c r="L463" s="23">
        <v>0.55000000000000004</v>
      </c>
      <c r="M463" s="23">
        <v>0.25369999999999998</v>
      </c>
      <c r="N463" s="23">
        <v>0</v>
      </c>
      <c r="O463" s="23">
        <v>27</v>
      </c>
      <c r="P463" s="24">
        <v>27</v>
      </c>
      <c r="Q463" s="38" t="str">
        <f t="shared" si="7"/>
        <v>Weekday</v>
      </c>
    </row>
    <row r="464" spans="1:17">
      <c r="A464" s="1">
        <v>463</v>
      </c>
      <c r="B464" s="2">
        <v>40564</v>
      </c>
      <c r="C464" s="1">
        <v>1</v>
      </c>
      <c r="D464" s="1">
        <v>0</v>
      </c>
      <c r="E464" s="1">
        <v>1</v>
      </c>
      <c r="F464" s="1">
        <v>7</v>
      </c>
      <c r="G464" s="1" t="b">
        <v>0</v>
      </c>
      <c r="H464" s="1">
        <v>5</v>
      </c>
      <c r="I464" s="1">
        <v>1</v>
      </c>
      <c r="J464" s="1">
        <v>0.2</v>
      </c>
      <c r="K464" s="19">
        <v>0.18179999999999999</v>
      </c>
      <c r="L464" s="21">
        <v>0.51</v>
      </c>
      <c r="M464" s="21">
        <v>0.28360000000000002</v>
      </c>
      <c r="N464" s="21">
        <v>2</v>
      </c>
      <c r="O464" s="21">
        <v>66</v>
      </c>
      <c r="P464" s="22">
        <v>68</v>
      </c>
      <c r="Q464" s="38" t="str">
        <f t="shared" si="7"/>
        <v>Weekday</v>
      </c>
    </row>
    <row r="465" spans="1:17">
      <c r="A465" s="1">
        <v>464</v>
      </c>
      <c r="B465" s="2">
        <v>40564</v>
      </c>
      <c r="C465" s="1">
        <v>1</v>
      </c>
      <c r="D465" s="1">
        <v>0</v>
      </c>
      <c r="E465" s="1">
        <v>1</v>
      </c>
      <c r="F465" s="1">
        <v>8</v>
      </c>
      <c r="G465" s="1" t="b">
        <v>0</v>
      </c>
      <c r="H465" s="1">
        <v>5</v>
      </c>
      <c r="I465" s="1">
        <v>1</v>
      </c>
      <c r="J465" s="1">
        <v>0.2</v>
      </c>
      <c r="K465" s="20">
        <v>0.18179999999999999</v>
      </c>
      <c r="L465" s="23">
        <v>0.47</v>
      </c>
      <c r="M465" s="23">
        <v>0.32840000000000003</v>
      </c>
      <c r="N465" s="23">
        <v>7</v>
      </c>
      <c r="O465" s="23">
        <v>210</v>
      </c>
      <c r="P465" s="24">
        <v>217</v>
      </c>
      <c r="Q465" s="38" t="str">
        <f t="shared" si="7"/>
        <v>Weekday</v>
      </c>
    </row>
    <row r="466" spans="1:17">
      <c r="A466" s="1">
        <v>465</v>
      </c>
      <c r="B466" s="2">
        <v>40564</v>
      </c>
      <c r="C466" s="1">
        <v>1</v>
      </c>
      <c r="D466" s="1">
        <v>0</v>
      </c>
      <c r="E466" s="1">
        <v>1</v>
      </c>
      <c r="F466" s="1">
        <v>9</v>
      </c>
      <c r="G466" s="1" t="b">
        <v>0</v>
      </c>
      <c r="H466" s="1">
        <v>5</v>
      </c>
      <c r="I466" s="1">
        <v>1</v>
      </c>
      <c r="J466" s="1">
        <v>0.2</v>
      </c>
      <c r="K466" s="19">
        <v>0.18179999999999999</v>
      </c>
      <c r="L466" s="21">
        <v>0.51</v>
      </c>
      <c r="M466" s="21">
        <v>0.35820000000000002</v>
      </c>
      <c r="N466" s="21">
        <v>7</v>
      </c>
      <c r="O466" s="21">
        <v>159</v>
      </c>
      <c r="P466" s="22">
        <v>166</v>
      </c>
      <c r="Q466" s="38" t="str">
        <f t="shared" si="7"/>
        <v>Weekday</v>
      </c>
    </row>
    <row r="467" spans="1:17">
      <c r="A467" s="1">
        <v>466</v>
      </c>
      <c r="B467" s="2">
        <v>40564</v>
      </c>
      <c r="C467" s="1">
        <v>1</v>
      </c>
      <c r="D467" s="1">
        <v>0</v>
      </c>
      <c r="E467" s="1">
        <v>1</v>
      </c>
      <c r="F467" s="1">
        <v>10</v>
      </c>
      <c r="G467" s="1" t="b">
        <v>0</v>
      </c>
      <c r="H467" s="1">
        <v>5</v>
      </c>
      <c r="I467" s="1">
        <v>1</v>
      </c>
      <c r="J467" s="1">
        <v>0.2</v>
      </c>
      <c r="K467" s="20">
        <v>0.16669999999999999</v>
      </c>
      <c r="L467" s="23">
        <v>0.47</v>
      </c>
      <c r="M467" s="23">
        <v>0.4627</v>
      </c>
      <c r="N467" s="23">
        <v>6</v>
      </c>
      <c r="O467" s="23">
        <v>57</v>
      </c>
      <c r="P467" s="24">
        <v>63</v>
      </c>
      <c r="Q467" s="38" t="str">
        <f t="shared" si="7"/>
        <v>Weekday</v>
      </c>
    </row>
    <row r="468" spans="1:17">
      <c r="A468" s="1">
        <v>467</v>
      </c>
      <c r="B468" s="2">
        <v>40564</v>
      </c>
      <c r="C468" s="1">
        <v>1</v>
      </c>
      <c r="D468" s="1">
        <v>0</v>
      </c>
      <c r="E468" s="1">
        <v>1</v>
      </c>
      <c r="F468" s="1">
        <v>11</v>
      </c>
      <c r="G468" s="1" t="b">
        <v>0</v>
      </c>
      <c r="H468" s="1">
        <v>5</v>
      </c>
      <c r="I468" s="1">
        <v>1</v>
      </c>
      <c r="J468" s="1">
        <v>0.22</v>
      </c>
      <c r="K468" s="19">
        <v>0.18179999999999999</v>
      </c>
      <c r="L468" s="21">
        <v>0.41</v>
      </c>
      <c r="M468" s="21">
        <v>0.4627</v>
      </c>
      <c r="N468" s="21">
        <v>6</v>
      </c>
      <c r="O468" s="21">
        <v>53</v>
      </c>
      <c r="P468" s="22">
        <v>59</v>
      </c>
      <c r="Q468" s="38" t="str">
        <f t="shared" si="7"/>
        <v>Weekday</v>
      </c>
    </row>
    <row r="469" spans="1:17">
      <c r="A469" s="1">
        <v>468</v>
      </c>
      <c r="B469" s="2">
        <v>40564</v>
      </c>
      <c r="C469" s="1">
        <v>1</v>
      </c>
      <c r="D469" s="1">
        <v>0</v>
      </c>
      <c r="E469" s="1">
        <v>1</v>
      </c>
      <c r="F469" s="1">
        <v>12</v>
      </c>
      <c r="G469" s="1" t="b">
        <v>0</v>
      </c>
      <c r="H469" s="1">
        <v>5</v>
      </c>
      <c r="I469" s="1">
        <v>1</v>
      </c>
      <c r="J469" s="1">
        <v>0.22</v>
      </c>
      <c r="K469" s="20">
        <v>0.18179999999999999</v>
      </c>
      <c r="L469" s="23">
        <v>0.27</v>
      </c>
      <c r="M469" s="23">
        <v>0.58209999999999995</v>
      </c>
      <c r="N469" s="23">
        <v>11</v>
      </c>
      <c r="O469" s="23">
        <v>67</v>
      </c>
      <c r="P469" s="24">
        <v>78</v>
      </c>
      <c r="Q469" s="38" t="str">
        <f t="shared" si="7"/>
        <v>Weekday</v>
      </c>
    </row>
    <row r="470" spans="1:17">
      <c r="A470" s="1">
        <v>469</v>
      </c>
      <c r="B470" s="2">
        <v>40564</v>
      </c>
      <c r="C470" s="1">
        <v>1</v>
      </c>
      <c r="D470" s="1">
        <v>0</v>
      </c>
      <c r="E470" s="1">
        <v>1</v>
      </c>
      <c r="F470" s="1">
        <v>13</v>
      </c>
      <c r="G470" s="1" t="b">
        <v>0</v>
      </c>
      <c r="H470" s="1">
        <v>5</v>
      </c>
      <c r="I470" s="1">
        <v>1</v>
      </c>
      <c r="J470" s="1">
        <v>0.2</v>
      </c>
      <c r="K470" s="19">
        <v>0.1515</v>
      </c>
      <c r="L470" s="21">
        <v>0.21</v>
      </c>
      <c r="M470" s="21">
        <v>0.58209999999999995</v>
      </c>
      <c r="N470" s="21">
        <v>8</v>
      </c>
      <c r="O470" s="21">
        <v>65</v>
      </c>
      <c r="P470" s="22">
        <v>73</v>
      </c>
      <c r="Q470" s="38" t="str">
        <f t="shared" si="7"/>
        <v>Weekday</v>
      </c>
    </row>
    <row r="471" spans="1:17">
      <c r="A471" s="1">
        <v>470</v>
      </c>
      <c r="B471" s="2">
        <v>40564</v>
      </c>
      <c r="C471" s="1">
        <v>1</v>
      </c>
      <c r="D471" s="1">
        <v>0</v>
      </c>
      <c r="E471" s="1">
        <v>1</v>
      </c>
      <c r="F471" s="1">
        <v>14</v>
      </c>
      <c r="G471" s="1" t="b">
        <v>0</v>
      </c>
      <c r="H471" s="1">
        <v>5</v>
      </c>
      <c r="I471" s="1">
        <v>1</v>
      </c>
      <c r="J471" s="1">
        <v>0.2</v>
      </c>
      <c r="K471" s="20">
        <v>0.1515</v>
      </c>
      <c r="L471" s="23">
        <v>0.25</v>
      </c>
      <c r="M471" s="23">
        <v>0.52239999999999998</v>
      </c>
      <c r="N471" s="23">
        <v>6</v>
      </c>
      <c r="O471" s="23">
        <v>56</v>
      </c>
      <c r="P471" s="24">
        <v>62</v>
      </c>
      <c r="Q471" s="38" t="str">
        <f t="shared" si="7"/>
        <v>Weekday</v>
      </c>
    </row>
    <row r="472" spans="1:17">
      <c r="A472" s="1">
        <v>471</v>
      </c>
      <c r="B472" s="2">
        <v>40564</v>
      </c>
      <c r="C472" s="1">
        <v>1</v>
      </c>
      <c r="D472" s="1">
        <v>0</v>
      </c>
      <c r="E472" s="1">
        <v>1</v>
      </c>
      <c r="F472" s="1">
        <v>15</v>
      </c>
      <c r="G472" s="1" t="b">
        <v>0</v>
      </c>
      <c r="H472" s="1">
        <v>5</v>
      </c>
      <c r="I472" s="1">
        <v>1</v>
      </c>
      <c r="J472" s="1">
        <v>0.16</v>
      </c>
      <c r="K472" s="19">
        <v>0.1212</v>
      </c>
      <c r="L472" s="21">
        <v>0.26</v>
      </c>
      <c r="M472" s="21">
        <v>0.44779999999999998</v>
      </c>
      <c r="N472" s="21">
        <v>4</v>
      </c>
      <c r="O472" s="21">
        <v>61</v>
      </c>
      <c r="P472" s="22">
        <v>65</v>
      </c>
      <c r="Q472" s="38" t="str">
        <f t="shared" si="7"/>
        <v>Weekday</v>
      </c>
    </row>
    <row r="473" spans="1:17">
      <c r="A473" s="1">
        <v>472</v>
      </c>
      <c r="B473" s="2">
        <v>40564</v>
      </c>
      <c r="C473" s="1">
        <v>1</v>
      </c>
      <c r="D473" s="1">
        <v>0</v>
      </c>
      <c r="E473" s="1">
        <v>1</v>
      </c>
      <c r="F473" s="1">
        <v>16</v>
      </c>
      <c r="G473" s="1" t="b">
        <v>0</v>
      </c>
      <c r="H473" s="1">
        <v>5</v>
      </c>
      <c r="I473" s="1">
        <v>1</v>
      </c>
      <c r="J473" s="1">
        <v>0.16</v>
      </c>
      <c r="K473" s="20">
        <v>0.13639999999999999</v>
      </c>
      <c r="L473" s="23">
        <v>0.26</v>
      </c>
      <c r="M473" s="23">
        <v>0.35820000000000002</v>
      </c>
      <c r="N473" s="23">
        <v>0</v>
      </c>
      <c r="O473" s="23">
        <v>97</v>
      </c>
      <c r="P473" s="24">
        <v>97</v>
      </c>
      <c r="Q473" s="38" t="str">
        <f t="shared" si="7"/>
        <v>Weekday</v>
      </c>
    </row>
    <row r="474" spans="1:17">
      <c r="A474" s="1">
        <v>473</v>
      </c>
      <c r="B474" s="2">
        <v>40564</v>
      </c>
      <c r="C474" s="1">
        <v>1</v>
      </c>
      <c r="D474" s="1">
        <v>0</v>
      </c>
      <c r="E474" s="1">
        <v>1</v>
      </c>
      <c r="F474" s="1">
        <v>17</v>
      </c>
      <c r="G474" s="1" t="b">
        <v>0</v>
      </c>
      <c r="H474" s="1">
        <v>5</v>
      </c>
      <c r="I474" s="1">
        <v>1</v>
      </c>
      <c r="J474" s="1">
        <v>0.14000000000000001</v>
      </c>
      <c r="K474" s="19">
        <v>0.1212</v>
      </c>
      <c r="L474" s="21">
        <v>0.28000000000000003</v>
      </c>
      <c r="M474" s="21">
        <v>0.35820000000000002</v>
      </c>
      <c r="N474" s="21">
        <v>10</v>
      </c>
      <c r="O474" s="21">
        <v>151</v>
      </c>
      <c r="P474" s="22">
        <v>161</v>
      </c>
      <c r="Q474" s="38" t="str">
        <f t="shared" si="7"/>
        <v>Weekday</v>
      </c>
    </row>
    <row r="475" spans="1:17">
      <c r="A475" s="1">
        <v>474</v>
      </c>
      <c r="B475" s="2">
        <v>40564</v>
      </c>
      <c r="C475" s="1">
        <v>1</v>
      </c>
      <c r="D475" s="1">
        <v>0</v>
      </c>
      <c r="E475" s="1">
        <v>1</v>
      </c>
      <c r="F475" s="1">
        <v>18</v>
      </c>
      <c r="G475" s="1" t="b">
        <v>0</v>
      </c>
      <c r="H475" s="1">
        <v>5</v>
      </c>
      <c r="I475" s="1">
        <v>1</v>
      </c>
      <c r="J475" s="1">
        <v>0.12</v>
      </c>
      <c r="K475" s="20">
        <v>0.1212</v>
      </c>
      <c r="L475" s="23">
        <v>0.3</v>
      </c>
      <c r="M475" s="23">
        <v>0.25369999999999998</v>
      </c>
      <c r="N475" s="23">
        <v>1</v>
      </c>
      <c r="O475" s="23">
        <v>119</v>
      </c>
      <c r="P475" s="24">
        <v>120</v>
      </c>
      <c r="Q475" s="38" t="str">
        <f t="shared" si="7"/>
        <v>Weekday</v>
      </c>
    </row>
    <row r="476" spans="1:17">
      <c r="A476" s="1">
        <v>475</v>
      </c>
      <c r="B476" s="2">
        <v>40564</v>
      </c>
      <c r="C476" s="1">
        <v>1</v>
      </c>
      <c r="D476" s="1">
        <v>0</v>
      </c>
      <c r="E476" s="1">
        <v>1</v>
      </c>
      <c r="F476" s="1">
        <v>19</v>
      </c>
      <c r="G476" s="1" t="b">
        <v>0</v>
      </c>
      <c r="H476" s="1">
        <v>5</v>
      </c>
      <c r="I476" s="1">
        <v>1</v>
      </c>
      <c r="J476" s="1">
        <v>0.12</v>
      </c>
      <c r="K476" s="19">
        <v>0.1061</v>
      </c>
      <c r="L476" s="21">
        <v>0.3</v>
      </c>
      <c r="M476" s="21">
        <v>0.32840000000000003</v>
      </c>
      <c r="N476" s="21">
        <v>3</v>
      </c>
      <c r="O476" s="21">
        <v>93</v>
      </c>
      <c r="P476" s="22">
        <v>96</v>
      </c>
      <c r="Q476" s="38" t="str">
        <f t="shared" si="7"/>
        <v>Weekday</v>
      </c>
    </row>
    <row r="477" spans="1:17">
      <c r="A477" s="1">
        <v>476</v>
      </c>
      <c r="B477" s="2">
        <v>40564</v>
      </c>
      <c r="C477" s="1">
        <v>1</v>
      </c>
      <c r="D477" s="1">
        <v>0</v>
      </c>
      <c r="E477" s="1">
        <v>1</v>
      </c>
      <c r="F477" s="1">
        <v>20</v>
      </c>
      <c r="G477" s="1" t="b">
        <v>0</v>
      </c>
      <c r="H477" s="1">
        <v>5</v>
      </c>
      <c r="I477" s="1">
        <v>1</v>
      </c>
      <c r="J477" s="1">
        <v>0.1</v>
      </c>
      <c r="K477" s="20">
        <v>7.5800000000000006E-2</v>
      </c>
      <c r="L477" s="23">
        <v>0.33</v>
      </c>
      <c r="M477" s="23">
        <v>0.41789999999999999</v>
      </c>
      <c r="N477" s="23">
        <v>1</v>
      </c>
      <c r="O477" s="23">
        <v>52</v>
      </c>
      <c r="P477" s="24">
        <v>53</v>
      </c>
      <c r="Q477" s="38" t="str">
        <f t="shared" si="7"/>
        <v>Weekday</v>
      </c>
    </row>
    <row r="478" spans="1:17">
      <c r="A478" s="1">
        <v>477</v>
      </c>
      <c r="B478" s="2">
        <v>40564</v>
      </c>
      <c r="C478" s="1">
        <v>1</v>
      </c>
      <c r="D478" s="1">
        <v>0</v>
      </c>
      <c r="E478" s="1">
        <v>1</v>
      </c>
      <c r="F478" s="1">
        <v>21</v>
      </c>
      <c r="G478" s="1" t="b">
        <v>0</v>
      </c>
      <c r="H478" s="1">
        <v>5</v>
      </c>
      <c r="I478" s="1">
        <v>1</v>
      </c>
      <c r="J478" s="1">
        <v>0.08</v>
      </c>
      <c r="K478" s="19">
        <v>7.5800000000000006E-2</v>
      </c>
      <c r="L478" s="21">
        <v>0.38</v>
      </c>
      <c r="M478" s="21">
        <v>0.28360000000000002</v>
      </c>
      <c r="N478" s="21">
        <v>0</v>
      </c>
      <c r="O478" s="21">
        <v>41</v>
      </c>
      <c r="P478" s="22">
        <v>41</v>
      </c>
      <c r="Q478" s="38" t="str">
        <f t="shared" si="7"/>
        <v>Weekday</v>
      </c>
    </row>
    <row r="479" spans="1:17">
      <c r="A479" s="1">
        <v>478</v>
      </c>
      <c r="B479" s="2">
        <v>40564</v>
      </c>
      <c r="C479" s="1">
        <v>1</v>
      </c>
      <c r="D479" s="1">
        <v>0</v>
      </c>
      <c r="E479" s="1">
        <v>1</v>
      </c>
      <c r="F479" s="1">
        <v>22</v>
      </c>
      <c r="G479" s="1" t="b">
        <v>0</v>
      </c>
      <c r="H479" s="1">
        <v>5</v>
      </c>
      <c r="I479" s="1">
        <v>1</v>
      </c>
      <c r="J479" s="1">
        <v>0.06</v>
      </c>
      <c r="K479" s="20">
        <v>3.0300000000000001E-2</v>
      </c>
      <c r="L479" s="23">
        <v>0.41</v>
      </c>
      <c r="M479" s="23">
        <v>0.3881</v>
      </c>
      <c r="N479" s="23">
        <v>1</v>
      </c>
      <c r="O479" s="23">
        <v>33</v>
      </c>
      <c r="P479" s="24">
        <v>34</v>
      </c>
      <c r="Q479" s="38" t="str">
        <f t="shared" si="7"/>
        <v>Weekday</v>
      </c>
    </row>
    <row r="480" spans="1:17">
      <c r="A480" s="1">
        <v>479</v>
      </c>
      <c r="B480" s="2">
        <v>40564</v>
      </c>
      <c r="C480" s="1">
        <v>1</v>
      </c>
      <c r="D480" s="1">
        <v>0</v>
      </c>
      <c r="E480" s="1">
        <v>1</v>
      </c>
      <c r="F480" s="1">
        <v>23</v>
      </c>
      <c r="G480" s="1" t="b">
        <v>0</v>
      </c>
      <c r="H480" s="1">
        <v>5</v>
      </c>
      <c r="I480" s="1">
        <v>1</v>
      </c>
      <c r="J480" s="1">
        <v>0.06</v>
      </c>
      <c r="K480" s="19">
        <v>4.5499999999999999E-2</v>
      </c>
      <c r="L480" s="21">
        <v>0.38</v>
      </c>
      <c r="M480" s="21">
        <v>0.32840000000000003</v>
      </c>
      <c r="N480" s="21">
        <v>0</v>
      </c>
      <c r="O480" s="21">
        <v>27</v>
      </c>
      <c r="P480" s="22">
        <v>27</v>
      </c>
      <c r="Q480" s="38" t="str">
        <f t="shared" si="7"/>
        <v>Weekday</v>
      </c>
    </row>
    <row r="481" spans="1:17">
      <c r="A481" s="1">
        <v>480</v>
      </c>
      <c r="B481" s="2">
        <v>40565</v>
      </c>
      <c r="C481" s="1">
        <v>1</v>
      </c>
      <c r="D481" s="1">
        <v>0</v>
      </c>
      <c r="E481" s="1">
        <v>1</v>
      </c>
      <c r="F481" s="1">
        <v>0</v>
      </c>
      <c r="G481" s="1" t="b">
        <v>0</v>
      </c>
      <c r="H481" s="1">
        <v>6</v>
      </c>
      <c r="I481" s="1">
        <v>1</v>
      </c>
      <c r="J481" s="1">
        <v>0.04</v>
      </c>
      <c r="K481" s="20">
        <v>3.0300000000000001E-2</v>
      </c>
      <c r="L481" s="23">
        <v>0.45</v>
      </c>
      <c r="M481" s="23">
        <v>0.25369999999999998</v>
      </c>
      <c r="N481" s="23">
        <v>0</v>
      </c>
      <c r="O481" s="23">
        <v>13</v>
      </c>
      <c r="P481" s="24">
        <v>13</v>
      </c>
      <c r="Q481" s="38" t="str">
        <f t="shared" si="7"/>
        <v>Weekend</v>
      </c>
    </row>
    <row r="482" spans="1:17">
      <c r="A482" s="1">
        <v>481</v>
      </c>
      <c r="B482" s="2">
        <v>40565</v>
      </c>
      <c r="C482" s="1">
        <v>1</v>
      </c>
      <c r="D482" s="1">
        <v>0</v>
      </c>
      <c r="E482" s="1">
        <v>1</v>
      </c>
      <c r="F482" s="1">
        <v>1</v>
      </c>
      <c r="G482" s="1" t="b">
        <v>0</v>
      </c>
      <c r="H482" s="1">
        <v>6</v>
      </c>
      <c r="I482" s="1">
        <v>2</v>
      </c>
      <c r="J482" s="1">
        <v>0.04</v>
      </c>
      <c r="K482" s="19">
        <v>0</v>
      </c>
      <c r="L482" s="21">
        <v>0.41</v>
      </c>
      <c r="M482" s="21">
        <v>0.3881</v>
      </c>
      <c r="N482" s="21">
        <v>3</v>
      </c>
      <c r="O482" s="21">
        <v>9</v>
      </c>
      <c r="P482" s="22">
        <v>12</v>
      </c>
      <c r="Q482" s="38" t="str">
        <f t="shared" si="7"/>
        <v>Weekend</v>
      </c>
    </row>
    <row r="483" spans="1:17">
      <c r="A483" s="1">
        <v>482</v>
      </c>
      <c r="B483" s="2">
        <v>40565</v>
      </c>
      <c r="C483" s="1">
        <v>1</v>
      </c>
      <c r="D483" s="1">
        <v>0</v>
      </c>
      <c r="E483" s="1">
        <v>1</v>
      </c>
      <c r="F483" s="1">
        <v>2</v>
      </c>
      <c r="G483" s="1" t="b">
        <v>0</v>
      </c>
      <c r="H483" s="1">
        <v>6</v>
      </c>
      <c r="I483" s="1">
        <v>2</v>
      </c>
      <c r="J483" s="1">
        <v>0.04</v>
      </c>
      <c r="K483" s="20">
        <v>3.0300000000000001E-2</v>
      </c>
      <c r="L483" s="23">
        <v>0.41</v>
      </c>
      <c r="M483" s="23">
        <v>0.25369999999999998</v>
      </c>
      <c r="N483" s="23">
        <v>0</v>
      </c>
      <c r="O483" s="23">
        <v>11</v>
      </c>
      <c r="P483" s="24">
        <v>11</v>
      </c>
      <c r="Q483" s="38" t="str">
        <f t="shared" si="7"/>
        <v>Weekend</v>
      </c>
    </row>
    <row r="484" spans="1:17">
      <c r="A484" s="1">
        <v>483</v>
      </c>
      <c r="B484" s="2">
        <v>40565</v>
      </c>
      <c r="C484" s="1">
        <v>1</v>
      </c>
      <c r="D484" s="1">
        <v>0</v>
      </c>
      <c r="E484" s="1">
        <v>1</v>
      </c>
      <c r="F484" s="1">
        <v>3</v>
      </c>
      <c r="G484" s="1" t="b">
        <v>0</v>
      </c>
      <c r="H484" s="1">
        <v>6</v>
      </c>
      <c r="I484" s="1">
        <v>2</v>
      </c>
      <c r="J484" s="1">
        <v>0.04</v>
      </c>
      <c r="K484" s="19">
        <v>3.0300000000000001E-2</v>
      </c>
      <c r="L484" s="21">
        <v>0.41</v>
      </c>
      <c r="M484" s="21">
        <v>0.28360000000000002</v>
      </c>
      <c r="N484" s="21">
        <v>1</v>
      </c>
      <c r="O484" s="21">
        <v>6</v>
      </c>
      <c r="P484" s="22">
        <v>7</v>
      </c>
      <c r="Q484" s="38" t="str">
        <f t="shared" si="7"/>
        <v>Weekend</v>
      </c>
    </row>
    <row r="485" spans="1:17">
      <c r="A485" s="1">
        <v>484</v>
      </c>
      <c r="B485" s="2">
        <v>40565</v>
      </c>
      <c r="C485" s="1">
        <v>1</v>
      </c>
      <c r="D485" s="1">
        <v>0</v>
      </c>
      <c r="E485" s="1">
        <v>1</v>
      </c>
      <c r="F485" s="1">
        <v>4</v>
      </c>
      <c r="G485" s="1" t="b">
        <v>0</v>
      </c>
      <c r="H485" s="1">
        <v>6</v>
      </c>
      <c r="I485" s="1">
        <v>2</v>
      </c>
      <c r="J485" s="1">
        <v>0.02</v>
      </c>
      <c r="K485" s="20">
        <v>1.52E-2</v>
      </c>
      <c r="L485" s="23">
        <v>0.48</v>
      </c>
      <c r="M485" s="23">
        <v>0.29849999999999999</v>
      </c>
      <c r="N485" s="23">
        <v>0</v>
      </c>
      <c r="O485" s="23">
        <v>3</v>
      </c>
      <c r="P485" s="24">
        <v>3</v>
      </c>
      <c r="Q485" s="38" t="str">
        <f t="shared" si="7"/>
        <v>Weekend</v>
      </c>
    </row>
    <row r="486" spans="1:17">
      <c r="A486" s="1">
        <v>485</v>
      </c>
      <c r="B486" s="2">
        <v>40565</v>
      </c>
      <c r="C486" s="1">
        <v>1</v>
      </c>
      <c r="D486" s="1">
        <v>0</v>
      </c>
      <c r="E486" s="1">
        <v>1</v>
      </c>
      <c r="F486" s="1">
        <v>6</v>
      </c>
      <c r="G486" s="1" t="b">
        <v>0</v>
      </c>
      <c r="H486" s="1">
        <v>6</v>
      </c>
      <c r="I486" s="1">
        <v>2</v>
      </c>
      <c r="J486" s="1">
        <v>0.02</v>
      </c>
      <c r="K486" s="19">
        <v>3.0300000000000001E-2</v>
      </c>
      <c r="L486" s="21">
        <v>0.44</v>
      </c>
      <c r="M486" s="21">
        <v>0.22389999999999999</v>
      </c>
      <c r="N486" s="21">
        <v>0</v>
      </c>
      <c r="O486" s="21">
        <v>2</v>
      </c>
      <c r="P486" s="22">
        <v>2</v>
      </c>
      <c r="Q486" s="38" t="str">
        <f t="shared" si="7"/>
        <v>Weekend</v>
      </c>
    </row>
    <row r="487" spans="1:17">
      <c r="A487" s="1">
        <v>486</v>
      </c>
      <c r="B487" s="2">
        <v>40565</v>
      </c>
      <c r="C487" s="1">
        <v>1</v>
      </c>
      <c r="D487" s="1">
        <v>0</v>
      </c>
      <c r="E487" s="1">
        <v>1</v>
      </c>
      <c r="F487" s="1">
        <v>7</v>
      </c>
      <c r="G487" s="1" t="b">
        <v>0</v>
      </c>
      <c r="H487" s="1">
        <v>6</v>
      </c>
      <c r="I487" s="1">
        <v>1</v>
      </c>
      <c r="J487" s="1">
        <v>0.02</v>
      </c>
      <c r="K487" s="20">
        <v>1.52E-2</v>
      </c>
      <c r="L487" s="23">
        <v>0.44</v>
      </c>
      <c r="M487" s="23">
        <v>0.28360000000000002</v>
      </c>
      <c r="N487" s="23">
        <v>0</v>
      </c>
      <c r="O487" s="23">
        <v>8</v>
      </c>
      <c r="P487" s="24">
        <v>8</v>
      </c>
      <c r="Q487" s="38" t="str">
        <f t="shared" si="7"/>
        <v>Weekend</v>
      </c>
    </row>
    <row r="488" spans="1:17">
      <c r="A488" s="1">
        <v>487</v>
      </c>
      <c r="B488" s="2">
        <v>40565</v>
      </c>
      <c r="C488" s="1">
        <v>1</v>
      </c>
      <c r="D488" s="1">
        <v>0</v>
      </c>
      <c r="E488" s="1">
        <v>1</v>
      </c>
      <c r="F488" s="1">
        <v>8</v>
      </c>
      <c r="G488" s="1" t="b">
        <v>0</v>
      </c>
      <c r="H488" s="1">
        <v>6</v>
      </c>
      <c r="I488" s="1">
        <v>1</v>
      </c>
      <c r="J488" s="1">
        <v>0.02</v>
      </c>
      <c r="K488" s="19">
        <v>0</v>
      </c>
      <c r="L488" s="21">
        <v>0.44</v>
      </c>
      <c r="M488" s="21">
        <v>0.32840000000000003</v>
      </c>
      <c r="N488" s="21">
        <v>1</v>
      </c>
      <c r="O488" s="21">
        <v>26</v>
      </c>
      <c r="P488" s="22">
        <v>27</v>
      </c>
      <c r="Q488" s="38" t="str">
        <f t="shared" si="7"/>
        <v>Weekend</v>
      </c>
    </row>
    <row r="489" spans="1:17">
      <c r="A489" s="1">
        <v>488</v>
      </c>
      <c r="B489" s="2">
        <v>40565</v>
      </c>
      <c r="C489" s="1">
        <v>1</v>
      </c>
      <c r="D489" s="1">
        <v>0</v>
      </c>
      <c r="E489" s="1">
        <v>1</v>
      </c>
      <c r="F489" s="1">
        <v>9</v>
      </c>
      <c r="G489" s="1" t="b">
        <v>0</v>
      </c>
      <c r="H489" s="1">
        <v>6</v>
      </c>
      <c r="I489" s="1">
        <v>1</v>
      </c>
      <c r="J489" s="1">
        <v>0.04</v>
      </c>
      <c r="K489" s="20">
        <v>3.0300000000000001E-2</v>
      </c>
      <c r="L489" s="23">
        <v>0.41</v>
      </c>
      <c r="M489" s="23">
        <v>0.25369999999999998</v>
      </c>
      <c r="N489" s="23">
        <v>3</v>
      </c>
      <c r="O489" s="23">
        <v>37</v>
      </c>
      <c r="P489" s="24">
        <v>40</v>
      </c>
      <c r="Q489" s="38" t="str">
        <f t="shared" si="7"/>
        <v>Weekend</v>
      </c>
    </row>
    <row r="490" spans="1:17">
      <c r="A490" s="1">
        <v>489</v>
      </c>
      <c r="B490" s="2">
        <v>40565</v>
      </c>
      <c r="C490" s="1">
        <v>1</v>
      </c>
      <c r="D490" s="1">
        <v>0</v>
      </c>
      <c r="E490" s="1">
        <v>1</v>
      </c>
      <c r="F490" s="1">
        <v>10</v>
      </c>
      <c r="G490" s="1" t="b">
        <v>0</v>
      </c>
      <c r="H490" s="1">
        <v>6</v>
      </c>
      <c r="I490" s="1">
        <v>2</v>
      </c>
      <c r="J490" s="1">
        <v>0.04</v>
      </c>
      <c r="K490" s="19">
        <v>6.0600000000000001E-2</v>
      </c>
      <c r="L490" s="21">
        <v>0.41</v>
      </c>
      <c r="M490" s="21">
        <v>0.16420000000000001</v>
      </c>
      <c r="N490" s="21">
        <v>3</v>
      </c>
      <c r="O490" s="21">
        <v>50</v>
      </c>
      <c r="P490" s="22">
        <v>53</v>
      </c>
      <c r="Q490" s="38" t="str">
        <f t="shared" si="7"/>
        <v>Weekend</v>
      </c>
    </row>
    <row r="491" spans="1:17">
      <c r="A491" s="1">
        <v>490</v>
      </c>
      <c r="B491" s="2">
        <v>40565</v>
      </c>
      <c r="C491" s="1">
        <v>1</v>
      </c>
      <c r="D491" s="1">
        <v>0</v>
      </c>
      <c r="E491" s="1">
        <v>1</v>
      </c>
      <c r="F491" s="1">
        <v>11</v>
      </c>
      <c r="G491" s="1" t="b">
        <v>0</v>
      </c>
      <c r="H491" s="1">
        <v>6</v>
      </c>
      <c r="I491" s="1">
        <v>2</v>
      </c>
      <c r="J491" s="1">
        <v>0.06</v>
      </c>
      <c r="K491" s="20">
        <v>7.5800000000000006E-2</v>
      </c>
      <c r="L491" s="23">
        <v>0.38</v>
      </c>
      <c r="M491" s="23">
        <v>0.1343</v>
      </c>
      <c r="N491" s="23">
        <v>4</v>
      </c>
      <c r="O491" s="23">
        <v>59</v>
      </c>
      <c r="P491" s="24">
        <v>63</v>
      </c>
      <c r="Q491" s="38" t="str">
        <f t="shared" si="7"/>
        <v>Weekend</v>
      </c>
    </row>
    <row r="492" spans="1:17">
      <c r="A492" s="1">
        <v>491</v>
      </c>
      <c r="B492" s="2">
        <v>40565</v>
      </c>
      <c r="C492" s="1">
        <v>1</v>
      </c>
      <c r="D492" s="1">
        <v>0</v>
      </c>
      <c r="E492" s="1">
        <v>1</v>
      </c>
      <c r="F492" s="1">
        <v>12</v>
      </c>
      <c r="G492" s="1" t="b">
        <v>0</v>
      </c>
      <c r="H492" s="1">
        <v>6</v>
      </c>
      <c r="I492" s="1">
        <v>2</v>
      </c>
      <c r="J492" s="1">
        <v>0.06</v>
      </c>
      <c r="K492" s="19">
        <v>0.1061</v>
      </c>
      <c r="L492" s="21">
        <v>0.38</v>
      </c>
      <c r="M492" s="21">
        <v>0.1045</v>
      </c>
      <c r="N492" s="21">
        <v>10</v>
      </c>
      <c r="O492" s="21">
        <v>60</v>
      </c>
      <c r="P492" s="22">
        <v>70</v>
      </c>
      <c r="Q492" s="38" t="str">
        <f t="shared" si="7"/>
        <v>Weekend</v>
      </c>
    </row>
    <row r="493" spans="1:17">
      <c r="A493" s="1">
        <v>492</v>
      </c>
      <c r="B493" s="2">
        <v>40565</v>
      </c>
      <c r="C493" s="1">
        <v>1</v>
      </c>
      <c r="D493" s="1">
        <v>0</v>
      </c>
      <c r="E493" s="1">
        <v>1</v>
      </c>
      <c r="F493" s="1">
        <v>13</v>
      </c>
      <c r="G493" s="1" t="b">
        <v>0</v>
      </c>
      <c r="H493" s="1">
        <v>6</v>
      </c>
      <c r="I493" s="1">
        <v>1</v>
      </c>
      <c r="J493" s="1">
        <v>0.08</v>
      </c>
      <c r="K493" s="20">
        <v>0.16669999999999999</v>
      </c>
      <c r="L493" s="23">
        <v>0.35</v>
      </c>
      <c r="M493" s="23">
        <v>0</v>
      </c>
      <c r="N493" s="23">
        <v>12</v>
      </c>
      <c r="O493" s="23">
        <v>72</v>
      </c>
      <c r="P493" s="24">
        <v>84</v>
      </c>
      <c r="Q493" s="38" t="str">
        <f t="shared" si="7"/>
        <v>Weekend</v>
      </c>
    </row>
    <row r="494" spans="1:17">
      <c r="A494" s="1">
        <v>493</v>
      </c>
      <c r="B494" s="2">
        <v>40565</v>
      </c>
      <c r="C494" s="1">
        <v>1</v>
      </c>
      <c r="D494" s="1">
        <v>0</v>
      </c>
      <c r="E494" s="1">
        <v>1</v>
      </c>
      <c r="F494" s="1">
        <v>14</v>
      </c>
      <c r="G494" s="1" t="b">
        <v>0</v>
      </c>
      <c r="H494" s="1">
        <v>6</v>
      </c>
      <c r="I494" s="1">
        <v>1</v>
      </c>
      <c r="J494" s="1">
        <v>0.1</v>
      </c>
      <c r="K494" s="19">
        <v>0.13639999999999999</v>
      </c>
      <c r="L494" s="21">
        <v>0.33</v>
      </c>
      <c r="M494" s="21">
        <v>0.1045</v>
      </c>
      <c r="N494" s="21">
        <v>11</v>
      </c>
      <c r="O494" s="21">
        <v>64</v>
      </c>
      <c r="P494" s="22">
        <v>75</v>
      </c>
      <c r="Q494" s="38" t="str">
        <f t="shared" si="7"/>
        <v>Weekend</v>
      </c>
    </row>
    <row r="495" spans="1:17">
      <c r="A495" s="1">
        <v>494</v>
      </c>
      <c r="B495" s="2">
        <v>40565</v>
      </c>
      <c r="C495" s="1">
        <v>1</v>
      </c>
      <c r="D495" s="1">
        <v>0</v>
      </c>
      <c r="E495" s="1">
        <v>1</v>
      </c>
      <c r="F495" s="1">
        <v>15</v>
      </c>
      <c r="G495" s="1" t="b">
        <v>0</v>
      </c>
      <c r="H495" s="1">
        <v>6</v>
      </c>
      <c r="I495" s="1">
        <v>1</v>
      </c>
      <c r="J495" s="1">
        <v>0.12</v>
      </c>
      <c r="K495" s="20">
        <v>0.1515</v>
      </c>
      <c r="L495" s="23">
        <v>0.28000000000000003</v>
      </c>
      <c r="M495" s="23">
        <v>0</v>
      </c>
      <c r="N495" s="23">
        <v>10</v>
      </c>
      <c r="O495" s="23">
        <v>93</v>
      </c>
      <c r="P495" s="24">
        <v>103</v>
      </c>
      <c r="Q495" s="38" t="str">
        <f t="shared" si="7"/>
        <v>Weekend</v>
      </c>
    </row>
    <row r="496" spans="1:17">
      <c r="A496" s="1">
        <v>495</v>
      </c>
      <c r="B496" s="2">
        <v>40565</v>
      </c>
      <c r="C496" s="1">
        <v>1</v>
      </c>
      <c r="D496" s="1">
        <v>0</v>
      </c>
      <c r="E496" s="1">
        <v>1</v>
      </c>
      <c r="F496" s="1">
        <v>16</v>
      </c>
      <c r="G496" s="1" t="b">
        <v>0</v>
      </c>
      <c r="H496" s="1">
        <v>6</v>
      </c>
      <c r="I496" s="1">
        <v>1</v>
      </c>
      <c r="J496" s="1">
        <v>0.12</v>
      </c>
      <c r="K496" s="19">
        <v>0.13639999999999999</v>
      </c>
      <c r="L496" s="21">
        <v>0.28000000000000003</v>
      </c>
      <c r="M496" s="21">
        <v>0.19400000000000001</v>
      </c>
      <c r="N496" s="21">
        <v>11</v>
      </c>
      <c r="O496" s="21">
        <v>72</v>
      </c>
      <c r="P496" s="22">
        <v>83</v>
      </c>
      <c r="Q496" s="38" t="str">
        <f t="shared" si="7"/>
        <v>Weekend</v>
      </c>
    </row>
    <row r="497" spans="1:17">
      <c r="A497" s="1">
        <v>496</v>
      </c>
      <c r="B497" s="2">
        <v>40565</v>
      </c>
      <c r="C497" s="1">
        <v>1</v>
      </c>
      <c r="D497" s="1">
        <v>0</v>
      </c>
      <c r="E497" s="1">
        <v>1</v>
      </c>
      <c r="F497" s="1">
        <v>17</v>
      </c>
      <c r="G497" s="1" t="b">
        <v>0</v>
      </c>
      <c r="H497" s="1">
        <v>6</v>
      </c>
      <c r="I497" s="1">
        <v>1</v>
      </c>
      <c r="J497" s="1">
        <v>0.12</v>
      </c>
      <c r="K497" s="20">
        <v>0.19700000000000001</v>
      </c>
      <c r="L497" s="23">
        <v>0.28000000000000003</v>
      </c>
      <c r="M497" s="23">
        <v>0</v>
      </c>
      <c r="N497" s="23">
        <v>8</v>
      </c>
      <c r="O497" s="23">
        <v>59</v>
      </c>
      <c r="P497" s="24">
        <v>67</v>
      </c>
      <c r="Q497" s="38" t="str">
        <f t="shared" si="7"/>
        <v>Weekend</v>
      </c>
    </row>
    <row r="498" spans="1:17">
      <c r="A498" s="1">
        <v>497</v>
      </c>
      <c r="B498" s="2">
        <v>40565</v>
      </c>
      <c r="C498" s="1">
        <v>1</v>
      </c>
      <c r="D498" s="1">
        <v>0</v>
      </c>
      <c r="E498" s="1">
        <v>1</v>
      </c>
      <c r="F498" s="1">
        <v>18</v>
      </c>
      <c r="G498" s="1" t="b">
        <v>0</v>
      </c>
      <c r="H498" s="1">
        <v>6</v>
      </c>
      <c r="I498" s="1">
        <v>1</v>
      </c>
      <c r="J498" s="1">
        <v>0.08</v>
      </c>
      <c r="K498" s="19">
        <v>9.0899999999999995E-2</v>
      </c>
      <c r="L498" s="21">
        <v>0.35</v>
      </c>
      <c r="M498" s="21">
        <v>0.19400000000000001</v>
      </c>
      <c r="N498" s="21">
        <v>0</v>
      </c>
      <c r="O498" s="21">
        <v>54</v>
      </c>
      <c r="P498" s="22">
        <v>54</v>
      </c>
      <c r="Q498" s="38" t="str">
        <f t="shared" si="7"/>
        <v>Weekend</v>
      </c>
    </row>
    <row r="499" spans="1:17">
      <c r="A499" s="1">
        <v>498</v>
      </c>
      <c r="B499" s="2">
        <v>40565</v>
      </c>
      <c r="C499" s="1">
        <v>1</v>
      </c>
      <c r="D499" s="1">
        <v>0</v>
      </c>
      <c r="E499" s="1">
        <v>1</v>
      </c>
      <c r="F499" s="1">
        <v>19</v>
      </c>
      <c r="G499" s="1" t="b">
        <v>0</v>
      </c>
      <c r="H499" s="1">
        <v>6</v>
      </c>
      <c r="I499" s="1">
        <v>1</v>
      </c>
      <c r="J499" s="1">
        <v>0.08</v>
      </c>
      <c r="K499" s="20">
        <v>0.1061</v>
      </c>
      <c r="L499" s="23">
        <v>0.35</v>
      </c>
      <c r="M499" s="23">
        <v>0.1343</v>
      </c>
      <c r="N499" s="23">
        <v>6</v>
      </c>
      <c r="O499" s="23">
        <v>53</v>
      </c>
      <c r="P499" s="24">
        <v>59</v>
      </c>
      <c r="Q499" s="38" t="str">
        <f t="shared" si="7"/>
        <v>Weekend</v>
      </c>
    </row>
    <row r="500" spans="1:17">
      <c r="A500" s="1">
        <v>499</v>
      </c>
      <c r="B500" s="2">
        <v>40565</v>
      </c>
      <c r="C500" s="1">
        <v>1</v>
      </c>
      <c r="D500" s="1">
        <v>0</v>
      </c>
      <c r="E500" s="1">
        <v>1</v>
      </c>
      <c r="F500" s="1">
        <v>20</v>
      </c>
      <c r="G500" s="1" t="b">
        <v>0</v>
      </c>
      <c r="H500" s="1">
        <v>6</v>
      </c>
      <c r="I500" s="1">
        <v>1</v>
      </c>
      <c r="J500" s="1">
        <v>0.06</v>
      </c>
      <c r="K500" s="19">
        <v>7.5800000000000006E-2</v>
      </c>
      <c r="L500" s="21">
        <v>0.45</v>
      </c>
      <c r="M500" s="21">
        <v>0.16420000000000001</v>
      </c>
      <c r="N500" s="21">
        <v>1</v>
      </c>
      <c r="O500" s="21">
        <v>44</v>
      </c>
      <c r="P500" s="22">
        <v>45</v>
      </c>
      <c r="Q500" s="38" t="str">
        <f t="shared" si="7"/>
        <v>Weekend</v>
      </c>
    </row>
    <row r="501" spans="1:17">
      <c r="A501" s="1">
        <v>500</v>
      </c>
      <c r="B501" s="2">
        <v>40565</v>
      </c>
      <c r="C501" s="1">
        <v>1</v>
      </c>
      <c r="D501" s="1">
        <v>0</v>
      </c>
      <c r="E501" s="1">
        <v>1</v>
      </c>
      <c r="F501" s="1">
        <v>21</v>
      </c>
      <c r="G501" s="1" t="b">
        <v>0</v>
      </c>
      <c r="H501" s="1">
        <v>6</v>
      </c>
      <c r="I501" s="1">
        <v>1</v>
      </c>
      <c r="J501" s="1">
        <v>0.06</v>
      </c>
      <c r="K501" s="20">
        <v>0.1061</v>
      </c>
      <c r="L501" s="23">
        <v>0.41</v>
      </c>
      <c r="M501" s="23">
        <v>8.9599999999999999E-2</v>
      </c>
      <c r="N501" s="23">
        <v>0</v>
      </c>
      <c r="O501" s="23">
        <v>39</v>
      </c>
      <c r="P501" s="24">
        <v>39</v>
      </c>
      <c r="Q501" s="38" t="str">
        <f t="shared" si="7"/>
        <v>Weekend</v>
      </c>
    </row>
    <row r="502" spans="1:17">
      <c r="A502" s="1">
        <v>501</v>
      </c>
      <c r="B502" s="2">
        <v>40565</v>
      </c>
      <c r="C502" s="1">
        <v>1</v>
      </c>
      <c r="D502" s="1">
        <v>0</v>
      </c>
      <c r="E502" s="1">
        <v>1</v>
      </c>
      <c r="F502" s="1">
        <v>22</v>
      </c>
      <c r="G502" s="1" t="b">
        <v>0</v>
      </c>
      <c r="H502" s="1">
        <v>6</v>
      </c>
      <c r="I502" s="1">
        <v>1</v>
      </c>
      <c r="J502" s="1">
        <v>0.06</v>
      </c>
      <c r="K502" s="19">
        <v>0.1515</v>
      </c>
      <c r="L502" s="21">
        <v>0.49</v>
      </c>
      <c r="M502" s="21">
        <v>0</v>
      </c>
      <c r="N502" s="21">
        <v>7</v>
      </c>
      <c r="O502" s="21">
        <v>23</v>
      </c>
      <c r="P502" s="22">
        <v>30</v>
      </c>
      <c r="Q502" s="38" t="str">
        <f t="shared" si="7"/>
        <v>Weekend</v>
      </c>
    </row>
    <row r="503" spans="1:17">
      <c r="A503" s="1">
        <v>502</v>
      </c>
      <c r="B503" s="2">
        <v>40565</v>
      </c>
      <c r="C503" s="1">
        <v>1</v>
      </c>
      <c r="D503" s="1">
        <v>0</v>
      </c>
      <c r="E503" s="1">
        <v>1</v>
      </c>
      <c r="F503" s="1">
        <v>23</v>
      </c>
      <c r="G503" s="1" t="b">
        <v>0</v>
      </c>
      <c r="H503" s="1">
        <v>6</v>
      </c>
      <c r="I503" s="1">
        <v>1</v>
      </c>
      <c r="J503" s="1">
        <v>0.04</v>
      </c>
      <c r="K503" s="20">
        <v>7.5800000000000006E-2</v>
      </c>
      <c r="L503" s="23">
        <v>0.56999999999999995</v>
      </c>
      <c r="M503" s="23">
        <v>0.1045</v>
      </c>
      <c r="N503" s="23">
        <v>2</v>
      </c>
      <c r="O503" s="23">
        <v>31</v>
      </c>
      <c r="P503" s="24">
        <v>33</v>
      </c>
      <c r="Q503" s="38" t="str">
        <f t="shared" si="7"/>
        <v>Weekend</v>
      </c>
    </row>
    <row r="504" spans="1:17">
      <c r="A504" s="1">
        <v>503</v>
      </c>
      <c r="B504" s="2">
        <v>40566</v>
      </c>
      <c r="C504" s="1">
        <v>1</v>
      </c>
      <c r="D504" s="1">
        <v>0</v>
      </c>
      <c r="E504" s="1">
        <v>1</v>
      </c>
      <c r="F504" s="1">
        <v>0</v>
      </c>
      <c r="G504" s="1" t="b">
        <v>0</v>
      </c>
      <c r="H504" s="1">
        <v>0</v>
      </c>
      <c r="I504" s="1">
        <v>1</v>
      </c>
      <c r="J504" s="1">
        <v>0.04</v>
      </c>
      <c r="K504" s="19">
        <v>7.5800000000000006E-2</v>
      </c>
      <c r="L504" s="21">
        <v>0.56999999999999995</v>
      </c>
      <c r="M504" s="21">
        <v>0.1045</v>
      </c>
      <c r="N504" s="21">
        <v>2</v>
      </c>
      <c r="O504" s="21">
        <v>20</v>
      </c>
      <c r="P504" s="22">
        <v>22</v>
      </c>
      <c r="Q504" s="38" t="str">
        <f t="shared" si="7"/>
        <v>Weekday</v>
      </c>
    </row>
    <row r="505" spans="1:17">
      <c r="A505" s="1">
        <v>504</v>
      </c>
      <c r="B505" s="2">
        <v>40566</v>
      </c>
      <c r="C505" s="1">
        <v>1</v>
      </c>
      <c r="D505" s="1">
        <v>0</v>
      </c>
      <c r="E505" s="1">
        <v>1</v>
      </c>
      <c r="F505" s="1">
        <v>1</v>
      </c>
      <c r="G505" s="1" t="b">
        <v>0</v>
      </c>
      <c r="H505" s="1">
        <v>0</v>
      </c>
      <c r="I505" s="1">
        <v>1</v>
      </c>
      <c r="J505" s="1">
        <v>0.04</v>
      </c>
      <c r="K505" s="20">
        <v>7.5800000000000006E-2</v>
      </c>
      <c r="L505" s="23">
        <v>0.56999999999999995</v>
      </c>
      <c r="M505" s="23">
        <v>0.1045</v>
      </c>
      <c r="N505" s="23">
        <v>1</v>
      </c>
      <c r="O505" s="23">
        <v>12</v>
      </c>
      <c r="P505" s="24">
        <v>13</v>
      </c>
      <c r="Q505" s="38" t="str">
        <f t="shared" si="7"/>
        <v>Weekday</v>
      </c>
    </row>
    <row r="506" spans="1:17">
      <c r="A506" s="1">
        <v>505</v>
      </c>
      <c r="B506" s="2">
        <v>40566</v>
      </c>
      <c r="C506" s="1">
        <v>1</v>
      </c>
      <c r="D506" s="1">
        <v>0</v>
      </c>
      <c r="E506" s="1">
        <v>1</v>
      </c>
      <c r="F506" s="1">
        <v>2</v>
      </c>
      <c r="G506" s="1" t="b">
        <v>0</v>
      </c>
      <c r="H506" s="1">
        <v>0</v>
      </c>
      <c r="I506" s="1">
        <v>1</v>
      </c>
      <c r="J506" s="1">
        <v>0.02</v>
      </c>
      <c r="K506" s="19">
        <v>6.0600000000000001E-2</v>
      </c>
      <c r="L506" s="21">
        <v>0.62</v>
      </c>
      <c r="M506" s="21">
        <v>0.1343</v>
      </c>
      <c r="N506" s="21">
        <v>3</v>
      </c>
      <c r="O506" s="21">
        <v>15</v>
      </c>
      <c r="P506" s="22">
        <v>18</v>
      </c>
      <c r="Q506" s="38" t="str">
        <f t="shared" si="7"/>
        <v>Weekday</v>
      </c>
    </row>
    <row r="507" spans="1:17">
      <c r="A507" s="1">
        <v>506</v>
      </c>
      <c r="B507" s="2">
        <v>40566</v>
      </c>
      <c r="C507" s="1">
        <v>1</v>
      </c>
      <c r="D507" s="1">
        <v>0</v>
      </c>
      <c r="E507" s="1">
        <v>1</v>
      </c>
      <c r="F507" s="1">
        <v>3</v>
      </c>
      <c r="G507" s="1" t="b">
        <v>0</v>
      </c>
      <c r="H507" s="1">
        <v>0</v>
      </c>
      <c r="I507" s="1">
        <v>1</v>
      </c>
      <c r="J507" s="1">
        <v>0.02</v>
      </c>
      <c r="K507" s="20">
        <v>6.0600000000000001E-2</v>
      </c>
      <c r="L507" s="23">
        <v>0.62</v>
      </c>
      <c r="M507" s="23">
        <v>0.1343</v>
      </c>
      <c r="N507" s="23">
        <v>1</v>
      </c>
      <c r="O507" s="23">
        <v>4</v>
      </c>
      <c r="P507" s="24">
        <v>5</v>
      </c>
      <c r="Q507" s="38" t="str">
        <f t="shared" si="7"/>
        <v>Weekday</v>
      </c>
    </row>
    <row r="508" spans="1:17">
      <c r="A508" s="1">
        <v>507</v>
      </c>
      <c r="B508" s="2">
        <v>40566</v>
      </c>
      <c r="C508" s="1">
        <v>1</v>
      </c>
      <c r="D508" s="1">
        <v>0</v>
      </c>
      <c r="E508" s="1">
        <v>1</v>
      </c>
      <c r="F508" s="1">
        <v>5</v>
      </c>
      <c r="G508" s="1" t="b">
        <v>0</v>
      </c>
      <c r="H508" s="1">
        <v>0</v>
      </c>
      <c r="I508" s="1">
        <v>2</v>
      </c>
      <c r="J508" s="1">
        <v>0.04</v>
      </c>
      <c r="K508" s="19">
        <v>7.5800000000000006E-2</v>
      </c>
      <c r="L508" s="21">
        <v>0.56999999999999995</v>
      </c>
      <c r="M508" s="21">
        <v>0.1045</v>
      </c>
      <c r="N508" s="21">
        <v>0</v>
      </c>
      <c r="O508" s="21">
        <v>3</v>
      </c>
      <c r="P508" s="22">
        <v>3</v>
      </c>
      <c r="Q508" s="38" t="str">
        <f t="shared" si="7"/>
        <v>Weekday</v>
      </c>
    </row>
    <row r="509" spans="1:17">
      <c r="A509" s="1">
        <v>508</v>
      </c>
      <c r="B509" s="2">
        <v>40566</v>
      </c>
      <c r="C509" s="1">
        <v>1</v>
      </c>
      <c r="D509" s="1">
        <v>0</v>
      </c>
      <c r="E509" s="1">
        <v>1</v>
      </c>
      <c r="F509" s="1">
        <v>6</v>
      </c>
      <c r="G509" s="1" t="b">
        <v>0</v>
      </c>
      <c r="H509" s="1">
        <v>0</v>
      </c>
      <c r="I509" s="1">
        <v>2</v>
      </c>
      <c r="J509" s="1">
        <v>0.04</v>
      </c>
      <c r="K509" s="20">
        <v>7.5800000000000006E-2</v>
      </c>
      <c r="L509" s="23">
        <v>0.56999999999999995</v>
      </c>
      <c r="M509" s="23">
        <v>0.1045</v>
      </c>
      <c r="N509" s="23">
        <v>0</v>
      </c>
      <c r="O509" s="23">
        <v>1</v>
      </c>
      <c r="P509" s="24">
        <v>1</v>
      </c>
      <c r="Q509" s="38" t="str">
        <f t="shared" si="7"/>
        <v>Weekday</v>
      </c>
    </row>
    <row r="510" spans="1:17">
      <c r="A510" s="1">
        <v>509</v>
      </c>
      <c r="B510" s="2">
        <v>40566</v>
      </c>
      <c r="C510" s="1">
        <v>1</v>
      </c>
      <c r="D510" s="1">
        <v>0</v>
      </c>
      <c r="E510" s="1">
        <v>1</v>
      </c>
      <c r="F510" s="1">
        <v>7</v>
      </c>
      <c r="G510" s="1" t="b">
        <v>0</v>
      </c>
      <c r="H510" s="1">
        <v>0</v>
      </c>
      <c r="I510" s="1">
        <v>1</v>
      </c>
      <c r="J510" s="1">
        <v>0.08</v>
      </c>
      <c r="K510" s="19">
        <v>0.1061</v>
      </c>
      <c r="L510" s="21">
        <v>0.57999999999999996</v>
      </c>
      <c r="M510" s="21">
        <v>0.16420000000000001</v>
      </c>
      <c r="N510" s="21">
        <v>1</v>
      </c>
      <c r="O510" s="21">
        <v>1</v>
      </c>
      <c r="P510" s="22">
        <v>2</v>
      </c>
      <c r="Q510" s="38" t="str">
        <f t="shared" si="7"/>
        <v>Weekday</v>
      </c>
    </row>
    <row r="511" spans="1:17">
      <c r="A511" s="1">
        <v>510</v>
      </c>
      <c r="B511" s="2">
        <v>40566</v>
      </c>
      <c r="C511" s="1">
        <v>1</v>
      </c>
      <c r="D511" s="1">
        <v>0</v>
      </c>
      <c r="E511" s="1">
        <v>1</v>
      </c>
      <c r="F511" s="1">
        <v>8</v>
      </c>
      <c r="G511" s="1" t="b">
        <v>0</v>
      </c>
      <c r="H511" s="1">
        <v>0</v>
      </c>
      <c r="I511" s="1">
        <v>1</v>
      </c>
      <c r="J511" s="1">
        <v>0.06</v>
      </c>
      <c r="K511" s="20">
        <v>7.5800000000000006E-2</v>
      </c>
      <c r="L511" s="23">
        <v>0.62</v>
      </c>
      <c r="M511" s="23">
        <v>0.16420000000000001</v>
      </c>
      <c r="N511" s="23">
        <v>2</v>
      </c>
      <c r="O511" s="23">
        <v>17</v>
      </c>
      <c r="P511" s="24">
        <v>19</v>
      </c>
      <c r="Q511" s="38" t="str">
        <f t="shared" si="7"/>
        <v>Weekday</v>
      </c>
    </row>
    <row r="512" spans="1:17">
      <c r="A512" s="1">
        <v>511</v>
      </c>
      <c r="B512" s="2">
        <v>40566</v>
      </c>
      <c r="C512" s="1">
        <v>1</v>
      </c>
      <c r="D512" s="1">
        <v>0</v>
      </c>
      <c r="E512" s="1">
        <v>1</v>
      </c>
      <c r="F512" s="1">
        <v>9</v>
      </c>
      <c r="G512" s="1" t="b">
        <v>0</v>
      </c>
      <c r="H512" s="1">
        <v>0</v>
      </c>
      <c r="I512" s="1">
        <v>1</v>
      </c>
      <c r="J512" s="1">
        <v>0.1</v>
      </c>
      <c r="K512" s="19">
        <v>7.5800000000000006E-2</v>
      </c>
      <c r="L512" s="21">
        <v>0.54</v>
      </c>
      <c r="M512" s="21">
        <v>0.35820000000000002</v>
      </c>
      <c r="N512" s="21">
        <v>3</v>
      </c>
      <c r="O512" s="21">
        <v>25</v>
      </c>
      <c r="P512" s="22">
        <v>28</v>
      </c>
      <c r="Q512" s="38" t="str">
        <f t="shared" si="7"/>
        <v>Weekday</v>
      </c>
    </row>
    <row r="513" spans="1:17">
      <c r="A513" s="1">
        <v>512</v>
      </c>
      <c r="B513" s="2">
        <v>40566</v>
      </c>
      <c r="C513" s="1">
        <v>1</v>
      </c>
      <c r="D513" s="1">
        <v>0</v>
      </c>
      <c r="E513" s="1">
        <v>1</v>
      </c>
      <c r="F513" s="1">
        <v>10</v>
      </c>
      <c r="G513" s="1" t="b">
        <v>0</v>
      </c>
      <c r="H513" s="1">
        <v>0</v>
      </c>
      <c r="I513" s="1">
        <v>1</v>
      </c>
      <c r="J513" s="1">
        <v>0.14000000000000001</v>
      </c>
      <c r="K513" s="20">
        <v>0.1061</v>
      </c>
      <c r="L513" s="23">
        <v>0.46</v>
      </c>
      <c r="M513" s="23">
        <v>0.3881</v>
      </c>
      <c r="N513" s="23">
        <v>7</v>
      </c>
      <c r="O513" s="23">
        <v>51</v>
      </c>
      <c r="P513" s="24">
        <v>58</v>
      </c>
      <c r="Q513" s="38" t="str">
        <f t="shared" si="7"/>
        <v>Weekday</v>
      </c>
    </row>
    <row r="514" spans="1:17">
      <c r="A514" s="1">
        <v>513</v>
      </c>
      <c r="B514" s="2">
        <v>40566</v>
      </c>
      <c r="C514" s="1">
        <v>1</v>
      </c>
      <c r="D514" s="1">
        <v>0</v>
      </c>
      <c r="E514" s="1">
        <v>1</v>
      </c>
      <c r="F514" s="1">
        <v>11</v>
      </c>
      <c r="G514" s="1" t="b">
        <v>0</v>
      </c>
      <c r="H514" s="1">
        <v>0</v>
      </c>
      <c r="I514" s="1">
        <v>1</v>
      </c>
      <c r="J514" s="1">
        <v>0.14000000000000001</v>
      </c>
      <c r="K514" s="19">
        <v>0.13639999999999999</v>
      </c>
      <c r="L514" s="21">
        <v>0.43</v>
      </c>
      <c r="M514" s="21">
        <v>0.22389999999999999</v>
      </c>
      <c r="N514" s="21">
        <v>22</v>
      </c>
      <c r="O514" s="21">
        <v>77</v>
      </c>
      <c r="P514" s="22">
        <v>99</v>
      </c>
      <c r="Q514" s="38" t="str">
        <f t="shared" ref="Q514:Q577" si="8">IF(H514&gt;=6,"Weekend","Weekday")</f>
        <v>Weekday</v>
      </c>
    </row>
    <row r="515" spans="1:17">
      <c r="A515" s="1">
        <v>514</v>
      </c>
      <c r="B515" s="2">
        <v>40566</v>
      </c>
      <c r="C515" s="1">
        <v>1</v>
      </c>
      <c r="D515" s="1">
        <v>0</v>
      </c>
      <c r="E515" s="1">
        <v>1</v>
      </c>
      <c r="F515" s="1">
        <v>12</v>
      </c>
      <c r="G515" s="1" t="b">
        <v>0</v>
      </c>
      <c r="H515" s="1">
        <v>0</v>
      </c>
      <c r="I515" s="1">
        <v>1</v>
      </c>
      <c r="J515" s="1">
        <v>0.16</v>
      </c>
      <c r="K515" s="20">
        <v>0.1212</v>
      </c>
      <c r="L515" s="23">
        <v>0.37</v>
      </c>
      <c r="M515" s="23">
        <v>0.4627</v>
      </c>
      <c r="N515" s="23">
        <v>24</v>
      </c>
      <c r="O515" s="23">
        <v>92</v>
      </c>
      <c r="P515" s="24">
        <v>116</v>
      </c>
      <c r="Q515" s="38" t="str">
        <f t="shared" si="8"/>
        <v>Weekday</v>
      </c>
    </row>
    <row r="516" spans="1:17">
      <c r="A516" s="1">
        <v>515</v>
      </c>
      <c r="B516" s="2">
        <v>40566</v>
      </c>
      <c r="C516" s="1">
        <v>1</v>
      </c>
      <c r="D516" s="1">
        <v>0</v>
      </c>
      <c r="E516" s="1">
        <v>1</v>
      </c>
      <c r="F516" s="1">
        <v>13</v>
      </c>
      <c r="G516" s="1" t="b">
        <v>0</v>
      </c>
      <c r="H516" s="1">
        <v>0</v>
      </c>
      <c r="I516" s="1">
        <v>1</v>
      </c>
      <c r="J516" s="1">
        <v>0.14000000000000001</v>
      </c>
      <c r="K516" s="19">
        <v>0.1061</v>
      </c>
      <c r="L516" s="21">
        <v>0.33</v>
      </c>
      <c r="M516" s="21">
        <v>0.3881</v>
      </c>
      <c r="N516" s="21">
        <v>12</v>
      </c>
      <c r="O516" s="21">
        <v>75</v>
      </c>
      <c r="P516" s="22">
        <v>87</v>
      </c>
      <c r="Q516" s="38" t="str">
        <f t="shared" si="8"/>
        <v>Weekday</v>
      </c>
    </row>
    <row r="517" spans="1:17">
      <c r="A517" s="1">
        <v>516</v>
      </c>
      <c r="B517" s="2">
        <v>40566</v>
      </c>
      <c r="C517" s="1">
        <v>1</v>
      </c>
      <c r="D517" s="1">
        <v>0</v>
      </c>
      <c r="E517" s="1">
        <v>1</v>
      </c>
      <c r="F517" s="1">
        <v>14</v>
      </c>
      <c r="G517" s="1" t="b">
        <v>0</v>
      </c>
      <c r="H517" s="1">
        <v>0</v>
      </c>
      <c r="I517" s="1">
        <v>1</v>
      </c>
      <c r="J517" s="1">
        <v>0.16</v>
      </c>
      <c r="K517" s="20">
        <v>0.13639999999999999</v>
      </c>
      <c r="L517" s="23">
        <v>0.28000000000000003</v>
      </c>
      <c r="M517" s="23">
        <v>0.35820000000000002</v>
      </c>
      <c r="N517" s="23">
        <v>17</v>
      </c>
      <c r="O517" s="23">
        <v>93</v>
      </c>
      <c r="P517" s="24">
        <v>110</v>
      </c>
      <c r="Q517" s="38" t="str">
        <f t="shared" si="8"/>
        <v>Weekday</v>
      </c>
    </row>
    <row r="518" spans="1:17">
      <c r="A518" s="1">
        <v>517</v>
      </c>
      <c r="B518" s="2">
        <v>40566</v>
      </c>
      <c r="C518" s="1">
        <v>1</v>
      </c>
      <c r="D518" s="1">
        <v>0</v>
      </c>
      <c r="E518" s="1">
        <v>1</v>
      </c>
      <c r="F518" s="1">
        <v>15</v>
      </c>
      <c r="G518" s="1" t="b">
        <v>0</v>
      </c>
      <c r="H518" s="1">
        <v>0</v>
      </c>
      <c r="I518" s="1">
        <v>1</v>
      </c>
      <c r="J518" s="1">
        <v>0.16</v>
      </c>
      <c r="K518" s="19">
        <v>0.13639999999999999</v>
      </c>
      <c r="L518" s="21">
        <v>0.28000000000000003</v>
      </c>
      <c r="M518" s="21">
        <v>0.35820000000000002</v>
      </c>
      <c r="N518" s="21">
        <v>13</v>
      </c>
      <c r="O518" s="21">
        <v>64</v>
      </c>
      <c r="P518" s="22">
        <v>77</v>
      </c>
      <c r="Q518" s="38" t="str">
        <f t="shared" si="8"/>
        <v>Weekday</v>
      </c>
    </row>
    <row r="519" spans="1:17">
      <c r="A519" s="1">
        <v>518</v>
      </c>
      <c r="B519" s="2">
        <v>40566</v>
      </c>
      <c r="C519" s="1">
        <v>1</v>
      </c>
      <c r="D519" s="1">
        <v>0</v>
      </c>
      <c r="E519" s="1">
        <v>1</v>
      </c>
      <c r="F519" s="1">
        <v>16</v>
      </c>
      <c r="G519" s="1" t="b">
        <v>0</v>
      </c>
      <c r="H519" s="1">
        <v>0</v>
      </c>
      <c r="I519" s="1">
        <v>1</v>
      </c>
      <c r="J519" s="1">
        <v>0.16</v>
      </c>
      <c r="K519" s="20">
        <v>0.13639999999999999</v>
      </c>
      <c r="L519" s="23">
        <v>0.26</v>
      </c>
      <c r="M519" s="23">
        <v>0.32840000000000003</v>
      </c>
      <c r="N519" s="23">
        <v>9</v>
      </c>
      <c r="O519" s="23">
        <v>56</v>
      </c>
      <c r="P519" s="24">
        <v>65</v>
      </c>
      <c r="Q519" s="38" t="str">
        <f t="shared" si="8"/>
        <v>Weekday</v>
      </c>
    </row>
    <row r="520" spans="1:17">
      <c r="A520" s="1">
        <v>519</v>
      </c>
      <c r="B520" s="2">
        <v>40566</v>
      </c>
      <c r="C520" s="1">
        <v>1</v>
      </c>
      <c r="D520" s="1">
        <v>0</v>
      </c>
      <c r="E520" s="1">
        <v>1</v>
      </c>
      <c r="F520" s="1">
        <v>17</v>
      </c>
      <c r="G520" s="1" t="b">
        <v>0</v>
      </c>
      <c r="H520" s="1">
        <v>0</v>
      </c>
      <c r="I520" s="1">
        <v>1</v>
      </c>
      <c r="J520" s="1">
        <v>0.14000000000000001</v>
      </c>
      <c r="K520" s="19">
        <v>0.1061</v>
      </c>
      <c r="L520" s="21">
        <v>0.26</v>
      </c>
      <c r="M520" s="21">
        <v>0.3881</v>
      </c>
      <c r="N520" s="21">
        <v>5</v>
      </c>
      <c r="O520" s="21">
        <v>50</v>
      </c>
      <c r="P520" s="22">
        <v>55</v>
      </c>
      <c r="Q520" s="38" t="str">
        <f t="shared" si="8"/>
        <v>Weekday</v>
      </c>
    </row>
    <row r="521" spans="1:17">
      <c r="A521" s="1">
        <v>520</v>
      </c>
      <c r="B521" s="2">
        <v>40566</v>
      </c>
      <c r="C521" s="1">
        <v>1</v>
      </c>
      <c r="D521" s="1">
        <v>0</v>
      </c>
      <c r="E521" s="1">
        <v>1</v>
      </c>
      <c r="F521" s="1">
        <v>18</v>
      </c>
      <c r="G521" s="1" t="b">
        <v>0</v>
      </c>
      <c r="H521" s="1">
        <v>0</v>
      </c>
      <c r="I521" s="1">
        <v>1</v>
      </c>
      <c r="J521" s="1">
        <v>0.12</v>
      </c>
      <c r="K521" s="20">
        <v>0.1212</v>
      </c>
      <c r="L521" s="23">
        <v>0.3</v>
      </c>
      <c r="M521" s="23">
        <v>0.25369999999999998</v>
      </c>
      <c r="N521" s="23">
        <v>5</v>
      </c>
      <c r="O521" s="23">
        <v>44</v>
      </c>
      <c r="P521" s="24">
        <v>49</v>
      </c>
      <c r="Q521" s="38" t="str">
        <f t="shared" si="8"/>
        <v>Weekday</v>
      </c>
    </row>
    <row r="522" spans="1:17">
      <c r="A522" s="1">
        <v>521</v>
      </c>
      <c r="B522" s="2">
        <v>40566</v>
      </c>
      <c r="C522" s="1">
        <v>1</v>
      </c>
      <c r="D522" s="1">
        <v>0</v>
      </c>
      <c r="E522" s="1">
        <v>1</v>
      </c>
      <c r="F522" s="1">
        <v>19</v>
      </c>
      <c r="G522" s="1" t="b">
        <v>0</v>
      </c>
      <c r="H522" s="1">
        <v>0</v>
      </c>
      <c r="I522" s="1">
        <v>1</v>
      </c>
      <c r="J522" s="1">
        <v>0.12</v>
      </c>
      <c r="K522" s="19">
        <v>0.1212</v>
      </c>
      <c r="L522" s="21">
        <v>0.3</v>
      </c>
      <c r="M522" s="21">
        <v>0.28360000000000002</v>
      </c>
      <c r="N522" s="21">
        <v>5</v>
      </c>
      <c r="O522" s="21">
        <v>45</v>
      </c>
      <c r="P522" s="22">
        <v>50</v>
      </c>
      <c r="Q522" s="38" t="str">
        <f t="shared" si="8"/>
        <v>Weekday</v>
      </c>
    </row>
    <row r="523" spans="1:17">
      <c r="A523" s="1">
        <v>522</v>
      </c>
      <c r="B523" s="2">
        <v>40566</v>
      </c>
      <c r="C523" s="1">
        <v>1</v>
      </c>
      <c r="D523" s="1">
        <v>0</v>
      </c>
      <c r="E523" s="1">
        <v>1</v>
      </c>
      <c r="F523" s="1">
        <v>20</v>
      </c>
      <c r="G523" s="1" t="b">
        <v>0</v>
      </c>
      <c r="H523" s="1">
        <v>0</v>
      </c>
      <c r="I523" s="1">
        <v>1</v>
      </c>
      <c r="J523" s="1">
        <v>0.1</v>
      </c>
      <c r="K523" s="20">
        <v>0.1061</v>
      </c>
      <c r="L523" s="23">
        <v>0.36</v>
      </c>
      <c r="M523" s="23">
        <v>0.25369999999999998</v>
      </c>
      <c r="N523" s="23">
        <v>4</v>
      </c>
      <c r="O523" s="23">
        <v>31</v>
      </c>
      <c r="P523" s="24">
        <v>35</v>
      </c>
      <c r="Q523" s="38" t="str">
        <f t="shared" si="8"/>
        <v>Weekday</v>
      </c>
    </row>
    <row r="524" spans="1:17">
      <c r="A524" s="1">
        <v>523</v>
      </c>
      <c r="B524" s="2">
        <v>40566</v>
      </c>
      <c r="C524" s="1">
        <v>1</v>
      </c>
      <c r="D524" s="1">
        <v>0</v>
      </c>
      <c r="E524" s="1">
        <v>1</v>
      </c>
      <c r="F524" s="1">
        <v>21</v>
      </c>
      <c r="G524" s="1" t="b">
        <v>0</v>
      </c>
      <c r="H524" s="1">
        <v>0</v>
      </c>
      <c r="I524" s="1">
        <v>1</v>
      </c>
      <c r="J524" s="1">
        <v>0.1</v>
      </c>
      <c r="K524" s="19">
        <v>0.1061</v>
      </c>
      <c r="L524" s="21">
        <v>0.36</v>
      </c>
      <c r="M524" s="21">
        <v>0.19400000000000001</v>
      </c>
      <c r="N524" s="21">
        <v>5</v>
      </c>
      <c r="O524" s="21">
        <v>20</v>
      </c>
      <c r="P524" s="22">
        <v>25</v>
      </c>
      <c r="Q524" s="38" t="str">
        <f t="shared" si="8"/>
        <v>Weekday</v>
      </c>
    </row>
    <row r="525" spans="1:17">
      <c r="A525" s="1">
        <v>524</v>
      </c>
      <c r="B525" s="2">
        <v>40566</v>
      </c>
      <c r="C525" s="1">
        <v>1</v>
      </c>
      <c r="D525" s="1">
        <v>0</v>
      </c>
      <c r="E525" s="1">
        <v>1</v>
      </c>
      <c r="F525" s="1">
        <v>22</v>
      </c>
      <c r="G525" s="1" t="b">
        <v>0</v>
      </c>
      <c r="H525" s="1">
        <v>0</v>
      </c>
      <c r="I525" s="1">
        <v>1</v>
      </c>
      <c r="J525" s="1">
        <v>0.08</v>
      </c>
      <c r="K525" s="20">
        <v>9.0899999999999995E-2</v>
      </c>
      <c r="L525" s="23">
        <v>0.38</v>
      </c>
      <c r="M525" s="23">
        <v>0.19400000000000001</v>
      </c>
      <c r="N525" s="23">
        <v>5</v>
      </c>
      <c r="O525" s="23">
        <v>23</v>
      </c>
      <c r="P525" s="24">
        <v>28</v>
      </c>
      <c r="Q525" s="38" t="str">
        <f t="shared" si="8"/>
        <v>Weekday</v>
      </c>
    </row>
    <row r="526" spans="1:17">
      <c r="A526" s="1">
        <v>525</v>
      </c>
      <c r="B526" s="2">
        <v>40566</v>
      </c>
      <c r="C526" s="1">
        <v>1</v>
      </c>
      <c r="D526" s="1">
        <v>0</v>
      </c>
      <c r="E526" s="1">
        <v>1</v>
      </c>
      <c r="F526" s="1">
        <v>23</v>
      </c>
      <c r="G526" s="1" t="b">
        <v>0</v>
      </c>
      <c r="H526" s="1">
        <v>0</v>
      </c>
      <c r="I526" s="1">
        <v>1</v>
      </c>
      <c r="J526" s="1">
        <v>0.06</v>
      </c>
      <c r="K526" s="19">
        <v>6.0600000000000001E-2</v>
      </c>
      <c r="L526" s="21">
        <v>0.41</v>
      </c>
      <c r="M526" s="21">
        <v>0.22389999999999999</v>
      </c>
      <c r="N526" s="21">
        <v>4</v>
      </c>
      <c r="O526" s="21">
        <v>17</v>
      </c>
      <c r="P526" s="22">
        <v>21</v>
      </c>
      <c r="Q526" s="38" t="str">
        <f t="shared" si="8"/>
        <v>Weekday</v>
      </c>
    </row>
    <row r="527" spans="1:17">
      <c r="A527" s="1">
        <v>526</v>
      </c>
      <c r="B527" s="2">
        <v>40567</v>
      </c>
      <c r="C527" s="1">
        <v>1</v>
      </c>
      <c r="D527" s="1">
        <v>0</v>
      </c>
      <c r="E527" s="1">
        <v>1</v>
      </c>
      <c r="F527" s="1">
        <v>0</v>
      </c>
      <c r="G527" s="1" t="b">
        <v>0</v>
      </c>
      <c r="H527" s="1">
        <v>1</v>
      </c>
      <c r="I527" s="1">
        <v>1</v>
      </c>
      <c r="J527" s="1">
        <v>0.06</v>
      </c>
      <c r="K527" s="20">
        <v>6.0600000000000001E-2</v>
      </c>
      <c r="L527" s="23">
        <v>0.41</v>
      </c>
      <c r="M527" s="23">
        <v>0.19400000000000001</v>
      </c>
      <c r="N527" s="23">
        <v>0</v>
      </c>
      <c r="O527" s="23">
        <v>7</v>
      </c>
      <c r="P527" s="24">
        <v>7</v>
      </c>
      <c r="Q527" s="38" t="str">
        <f t="shared" si="8"/>
        <v>Weekday</v>
      </c>
    </row>
    <row r="528" spans="1:17">
      <c r="A528" s="1">
        <v>527</v>
      </c>
      <c r="B528" s="2">
        <v>40567</v>
      </c>
      <c r="C528" s="1">
        <v>1</v>
      </c>
      <c r="D528" s="1">
        <v>0</v>
      </c>
      <c r="E528" s="1">
        <v>1</v>
      </c>
      <c r="F528" s="1">
        <v>1</v>
      </c>
      <c r="G528" s="1" t="b">
        <v>0</v>
      </c>
      <c r="H528" s="1">
        <v>1</v>
      </c>
      <c r="I528" s="1">
        <v>1</v>
      </c>
      <c r="J528" s="1">
        <v>0.04</v>
      </c>
      <c r="K528" s="19">
        <v>4.5499999999999999E-2</v>
      </c>
      <c r="L528" s="21">
        <v>0.45</v>
      </c>
      <c r="M528" s="21">
        <v>0.19400000000000001</v>
      </c>
      <c r="N528" s="21">
        <v>0</v>
      </c>
      <c r="O528" s="21">
        <v>1</v>
      </c>
      <c r="P528" s="22">
        <v>1</v>
      </c>
      <c r="Q528" s="38" t="str">
        <f t="shared" si="8"/>
        <v>Weekday</v>
      </c>
    </row>
    <row r="529" spans="1:17">
      <c r="A529" s="1">
        <v>528</v>
      </c>
      <c r="B529" s="2">
        <v>40567</v>
      </c>
      <c r="C529" s="1">
        <v>1</v>
      </c>
      <c r="D529" s="1">
        <v>0</v>
      </c>
      <c r="E529" s="1">
        <v>1</v>
      </c>
      <c r="F529" s="1">
        <v>3</v>
      </c>
      <c r="G529" s="1" t="b">
        <v>0</v>
      </c>
      <c r="H529" s="1">
        <v>1</v>
      </c>
      <c r="I529" s="1">
        <v>1</v>
      </c>
      <c r="J529" s="1">
        <v>0.04</v>
      </c>
      <c r="K529" s="20">
        <v>3.0300000000000001E-2</v>
      </c>
      <c r="L529" s="23">
        <v>0.45</v>
      </c>
      <c r="M529" s="23">
        <v>0.25369999999999998</v>
      </c>
      <c r="N529" s="23">
        <v>0</v>
      </c>
      <c r="O529" s="23">
        <v>1</v>
      </c>
      <c r="P529" s="24">
        <v>1</v>
      </c>
      <c r="Q529" s="38" t="str">
        <f t="shared" si="8"/>
        <v>Weekday</v>
      </c>
    </row>
    <row r="530" spans="1:17">
      <c r="A530" s="1">
        <v>529</v>
      </c>
      <c r="B530" s="2">
        <v>40567</v>
      </c>
      <c r="C530" s="1">
        <v>1</v>
      </c>
      <c r="D530" s="1">
        <v>0</v>
      </c>
      <c r="E530" s="1">
        <v>1</v>
      </c>
      <c r="F530" s="1">
        <v>4</v>
      </c>
      <c r="G530" s="1" t="b">
        <v>0</v>
      </c>
      <c r="H530" s="1">
        <v>1</v>
      </c>
      <c r="I530" s="1">
        <v>1</v>
      </c>
      <c r="J530" s="1">
        <v>0.02</v>
      </c>
      <c r="K530" s="19">
        <v>6.0600000000000001E-2</v>
      </c>
      <c r="L530" s="21">
        <v>0.48</v>
      </c>
      <c r="M530" s="21">
        <v>0.1343</v>
      </c>
      <c r="N530" s="21">
        <v>0</v>
      </c>
      <c r="O530" s="21">
        <v>1</v>
      </c>
      <c r="P530" s="22">
        <v>1</v>
      </c>
      <c r="Q530" s="38" t="str">
        <f t="shared" si="8"/>
        <v>Weekday</v>
      </c>
    </row>
    <row r="531" spans="1:17">
      <c r="A531" s="1">
        <v>530</v>
      </c>
      <c r="B531" s="2">
        <v>40567</v>
      </c>
      <c r="C531" s="1">
        <v>1</v>
      </c>
      <c r="D531" s="1">
        <v>0</v>
      </c>
      <c r="E531" s="1">
        <v>1</v>
      </c>
      <c r="F531" s="1">
        <v>5</v>
      </c>
      <c r="G531" s="1" t="b">
        <v>0</v>
      </c>
      <c r="H531" s="1">
        <v>1</v>
      </c>
      <c r="I531" s="1">
        <v>1</v>
      </c>
      <c r="J531" s="1">
        <v>0.02</v>
      </c>
      <c r="K531" s="20">
        <v>6.0600000000000001E-2</v>
      </c>
      <c r="L531" s="23">
        <v>0.48</v>
      </c>
      <c r="M531" s="23">
        <v>0.1343</v>
      </c>
      <c r="N531" s="23">
        <v>0</v>
      </c>
      <c r="O531" s="23">
        <v>5</v>
      </c>
      <c r="P531" s="24">
        <v>5</v>
      </c>
      <c r="Q531" s="38" t="str">
        <f t="shared" si="8"/>
        <v>Weekday</v>
      </c>
    </row>
    <row r="532" spans="1:17">
      <c r="A532" s="1">
        <v>531</v>
      </c>
      <c r="B532" s="2">
        <v>40567</v>
      </c>
      <c r="C532" s="1">
        <v>1</v>
      </c>
      <c r="D532" s="1">
        <v>0</v>
      </c>
      <c r="E532" s="1">
        <v>1</v>
      </c>
      <c r="F532" s="1">
        <v>6</v>
      </c>
      <c r="G532" s="1" t="b">
        <v>0</v>
      </c>
      <c r="H532" s="1">
        <v>1</v>
      </c>
      <c r="I532" s="1">
        <v>1</v>
      </c>
      <c r="J532" s="1">
        <v>0.02</v>
      </c>
      <c r="K532" s="19">
        <v>7.5800000000000006E-2</v>
      </c>
      <c r="L532" s="21">
        <v>0.48</v>
      </c>
      <c r="M532" s="21">
        <v>8.9599999999999999E-2</v>
      </c>
      <c r="N532" s="21">
        <v>0</v>
      </c>
      <c r="O532" s="21">
        <v>15</v>
      </c>
      <c r="P532" s="22">
        <v>15</v>
      </c>
      <c r="Q532" s="38" t="str">
        <f t="shared" si="8"/>
        <v>Weekday</v>
      </c>
    </row>
    <row r="533" spans="1:17">
      <c r="A533" s="1">
        <v>532</v>
      </c>
      <c r="B533" s="2">
        <v>40567</v>
      </c>
      <c r="C533" s="1">
        <v>1</v>
      </c>
      <c r="D533" s="1">
        <v>0</v>
      </c>
      <c r="E533" s="1">
        <v>1</v>
      </c>
      <c r="F533" s="1">
        <v>7</v>
      </c>
      <c r="G533" s="1" t="b">
        <v>0</v>
      </c>
      <c r="H533" s="1">
        <v>1</v>
      </c>
      <c r="I533" s="1">
        <v>1</v>
      </c>
      <c r="J533" s="1">
        <v>0.02</v>
      </c>
      <c r="K533" s="20">
        <v>0.1212</v>
      </c>
      <c r="L533" s="23">
        <v>0.48</v>
      </c>
      <c r="M533" s="23">
        <v>0</v>
      </c>
      <c r="N533" s="23">
        <v>5</v>
      </c>
      <c r="O533" s="23">
        <v>79</v>
      </c>
      <c r="P533" s="24">
        <v>84</v>
      </c>
      <c r="Q533" s="38" t="str">
        <f t="shared" si="8"/>
        <v>Weekday</v>
      </c>
    </row>
    <row r="534" spans="1:17">
      <c r="A534" s="1">
        <v>533</v>
      </c>
      <c r="B534" s="2">
        <v>40567</v>
      </c>
      <c r="C534" s="1">
        <v>1</v>
      </c>
      <c r="D534" s="1">
        <v>0</v>
      </c>
      <c r="E534" s="1">
        <v>1</v>
      </c>
      <c r="F534" s="1">
        <v>8</v>
      </c>
      <c r="G534" s="1" t="b">
        <v>0</v>
      </c>
      <c r="H534" s="1">
        <v>1</v>
      </c>
      <c r="I534" s="1">
        <v>1</v>
      </c>
      <c r="J534" s="1">
        <v>0.04</v>
      </c>
      <c r="K534" s="19">
        <v>0.13639999999999999</v>
      </c>
      <c r="L534" s="21">
        <v>0.49</v>
      </c>
      <c r="M534" s="21">
        <v>0</v>
      </c>
      <c r="N534" s="21">
        <v>6</v>
      </c>
      <c r="O534" s="21">
        <v>171</v>
      </c>
      <c r="P534" s="22">
        <v>177</v>
      </c>
      <c r="Q534" s="38" t="str">
        <f t="shared" si="8"/>
        <v>Weekday</v>
      </c>
    </row>
    <row r="535" spans="1:17">
      <c r="A535" s="1">
        <v>534</v>
      </c>
      <c r="B535" s="2">
        <v>40567</v>
      </c>
      <c r="C535" s="1">
        <v>1</v>
      </c>
      <c r="D535" s="1">
        <v>0</v>
      </c>
      <c r="E535" s="1">
        <v>1</v>
      </c>
      <c r="F535" s="1">
        <v>9</v>
      </c>
      <c r="G535" s="1" t="b">
        <v>0</v>
      </c>
      <c r="H535" s="1">
        <v>1</v>
      </c>
      <c r="I535" s="1">
        <v>1</v>
      </c>
      <c r="J535" s="1">
        <v>0.06</v>
      </c>
      <c r="K535" s="20">
        <v>0.1515</v>
      </c>
      <c r="L535" s="23">
        <v>0.41</v>
      </c>
      <c r="M535" s="23">
        <v>0</v>
      </c>
      <c r="N535" s="23">
        <v>4</v>
      </c>
      <c r="O535" s="23">
        <v>98</v>
      </c>
      <c r="P535" s="24">
        <v>102</v>
      </c>
      <c r="Q535" s="38" t="str">
        <f t="shared" si="8"/>
        <v>Weekday</v>
      </c>
    </row>
    <row r="536" spans="1:17">
      <c r="A536" s="1">
        <v>535</v>
      </c>
      <c r="B536" s="2">
        <v>40567</v>
      </c>
      <c r="C536" s="1">
        <v>1</v>
      </c>
      <c r="D536" s="1">
        <v>0</v>
      </c>
      <c r="E536" s="1">
        <v>1</v>
      </c>
      <c r="F536" s="1">
        <v>10</v>
      </c>
      <c r="G536" s="1" t="b">
        <v>0</v>
      </c>
      <c r="H536" s="1">
        <v>1</v>
      </c>
      <c r="I536" s="1">
        <v>1</v>
      </c>
      <c r="J536" s="1">
        <v>0.1</v>
      </c>
      <c r="K536" s="19">
        <v>0.13639999999999999</v>
      </c>
      <c r="L536" s="21">
        <v>0.42</v>
      </c>
      <c r="M536" s="21">
        <v>0</v>
      </c>
      <c r="N536" s="21">
        <v>6</v>
      </c>
      <c r="O536" s="21">
        <v>34</v>
      </c>
      <c r="P536" s="22">
        <v>40</v>
      </c>
      <c r="Q536" s="38" t="str">
        <f t="shared" si="8"/>
        <v>Weekday</v>
      </c>
    </row>
    <row r="537" spans="1:17">
      <c r="A537" s="1">
        <v>536</v>
      </c>
      <c r="B537" s="2">
        <v>40567</v>
      </c>
      <c r="C537" s="1">
        <v>1</v>
      </c>
      <c r="D537" s="1">
        <v>0</v>
      </c>
      <c r="E537" s="1">
        <v>1</v>
      </c>
      <c r="F537" s="1">
        <v>11</v>
      </c>
      <c r="G537" s="1" t="b">
        <v>0</v>
      </c>
      <c r="H537" s="1">
        <v>1</v>
      </c>
      <c r="I537" s="1">
        <v>1</v>
      </c>
      <c r="J537" s="1">
        <v>0.1</v>
      </c>
      <c r="K537" s="20">
        <v>0.1212</v>
      </c>
      <c r="L537" s="23">
        <v>0.46</v>
      </c>
      <c r="M537" s="23">
        <v>0.1343</v>
      </c>
      <c r="N537" s="23">
        <v>3</v>
      </c>
      <c r="O537" s="23">
        <v>43</v>
      </c>
      <c r="P537" s="24">
        <v>46</v>
      </c>
      <c r="Q537" s="38" t="str">
        <f t="shared" si="8"/>
        <v>Weekday</v>
      </c>
    </row>
    <row r="538" spans="1:17">
      <c r="A538" s="1">
        <v>537</v>
      </c>
      <c r="B538" s="2">
        <v>40567</v>
      </c>
      <c r="C538" s="1">
        <v>1</v>
      </c>
      <c r="D538" s="1">
        <v>0</v>
      </c>
      <c r="E538" s="1">
        <v>1</v>
      </c>
      <c r="F538" s="1">
        <v>12</v>
      </c>
      <c r="G538" s="1" t="b">
        <v>0</v>
      </c>
      <c r="H538" s="1">
        <v>1</v>
      </c>
      <c r="I538" s="1">
        <v>2</v>
      </c>
      <c r="J538" s="1">
        <v>0.12</v>
      </c>
      <c r="K538" s="19">
        <v>0.13639999999999999</v>
      </c>
      <c r="L538" s="21">
        <v>0.42</v>
      </c>
      <c r="M538" s="21">
        <v>0.19400000000000001</v>
      </c>
      <c r="N538" s="21">
        <v>11</v>
      </c>
      <c r="O538" s="21">
        <v>52</v>
      </c>
      <c r="P538" s="22">
        <v>63</v>
      </c>
      <c r="Q538" s="38" t="str">
        <f t="shared" si="8"/>
        <v>Weekday</v>
      </c>
    </row>
    <row r="539" spans="1:17">
      <c r="A539" s="1">
        <v>538</v>
      </c>
      <c r="B539" s="2">
        <v>40567</v>
      </c>
      <c r="C539" s="1">
        <v>1</v>
      </c>
      <c r="D539" s="1">
        <v>0</v>
      </c>
      <c r="E539" s="1">
        <v>1</v>
      </c>
      <c r="F539" s="1">
        <v>13</v>
      </c>
      <c r="G539" s="1" t="b">
        <v>0</v>
      </c>
      <c r="H539" s="1">
        <v>1</v>
      </c>
      <c r="I539" s="1">
        <v>2</v>
      </c>
      <c r="J539" s="1">
        <v>0.14000000000000001</v>
      </c>
      <c r="K539" s="20">
        <v>0.13639999999999999</v>
      </c>
      <c r="L539" s="23">
        <v>0.43</v>
      </c>
      <c r="M539" s="23">
        <v>0.22389999999999999</v>
      </c>
      <c r="N539" s="23">
        <v>6</v>
      </c>
      <c r="O539" s="23">
        <v>54</v>
      </c>
      <c r="P539" s="24">
        <v>60</v>
      </c>
      <c r="Q539" s="38" t="str">
        <f t="shared" si="8"/>
        <v>Weekday</v>
      </c>
    </row>
    <row r="540" spans="1:17">
      <c r="A540" s="1">
        <v>539</v>
      </c>
      <c r="B540" s="2">
        <v>40567</v>
      </c>
      <c r="C540" s="1">
        <v>1</v>
      </c>
      <c r="D540" s="1">
        <v>0</v>
      </c>
      <c r="E540" s="1">
        <v>1</v>
      </c>
      <c r="F540" s="1">
        <v>14</v>
      </c>
      <c r="G540" s="1" t="b">
        <v>0</v>
      </c>
      <c r="H540" s="1">
        <v>1</v>
      </c>
      <c r="I540" s="1">
        <v>2</v>
      </c>
      <c r="J540" s="1">
        <v>0.14000000000000001</v>
      </c>
      <c r="K540" s="19">
        <v>0.13639999999999999</v>
      </c>
      <c r="L540" s="21">
        <v>0.46</v>
      </c>
      <c r="M540" s="21">
        <v>0.22389999999999999</v>
      </c>
      <c r="N540" s="21">
        <v>2</v>
      </c>
      <c r="O540" s="21">
        <v>43</v>
      </c>
      <c r="P540" s="22">
        <v>45</v>
      </c>
      <c r="Q540" s="38" t="str">
        <f t="shared" si="8"/>
        <v>Weekday</v>
      </c>
    </row>
    <row r="541" spans="1:17">
      <c r="A541" s="1">
        <v>540</v>
      </c>
      <c r="B541" s="2">
        <v>40567</v>
      </c>
      <c r="C541" s="1">
        <v>1</v>
      </c>
      <c r="D541" s="1">
        <v>0</v>
      </c>
      <c r="E541" s="1">
        <v>1</v>
      </c>
      <c r="F541" s="1">
        <v>15</v>
      </c>
      <c r="G541" s="1" t="b">
        <v>0</v>
      </c>
      <c r="H541" s="1">
        <v>1</v>
      </c>
      <c r="I541" s="1">
        <v>1</v>
      </c>
      <c r="J541" s="1">
        <v>0.16</v>
      </c>
      <c r="K541" s="20">
        <v>0.16669999999999999</v>
      </c>
      <c r="L541" s="23">
        <v>0.4</v>
      </c>
      <c r="M541" s="23">
        <v>0.16420000000000001</v>
      </c>
      <c r="N541" s="23">
        <v>7</v>
      </c>
      <c r="O541" s="23">
        <v>50</v>
      </c>
      <c r="P541" s="24">
        <v>57</v>
      </c>
      <c r="Q541" s="38" t="str">
        <f t="shared" si="8"/>
        <v>Weekday</v>
      </c>
    </row>
    <row r="542" spans="1:17">
      <c r="A542" s="1">
        <v>541</v>
      </c>
      <c r="B542" s="2">
        <v>40567</v>
      </c>
      <c r="C542" s="1">
        <v>1</v>
      </c>
      <c r="D542" s="1">
        <v>0</v>
      </c>
      <c r="E542" s="1">
        <v>1</v>
      </c>
      <c r="F542" s="1">
        <v>16</v>
      </c>
      <c r="G542" s="1" t="b">
        <v>0</v>
      </c>
      <c r="H542" s="1">
        <v>1</v>
      </c>
      <c r="I542" s="1">
        <v>1</v>
      </c>
      <c r="J542" s="1">
        <v>0.16</v>
      </c>
      <c r="K542" s="19">
        <v>0.1515</v>
      </c>
      <c r="L542" s="21">
        <v>0.47</v>
      </c>
      <c r="M542" s="21">
        <v>0.25369999999999998</v>
      </c>
      <c r="N542" s="21">
        <v>4</v>
      </c>
      <c r="O542" s="21">
        <v>66</v>
      </c>
      <c r="P542" s="22">
        <v>70</v>
      </c>
      <c r="Q542" s="38" t="str">
        <f t="shared" si="8"/>
        <v>Weekday</v>
      </c>
    </row>
    <row r="543" spans="1:17">
      <c r="A543" s="1">
        <v>542</v>
      </c>
      <c r="B543" s="2">
        <v>40567</v>
      </c>
      <c r="C543" s="1">
        <v>1</v>
      </c>
      <c r="D543" s="1">
        <v>0</v>
      </c>
      <c r="E543" s="1">
        <v>1</v>
      </c>
      <c r="F543" s="1">
        <v>17</v>
      </c>
      <c r="G543" s="1" t="b">
        <v>0</v>
      </c>
      <c r="H543" s="1">
        <v>1</v>
      </c>
      <c r="I543" s="1">
        <v>1</v>
      </c>
      <c r="J543" s="1">
        <v>0.14000000000000001</v>
      </c>
      <c r="K543" s="20">
        <v>0.1212</v>
      </c>
      <c r="L543" s="23">
        <v>0.5</v>
      </c>
      <c r="M543" s="23">
        <v>0.25369999999999998</v>
      </c>
      <c r="N543" s="23">
        <v>6</v>
      </c>
      <c r="O543" s="23">
        <v>178</v>
      </c>
      <c r="P543" s="24">
        <v>184</v>
      </c>
      <c r="Q543" s="38" t="str">
        <f t="shared" si="8"/>
        <v>Weekday</v>
      </c>
    </row>
    <row r="544" spans="1:17">
      <c r="A544" s="1">
        <v>543</v>
      </c>
      <c r="B544" s="2">
        <v>40567</v>
      </c>
      <c r="C544" s="1">
        <v>1</v>
      </c>
      <c r="D544" s="1">
        <v>0</v>
      </c>
      <c r="E544" s="1">
        <v>1</v>
      </c>
      <c r="F544" s="1">
        <v>18</v>
      </c>
      <c r="G544" s="1" t="b">
        <v>0</v>
      </c>
      <c r="H544" s="1">
        <v>1</v>
      </c>
      <c r="I544" s="1">
        <v>1</v>
      </c>
      <c r="J544" s="1">
        <v>0.14000000000000001</v>
      </c>
      <c r="K544" s="19">
        <v>0.13639999999999999</v>
      </c>
      <c r="L544" s="21">
        <v>0.59</v>
      </c>
      <c r="M544" s="21">
        <v>0.19400000000000001</v>
      </c>
      <c r="N544" s="21">
        <v>8</v>
      </c>
      <c r="O544" s="21">
        <v>145</v>
      </c>
      <c r="P544" s="22">
        <v>153</v>
      </c>
      <c r="Q544" s="38" t="str">
        <f t="shared" si="8"/>
        <v>Weekday</v>
      </c>
    </row>
    <row r="545" spans="1:17">
      <c r="A545" s="1">
        <v>544</v>
      </c>
      <c r="B545" s="2">
        <v>40567</v>
      </c>
      <c r="C545" s="1">
        <v>1</v>
      </c>
      <c r="D545" s="1">
        <v>0</v>
      </c>
      <c r="E545" s="1">
        <v>1</v>
      </c>
      <c r="F545" s="1">
        <v>19</v>
      </c>
      <c r="G545" s="1" t="b">
        <v>0</v>
      </c>
      <c r="H545" s="1">
        <v>1</v>
      </c>
      <c r="I545" s="1">
        <v>1</v>
      </c>
      <c r="J545" s="1">
        <v>0.14000000000000001</v>
      </c>
      <c r="K545" s="20">
        <v>0.1515</v>
      </c>
      <c r="L545" s="23">
        <v>0.54</v>
      </c>
      <c r="M545" s="23">
        <v>0.16420000000000001</v>
      </c>
      <c r="N545" s="23">
        <v>5</v>
      </c>
      <c r="O545" s="23">
        <v>101</v>
      </c>
      <c r="P545" s="24">
        <v>106</v>
      </c>
      <c r="Q545" s="38" t="str">
        <f t="shared" si="8"/>
        <v>Weekday</v>
      </c>
    </row>
    <row r="546" spans="1:17">
      <c r="A546" s="1">
        <v>545</v>
      </c>
      <c r="B546" s="2">
        <v>40567</v>
      </c>
      <c r="C546" s="1">
        <v>1</v>
      </c>
      <c r="D546" s="1">
        <v>0</v>
      </c>
      <c r="E546" s="1">
        <v>1</v>
      </c>
      <c r="F546" s="1">
        <v>20</v>
      </c>
      <c r="G546" s="1" t="b">
        <v>0</v>
      </c>
      <c r="H546" s="1">
        <v>1</v>
      </c>
      <c r="I546" s="1">
        <v>1</v>
      </c>
      <c r="J546" s="1">
        <v>0.14000000000000001</v>
      </c>
      <c r="K546" s="19">
        <v>0.13639999999999999</v>
      </c>
      <c r="L546" s="21">
        <v>0.59</v>
      </c>
      <c r="M546" s="21">
        <v>0.19400000000000001</v>
      </c>
      <c r="N546" s="21">
        <v>1</v>
      </c>
      <c r="O546" s="21">
        <v>80</v>
      </c>
      <c r="P546" s="22">
        <v>81</v>
      </c>
      <c r="Q546" s="38" t="str">
        <f t="shared" si="8"/>
        <v>Weekday</v>
      </c>
    </row>
    <row r="547" spans="1:17">
      <c r="A547" s="1">
        <v>546</v>
      </c>
      <c r="B547" s="2">
        <v>40567</v>
      </c>
      <c r="C547" s="1">
        <v>1</v>
      </c>
      <c r="D547" s="1">
        <v>0</v>
      </c>
      <c r="E547" s="1">
        <v>1</v>
      </c>
      <c r="F547" s="1">
        <v>21</v>
      </c>
      <c r="G547" s="1" t="b">
        <v>0</v>
      </c>
      <c r="H547" s="1">
        <v>1</v>
      </c>
      <c r="I547" s="1">
        <v>1</v>
      </c>
      <c r="J547" s="1">
        <v>0.14000000000000001</v>
      </c>
      <c r="K547" s="20">
        <v>0.1515</v>
      </c>
      <c r="L547" s="23">
        <v>0.63</v>
      </c>
      <c r="M547" s="23">
        <v>0.16420000000000001</v>
      </c>
      <c r="N547" s="23">
        <v>6</v>
      </c>
      <c r="O547" s="23">
        <v>53</v>
      </c>
      <c r="P547" s="24">
        <v>59</v>
      </c>
      <c r="Q547" s="38" t="str">
        <f t="shared" si="8"/>
        <v>Weekday</v>
      </c>
    </row>
    <row r="548" spans="1:17">
      <c r="A548" s="1">
        <v>547</v>
      </c>
      <c r="B548" s="2">
        <v>40567</v>
      </c>
      <c r="C548" s="1">
        <v>1</v>
      </c>
      <c r="D548" s="1">
        <v>0</v>
      </c>
      <c r="E548" s="1">
        <v>1</v>
      </c>
      <c r="F548" s="1">
        <v>22</v>
      </c>
      <c r="G548" s="1" t="b">
        <v>0</v>
      </c>
      <c r="H548" s="1">
        <v>1</v>
      </c>
      <c r="I548" s="1">
        <v>2</v>
      </c>
      <c r="J548" s="1">
        <v>0.14000000000000001</v>
      </c>
      <c r="K548" s="19">
        <v>0.13639999999999999</v>
      </c>
      <c r="L548" s="21">
        <v>0.63</v>
      </c>
      <c r="M548" s="21">
        <v>0.22389999999999999</v>
      </c>
      <c r="N548" s="21">
        <v>3</v>
      </c>
      <c r="O548" s="21">
        <v>32</v>
      </c>
      <c r="P548" s="22">
        <v>35</v>
      </c>
      <c r="Q548" s="38" t="str">
        <f t="shared" si="8"/>
        <v>Weekday</v>
      </c>
    </row>
    <row r="549" spans="1:17">
      <c r="A549" s="1">
        <v>548</v>
      </c>
      <c r="B549" s="2">
        <v>40567</v>
      </c>
      <c r="C549" s="1">
        <v>1</v>
      </c>
      <c r="D549" s="1">
        <v>0</v>
      </c>
      <c r="E549" s="1">
        <v>1</v>
      </c>
      <c r="F549" s="1">
        <v>23</v>
      </c>
      <c r="G549" s="1" t="b">
        <v>0</v>
      </c>
      <c r="H549" s="1">
        <v>1</v>
      </c>
      <c r="I549" s="1">
        <v>2</v>
      </c>
      <c r="J549" s="1">
        <v>0.16</v>
      </c>
      <c r="K549" s="20">
        <v>0.1515</v>
      </c>
      <c r="L549" s="23">
        <v>0.64</v>
      </c>
      <c r="M549" s="23">
        <v>0.25369999999999998</v>
      </c>
      <c r="N549" s="23">
        <v>3</v>
      </c>
      <c r="O549" s="23">
        <v>21</v>
      </c>
      <c r="P549" s="24">
        <v>24</v>
      </c>
      <c r="Q549" s="38" t="str">
        <f t="shared" si="8"/>
        <v>Weekday</v>
      </c>
    </row>
    <row r="550" spans="1:17">
      <c r="A550" s="1">
        <v>549</v>
      </c>
      <c r="B550" s="2">
        <v>40568</v>
      </c>
      <c r="C550" s="1">
        <v>1</v>
      </c>
      <c r="D550" s="1">
        <v>0</v>
      </c>
      <c r="E550" s="1">
        <v>1</v>
      </c>
      <c r="F550" s="1">
        <v>0</v>
      </c>
      <c r="G550" s="1" t="b">
        <v>0</v>
      </c>
      <c r="H550" s="1">
        <v>2</v>
      </c>
      <c r="I550" s="1">
        <v>2</v>
      </c>
      <c r="J550" s="1">
        <v>0.16</v>
      </c>
      <c r="K550" s="19">
        <v>0.13639999999999999</v>
      </c>
      <c r="L550" s="21">
        <v>0.69</v>
      </c>
      <c r="M550" s="21">
        <v>0.28360000000000002</v>
      </c>
      <c r="N550" s="21">
        <v>3</v>
      </c>
      <c r="O550" s="21">
        <v>6</v>
      </c>
      <c r="P550" s="22">
        <v>9</v>
      </c>
      <c r="Q550" s="38" t="str">
        <f t="shared" si="8"/>
        <v>Weekday</v>
      </c>
    </row>
    <row r="551" spans="1:17">
      <c r="A551" s="1">
        <v>550</v>
      </c>
      <c r="B551" s="2">
        <v>40568</v>
      </c>
      <c r="C551" s="1">
        <v>1</v>
      </c>
      <c r="D551" s="1">
        <v>0</v>
      </c>
      <c r="E551" s="1">
        <v>1</v>
      </c>
      <c r="F551" s="1">
        <v>1</v>
      </c>
      <c r="G551" s="1" t="b">
        <v>0</v>
      </c>
      <c r="H551" s="1">
        <v>2</v>
      </c>
      <c r="I551" s="1">
        <v>2</v>
      </c>
      <c r="J551" s="1">
        <v>0.16</v>
      </c>
      <c r="K551" s="20">
        <v>0.16669999999999999</v>
      </c>
      <c r="L551" s="23">
        <v>0.69</v>
      </c>
      <c r="M551" s="23">
        <v>0.16420000000000001</v>
      </c>
      <c r="N551" s="23">
        <v>0</v>
      </c>
      <c r="O551" s="23">
        <v>5</v>
      </c>
      <c r="P551" s="24">
        <v>5</v>
      </c>
      <c r="Q551" s="38" t="str">
        <f t="shared" si="8"/>
        <v>Weekday</v>
      </c>
    </row>
    <row r="552" spans="1:17">
      <c r="A552" s="1">
        <v>551</v>
      </c>
      <c r="B552" s="2">
        <v>40568</v>
      </c>
      <c r="C552" s="1">
        <v>1</v>
      </c>
      <c r="D552" s="1">
        <v>0</v>
      </c>
      <c r="E552" s="1">
        <v>1</v>
      </c>
      <c r="F552" s="1">
        <v>2</v>
      </c>
      <c r="G552" s="1" t="b">
        <v>0</v>
      </c>
      <c r="H552" s="1">
        <v>2</v>
      </c>
      <c r="I552" s="1">
        <v>1</v>
      </c>
      <c r="J552" s="1">
        <v>0.16</v>
      </c>
      <c r="K552" s="19">
        <v>0.1515</v>
      </c>
      <c r="L552" s="21">
        <v>0.69</v>
      </c>
      <c r="M552" s="21">
        <v>0.22389999999999999</v>
      </c>
      <c r="N552" s="21">
        <v>0</v>
      </c>
      <c r="O552" s="21">
        <v>2</v>
      </c>
      <c r="P552" s="22">
        <v>2</v>
      </c>
      <c r="Q552" s="38" t="str">
        <f t="shared" si="8"/>
        <v>Weekday</v>
      </c>
    </row>
    <row r="553" spans="1:17">
      <c r="A553" s="1">
        <v>552</v>
      </c>
      <c r="B553" s="2">
        <v>40568</v>
      </c>
      <c r="C553" s="1">
        <v>1</v>
      </c>
      <c r="D553" s="1">
        <v>0</v>
      </c>
      <c r="E553" s="1">
        <v>1</v>
      </c>
      <c r="F553" s="1">
        <v>4</v>
      </c>
      <c r="G553" s="1" t="b">
        <v>0</v>
      </c>
      <c r="H553" s="1">
        <v>2</v>
      </c>
      <c r="I553" s="1">
        <v>1</v>
      </c>
      <c r="J553" s="1">
        <v>0.14000000000000001</v>
      </c>
      <c r="K553" s="20">
        <v>0.16669999999999999</v>
      </c>
      <c r="L553" s="23">
        <v>0.74</v>
      </c>
      <c r="M553" s="23">
        <v>0.1045</v>
      </c>
      <c r="N553" s="23">
        <v>0</v>
      </c>
      <c r="O553" s="23">
        <v>1</v>
      </c>
      <c r="P553" s="24">
        <v>1</v>
      </c>
      <c r="Q553" s="38" t="str">
        <f t="shared" si="8"/>
        <v>Weekday</v>
      </c>
    </row>
    <row r="554" spans="1:17">
      <c r="A554" s="1">
        <v>553</v>
      </c>
      <c r="B554" s="2">
        <v>40568</v>
      </c>
      <c r="C554" s="1">
        <v>1</v>
      </c>
      <c r="D554" s="1">
        <v>0</v>
      </c>
      <c r="E554" s="1">
        <v>1</v>
      </c>
      <c r="F554" s="1">
        <v>5</v>
      </c>
      <c r="G554" s="1" t="b">
        <v>0</v>
      </c>
      <c r="H554" s="1">
        <v>2</v>
      </c>
      <c r="I554" s="1">
        <v>1</v>
      </c>
      <c r="J554" s="1">
        <v>0.14000000000000001</v>
      </c>
      <c r="K554" s="19">
        <v>0.13639999999999999</v>
      </c>
      <c r="L554" s="21">
        <v>0.74</v>
      </c>
      <c r="M554" s="21">
        <v>0.22389999999999999</v>
      </c>
      <c r="N554" s="21">
        <v>0</v>
      </c>
      <c r="O554" s="21">
        <v>9</v>
      </c>
      <c r="P554" s="22">
        <v>9</v>
      </c>
      <c r="Q554" s="38" t="str">
        <f t="shared" si="8"/>
        <v>Weekday</v>
      </c>
    </row>
    <row r="555" spans="1:17">
      <c r="A555" s="1">
        <v>554</v>
      </c>
      <c r="B555" s="2">
        <v>40568</v>
      </c>
      <c r="C555" s="1">
        <v>1</v>
      </c>
      <c r="D555" s="1">
        <v>0</v>
      </c>
      <c r="E555" s="1">
        <v>1</v>
      </c>
      <c r="F555" s="1">
        <v>6</v>
      </c>
      <c r="G555" s="1" t="b">
        <v>0</v>
      </c>
      <c r="H555" s="1">
        <v>2</v>
      </c>
      <c r="I555" s="1">
        <v>1</v>
      </c>
      <c r="J555" s="1">
        <v>0.16</v>
      </c>
      <c r="K555" s="20">
        <v>0.18179999999999999</v>
      </c>
      <c r="L555" s="23">
        <v>0.74</v>
      </c>
      <c r="M555" s="23">
        <v>0.1045</v>
      </c>
      <c r="N555" s="23">
        <v>1</v>
      </c>
      <c r="O555" s="23">
        <v>35</v>
      </c>
      <c r="P555" s="24">
        <v>36</v>
      </c>
      <c r="Q555" s="38" t="str">
        <f t="shared" si="8"/>
        <v>Weekday</v>
      </c>
    </row>
    <row r="556" spans="1:17">
      <c r="A556" s="1">
        <v>555</v>
      </c>
      <c r="B556" s="2">
        <v>40568</v>
      </c>
      <c r="C556" s="1">
        <v>1</v>
      </c>
      <c r="D556" s="1">
        <v>0</v>
      </c>
      <c r="E556" s="1">
        <v>1</v>
      </c>
      <c r="F556" s="1">
        <v>7</v>
      </c>
      <c r="G556" s="1" t="b">
        <v>0</v>
      </c>
      <c r="H556" s="1">
        <v>2</v>
      </c>
      <c r="I556" s="1">
        <v>1</v>
      </c>
      <c r="J556" s="1">
        <v>0.16</v>
      </c>
      <c r="K556" s="19">
        <v>0.1515</v>
      </c>
      <c r="L556" s="21">
        <v>0.74</v>
      </c>
      <c r="M556" s="21">
        <v>0.22389999999999999</v>
      </c>
      <c r="N556" s="21">
        <v>5</v>
      </c>
      <c r="O556" s="21">
        <v>103</v>
      </c>
      <c r="P556" s="22">
        <v>108</v>
      </c>
      <c r="Q556" s="38" t="str">
        <f t="shared" si="8"/>
        <v>Weekday</v>
      </c>
    </row>
    <row r="557" spans="1:17">
      <c r="A557" s="1">
        <v>556</v>
      </c>
      <c r="B557" s="2">
        <v>40568</v>
      </c>
      <c r="C557" s="1">
        <v>1</v>
      </c>
      <c r="D557" s="1">
        <v>0</v>
      </c>
      <c r="E557" s="1">
        <v>1</v>
      </c>
      <c r="F557" s="1">
        <v>8</v>
      </c>
      <c r="G557" s="1" t="b">
        <v>0</v>
      </c>
      <c r="H557" s="1">
        <v>2</v>
      </c>
      <c r="I557" s="1">
        <v>2</v>
      </c>
      <c r="J557" s="1">
        <v>0.16</v>
      </c>
      <c r="K557" s="20">
        <v>0.18179999999999999</v>
      </c>
      <c r="L557" s="23">
        <v>0.74</v>
      </c>
      <c r="M557" s="23">
        <v>0.1343</v>
      </c>
      <c r="N557" s="23">
        <v>5</v>
      </c>
      <c r="O557" s="23">
        <v>233</v>
      </c>
      <c r="P557" s="24">
        <v>238</v>
      </c>
      <c r="Q557" s="38" t="str">
        <f t="shared" si="8"/>
        <v>Weekday</v>
      </c>
    </row>
    <row r="558" spans="1:17">
      <c r="A558" s="1">
        <v>557</v>
      </c>
      <c r="B558" s="2">
        <v>40568</v>
      </c>
      <c r="C558" s="1">
        <v>1</v>
      </c>
      <c r="D558" s="1">
        <v>0</v>
      </c>
      <c r="E558" s="1">
        <v>1</v>
      </c>
      <c r="F558" s="1">
        <v>9</v>
      </c>
      <c r="G558" s="1" t="b">
        <v>0</v>
      </c>
      <c r="H558" s="1">
        <v>2</v>
      </c>
      <c r="I558" s="1">
        <v>2</v>
      </c>
      <c r="J558" s="1">
        <v>0.2</v>
      </c>
      <c r="K558" s="19">
        <v>0.2273</v>
      </c>
      <c r="L558" s="21">
        <v>0.64</v>
      </c>
      <c r="M558" s="21">
        <v>8.9599999999999999E-2</v>
      </c>
      <c r="N558" s="21">
        <v>10</v>
      </c>
      <c r="O558" s="21">
        <v>134</v>
      </c>
      <c r="P558" s="22">
        <v>144</v>
      </c>
      <c r="Q558" s="38" t="str">
        <f t="shared" si="8"/>
        <v>Weekday</v>
      </c>
    </row>
    <row r="559" spans="1:17">
      <c r="A559" s="1">
        <v>558</v>
      </c>
      <c r="B559" s="2">
        <v>40568</v>
      </c>
      <c r="C559" s="1">
        <v>1</v>
      </c>
      <c r="D559" s="1">
        <v>0</v>
      </c>
      <c r="E559" s="1">
        <v>1</v>
      </c>
      <c r="F559" s="1">
        <v>10</v>
      </c>
      <c r="G559" s="1" t="b">
        <v>0</v>
      </c>
      <c r="H559" s="1">
        <v>2</v>
      </c>
      <c r="I559" s="1">
        <v>2</v>
      </c>
      <c r="J559" s="1">
        <v>0.22</v>
      </c>
      <c r="K559" s="20">
        <v>0.2424</v>
      </c>
      <c r="L559" s="23">
        <v>0.6</v>
      </c>
      <c r="M559" s="23">
        <v>0.1045</v>
      </c>
      <c r="N559" s="23">
        <v>6</v>
      </c>
      <c r="O559" s="23">
        <v>49</v>
      </c>
      <c r="P559" s="24">
        <v>55</v>
      </c>
      <c r="Q559" s="38" t="str">
        <f t="shared" si="8"/>
        <v>Weekday</v>
      </c>
    </row>
    <row r="560" spans="1:17">
      <c r="A560" s="1">
        <v>559</v>
      </c>
      <c r="B560" s="2">
        <v>40568</v>
      </c>
      <c r="C560" s="1">
        <v>1</v>
      </c>
      <c r="D560" s="1">
        <v>0</v>
      </c>
      <c r="E560" s="1">
        <v>1</v>
      </c>
      <c r="F560" s="1">
        <v>11</v>
      </c>
      <c r="G560" s="1" t="b">
        <v>0</v>
      </c>
      <c r="H560" s="1">
        <v>2</v>
      </c>
      <c r="I560" s="1">
        <v>2</v>
      </c>
      <c r="J560" s="1">
        <v>0.24</v>
      </c>
      <c r="K560" s="19">
        <v>0.2424</v>
      </c>
      <c r="L560" s="21">
        <v>0.6</v>
      </c>
      <c r="M560" s="21">
        <v>0.1343</v>
      </c>
      <c r="N560" s="21">
        <v>6</v>
      </c>
      <c r="O560" s="21">
        <v>55</v>
      </c>
      <c r="P560" s="22">
        <v>61</v>
      </c>
      <c r="Q560" s="38" t="str">
        <f t="shared" si="8"/>
        <v>Weekday</v>
      </c>
    </row>
    <row r="561" spans="1:17">
      <c r="A561" s="1">
        <v>560</v>
      </c>
      <c r="B561" s="2">
        <v>40568</v>
      </c>
      <c r="C561" s="1">
        <v>1</v>
      </c>
      <c r="D561" s="1">
        <v>0</v>
      </c>
      <c r="E561" s="1">
        <v>1</v>
      </c>
      <c r="F561" s="1">
        <v>12</v>
      </c>
      <c r="G561" s="1" t="b">
        <v>0</v>
      </c>
      <c r="H561" s="1">
        <v>2</v>
      </c>
      <c r="I561" s="1">
        <v>2</v>
      </c>
      <c r="J561" s="1">
        <v>0.26</v>
      </c>
      <c r="K561" s="20">
        <v>0.28789999999999999</v>
      </c>
      <c r="L561" s="23">
        <v>0.56000000000000005</v>
      </c>
      <c r="M561" s="23">
        <v>8.9599999999999999E-2</v>
      </c>
      <c r="N561" s="23">
        <v>21</v>
      </c>
      <c r="O561" s="23">
        <v>85</v>
      </c>
      <c r="P561" s="24">
        <v>106</v>
      </c>
      <c r="Q561" s="38" t="str">
        <f t="shared" si="8"/>
        <v>Weekday</v>
      </c>
    </row>
    <row r="562" spans="1:17">
      <c r="A562" s="1">
        <v>561</v>
      </c>
      <c r="B562" s="2">
        <v>40568</v>
      </c>
      <c r="C562" s="1">
        <v>1</v>
      </c>
      <c r="D562" s="1">
        <v>0</v>
      </c>
      <c r="E562" s="1">
        <v>1</v>
      </c>
      <c r="F562" s="1">
        <v>13</v>
      </c>
      <c r="G562" s="1" t="b">
        <v>0</v>
      </c>
      <c r="H562" s="1">
        <v>2</v>
      </c>
      <c r="I562" s="1">
        <v>2</v>
      </c>
      <c r="J562" s="1">
        <v>0.26</v>
      </c>
      <c r="K562" s="19">
        <v>0.2727</v>
      </c>
      <c r="L562" s="21">
        <v>0.56000000000000005</v>
      </c>
      <c r="M562" s="21">
        <v>0.1343</v>
      </c>
      <c r="N562" s="21">
        <v>21</v>
      </c>
      <c r="O562" s="21">
        <v>72</v>
      </c>
      <c r="P562" s="22">
        <v>93</v>
      </c>
      <c r="Q562" s="38" t="str">
        <f t="shared" si="8"/>
        <v>Weekday</v>
      </c>
    </row>
    <row r="563" spans="1:17">
      <c r="A563" s="1">
        <v>562</v>
      </c>
      <c r="B563" s="2">
        <v>40568</v>
      </c>
      <c r="C563" s="1">
        <v>1</v>
      </c>
      <c r="D563" s="1">
        <v>0</v>
      </c>
      <c r="E563" s="1">
        <v>1</v>
      </c>
      <c r="F563" s="1">
        <v>14</v>
      </c>
      <c r="G563" s="1" t="b">
        <v>0</v>
      </c>
      <c r="H563" s="1">
        <v>2</v>
      </c>
      <c r="I563" s="1">
        <v>2</v>
      </c>
      <c r="J563" s="1">
        <v>0.3</v>
      </c>
      <c r="K563" s="20">
        <v>0.33329999999999999</v>
      </c>
      <c r="L563" s="23">
        <v>0.45</v>
      </c>
      <c r="M563" s="23">
        <v>0</v>
      </c>
      <c r="N563" s="23">
        <v>11</v>
      </c>
      <c r="O563" s="23">
        <v>57</v>
      </c>
      <c r="P563" s="24">
        <v>68</v>
      </c>
      <c r="Q563" s="38" t="str">
        <f t="shared" si="8"/>
        <v>Weekday</v>
      </c>
    </row>
    <row r="564" spans="1:17">
      <c r="A564" s="1">
        <v>563</v>
      </c>
      <c r="B564" s="2">
        <v>40568</v>
      </c>
      <c r="C564" s="1">
        <v>1</v>
      </c>
      <c r="D564" s="1">
        <v>0</v>
      </c>
      <c r="E564" s="1">
        <v>1</v>
      </c>
      <c r="F564" s="1">
        <v>15</v>
      </c>
      <c r="G564" s="1" t="b">
        <v>0</v>
      </c>
      <c r="H564" s="1">
        <v>2</v>
      </c>
      <c r="I564" s="1">
        <v>2</v>
      </c>
      <c r="J564" s="1">
        <v>0.32</v>
      </c>
      <c r="K564" s="19">
        <v>0.34849999999999998</v>
      </c>
      <c r="L564" s="21">
        <v>0.42</v>
      </c>
      <c r="M564" s="21">
        <v>0</v>
      </c>
      <c r="N564" s="21">
        <v>21</v>
      </c>
      <c r="O564" s="21">
        <v>63</v>
      </c>
      <c r="P564" s="22">
        <v>84</v>
      </c>
      <c r="Q564" s="38" t="str">
        <f t="shared" si="8"/>
        <v>Weekday</v>
      </c>
    </row>
    <row r="565" spans="1:17">
      <c r="A565" s="1">
        <v>564</v>
      </c>
      <c r="B565" s="2">
        <v>40568</v>
      </c>
      <c r="C565" s="1">
        <v>1</v>
      </c>
      <c r="D565" s="1">
        <v>0</v>
      </c>
      <c r="E565" s="1">
        <v>1</v>
      </c>
      <c r="F565" s="1">
        <v>16</v>
      </c>
      <c r="G565" s="1" t="b">
        <v>0</v>
      </c>
      <c r="H565" s="1">
        <v>2</v>
      </c>
      <c r="I565" s="1">
        <v>2</v>
      </c>
      <c r="J565" s="1">
        <v>0.32</v>
      </c>
      <c r="K565" s="20">
        <v>0.34849999999999998</v>
      </c>
      <c r="L565" s="23">
        <v>0.42</v>
      </c>
      <c r="M565" s="23">
        <v>0</v>
      </c>
      <c r="N565" s="23">
        <v>14</v>
      </c>
      <c r="O565" s="23">
        <v>102</v>
      </c>
      <c r="P565" s="24">
        <v>116</v>
      </c>
      <c r="Q565" s="38" t="str">
        <f t="shared" si="8"/>
        <v>Weekday</v>
      </c>
    </row>
    <row r="566" spans="1:17">
      <c r="A566" s="1">
        <v>565</v>
      </c>
      <c r="B566" s="2">
        <v>40568</v>
      </c>
      <c r="C566" s="1">
        <v>1</v>
      </c>
      <c r="D566" s="1">
        <v>0</v>
      </c>
      <c r="E566" s="1">
        <v>1</v>
      </c>
      <c r="F566" s="1">
        <v>17</v>
      </c>
      <c r="G566" s="1" t="b">
        <v>0</v>
      </c>
      <c r="H566" s="1">
        <v>2</v>
      </c>
      <c r="I566" s="1">
        <v>1</v>
      </c>
      <c r="J566" s="1">
        <v>0.3</v>
      </c>
      <c r="K566" s="19">
        <v>0.33329999999999999</v>
      </c>
      <c r="L566" s="21">
        <v>0.45</v>
      </c>
      <c r="M566" s="21">
        <v>0</v>
      </c>
      <c r="N566" s="21">
        <v>14</v>
      </c>
      <c r="O566" s="21">
        <v>208</v>
      </c>
      <c r="P566" s="22">
        <v>222</v>
      </c>
      <c r="Q566" s="38" t="str">
        <f t="shared" si="8"/>
        <v>Weekday</v>
      </c>
    </row>
    <row r="567" spans="1:17">
      <c r="A567" s="1">
        <v>566</v>
      </c>
      <c r="B567" s="2">
        <v>40568</v>
      </c>
      <c r="C567" s="1">
        <v>1</v>
      </c>
      <c r="D567" s="1">
        <v>0</v>
      </c>
      <c r="E567" s="1">
        <v>1</v>
      </c>
      <c r="F567" s="1">
        <v>18</v>
      </c>
      <c r="G567" s="1" t="b">
        <v>0</v>
      </c>
      <c r="H567" s="1">
        <v>2</v>
      </c>
      <c r="I567" s="1">
        <v>2</v>
      </c>
      <c r="J567" s="1">
        <v>0.3</v>
      </c>
      <c r="K567" s="20">
        <v>0.31819999999999998</v>
      </c>
      <c r="L567" s="23">
        <v>0.49</v>
      </c>
      <c r="M567" s="23">
        <v>8.9599999999999999E-2</v>
      </c>
      <c r="N567" s="23">
        <v>7</v>
      </c>
      <c r="O567" s="23">
        <v>218</v>
      </c>
      <c r="P567" s="24">
        <v>225</v>
      </c>
      <c r="Q567" s="38" t="str">
        <f t="shared" si="8"/>
        <v>Weekday</v>
      </c>
    </row>
    <row r="568" spans="1:17">
      <c r="A568" s="1">
        <v>567</v>
      </c>
      <c r="B568" s="2">
        <v>40568</v>
      </c>
      <c r="C568" s="1">
        <v>1</v>
      </c>
      <c r="D568" s="1">
        <v>0</v>
      </c>
      <c r="E568" s="1">
        <v>1</v>
      </c>
      <c r="F568" s="1">
        <v>19</v>
      </c>
      <c r="G568" s="1" t="b">
        <v>0</v>
      </c>
      <c r="H568" s="1">
        <v>2</v>
      </c>
      <c r="I568" s="1">
        <v>2</v>
      </c>
      <c r="J568" s="1">
        <v>0.26</v>
      </c>
      <c r="K568" s="19">
        <v>0.2576</v>
      </c>
      <c r="L568" s="21">
        <v>0.65</v>
      </c>
      <c r="M568" s="21">
        <v>0.16420000000000001</v>
      </c>
      <c r="N568" s="21">
        <v>13</v>
      </c>
      <c r="O568" s="21">
        <v>133</v>
      </c>
      <c r="P568" s="22">
        <v>146</v>
      </c>
      <c r="Q568" s="38" t="str">
        <f t="shared" si="8"/>
        <v>Weekday</v>
      </c>
    </row>
    <row r="569" spans="1:17">
      <c r="A569" s="1">
        <v>568</v>
      </c>
      <c r="B569" s="2">
        <v>40568</v>
      </c>
      <c r="C569" s="1">
        <v>1</v>
      </c>
      <c r="D569" s="1">
        <v>0</v>
      </c>
      <c r="E569" s="1">
        <v>1</v>
      </c>
      <c r="F569" s="1">
        <v>20</v>
      </c>
      <c r="G569" s="1" t="b">
        <v>0</v>
      </c>
      <c r="H569" s="1">
        <v>2</v>
      </c>
      <c r="I569" s="1">
        <v>1</v>
      </c>
      <c r="J569" s="1">
        <v>0.24</v>
      </c>
      <c r="K569" s="20">
        <v>0.2273</v>
      </c>
      <c r="L569" s="23">
        <v>0.65</v>
      </c>
      <c r="M569" s="23">
        <v>0.19400000000000001</v>
      </c>
      <c r="N569" s="23">
        <v>16</v>
      </c>
      <c r="O569" s="23">
        <v>103</v>
      </c>
      <c r="P569" s="24">
        <v>119</v>
      </c>
      <c r="Q569" s="38" t="str">
        <f t="shared" si="8"/>
        <v>Weekday</v>
      </c>
    </row>
    <row r="570" spans="1:17">
      <c r="A570" s="1">
        <v>569</v>
      </c>
      <c r="B570" s="2">
        <v>40568</v>
      </c>
      <c r="C570" s="1">
        <v>1</v>
      </c>
      <c r="D570" s="1">
        <v>0</v>
      </c>
      <c r="E570" s="1">
        <v>1</v>
      </c>
      <c r="F570" s="1">
        <v>21</v>
      </c>
      <c r="G570" s="1" t="b">
        <v>0</v>
      </c>
      <c r="H570" s="1">
        <v>2</v>
      </c>
      <c r="I570" s="1">
        <v>1</v>
      </c>
      <c r="J570" s="1">
        <v>0.24</v>
      </c>
      <c r="K570" s="19">
        <v>0.2273</v>
      </c>
      <c r="L570" s="21">
        <v>0.65</v>
      </c>
      <c r="M570" s="21">
        <v>0.19400000000000001</v>
      </c>
      <c r="N570" s="21">
        <v>5</v>
      </c>
      <c r="O570" s="21">
        <v>40</v>
      </c>
      <c r="P570" s="22">
        <v>45</v>
      </c>
      <c r="Q570" s="38" t="str">
        <f t="shared" si="8"/>
        <v>Weekday</v>
      </c>
    </row>
    <row r="571" spans="1:17">
      <c r="A571" s="1">
        <v>570</v>
      </c>
      <c r="B571" s="2">
        <v>40568</v>
      </c>
      <c r="C571" s="1">
        <v>1</v>
      </c>
      <c r="D571" s="1">
        <v>0</v>
      </c>
      <c r="E571" s="1">
        <v>1</v>
      </c>
      <c r="F571" s="1">
        <v>22</v>
      </c>
      <c r="G571" s="1" t="b">
        <v>0</v>
      </c>
      <c r="H571" s="1">
        <v>2</v>
      </c>
      <c r="I571" s="1">
        <v>1</v>
      </c>
      <c r="J571" s="1">
        <v>0.22</v>
      </c>
      <c r="K571" s="20">
        <v>0.2273</v>
      </c>
      <c r="L571" s="23">
        <v>0.64</v>
      </c>
      <c r="M571" s="23">
        <v>0.16420000000000001</v>
      </c>
      <c r="N571" s="23">
        <v>4</v>
      </c>
      <c r="O571" s="23">
        <v>49</v>
      </c>
      <c r="P571" s="24">
        <v>53</v>
      </c>
      <c r="Q571" s="38" t="str">
        <f t="shared" si="8"/>
        <v>Weekday</v>
      </c>
    </row>
    <row r="572" spans="1:17">
      <c r="A572" s="1">
        <v>571</v>
      </c>
      <c r="B572" s="2">
        <v>40568</v>
      </c>
      <c r="C572" s="1">
        <v>1</v>
      </c>
      <c r="D572" s="1">
        <v>0</v>
      </c>
      <c r="E572" s="1">
        <v>1</v>
      </c>
      <c r="F572" s="1">
        <v>23</v>
      </c>
      <c r="G572" s="1" t="b">
        <v>0</v>
      </c>
      <c r="H572" s="1">
        <v>2</v>
      </c>
      <c r="I572" s="1">
        <v>2</v>
      </c>
      <c r="J572" s="1">
        <v>0.22</v>
      </c>
      <c r="K572" s="19">
        <v>0.2273</v>
      </c>
      <c r="L572" s="21">
        <v>0.64</v>
      </c>
      <c r="M572" s="21">
        <v>0.16420000000000001</v>
      </c>
      <c r="N572" s="21">
        <v>3</v>
      </c>
      <c r="O572" s="21">
        <v>37</v>
      </c>
      <c r="P572" s="22">
        <v>40</v>
      </c>
      <c r="Q572" s="38" t="str">
        <f t="shared" si="8"/>
        <v>Weekday</v>
      </c>
    </row>
    <row r="573" spans="1:17">
      <c r="A573" s="1">
        <v>572</v>
      </c>
      <c r="B573" s="2">
        <v>40569</v>
      </c>
      <c r="C573" s="1">
        <v>1</v>
      </c>
      <c r="D573" s="1">
        <v>0</v>
      </c>
      <c r="E573" s="1">
        <v>1</v>
      </c>
      <c r="F573" s="1">
        <v>0</v>
      </c>
      <c r="G573" s="1" t="b">
        <v>0</v>
      </c>
      <c r="H573" s="1">
        <v>3</v>
      </c>
      <c r="I573" s="1">
        <v>2</v>
      </c>
      <c r="J573" s="1">
        <v>0.22</v>
      </c>
      <c r="K573" s="20">
        <v>0.2273</v>
      </c>
      <c r="L573" s="23">
        <v>0.69</v>
      </c>
      <c r="M573" s="23">
        <v>0.1343</v>
      </c>
      <c r="N573" s="23">
        <v>3</v>
      </c>
      <c r="O573" s="23">
        <v>14</v>
      </c>
      <c r="P573" s="24">
        <v>17</v>
      </c>
      <c r="Q573" s="38" t="str">
        <f t="shared" si="8"/>
        <v>Weekday</v>
      </c>
    </row>
    <row r="574" spans="1:17">
      <c r="A574" s="1">
        <v>573</v>
      </c>
      <c r="B574" s="2">
        <v>40569</v>
      </c>
      <c r="C574" s="1">
        <v>1</v>
      </c>
      <c r="D574" s="1">
        <v>0</v>
      </c>
      <c r="E574" s="1">
        <v>1</v>
      </c>
      <c r="F574" s="1">
        <v>1</v>
      </c>
      <c r="G574" s="1" t="b">
        <v>0</v>
      </c>
      <c r="H574" s="1">
        <v>3</v>
      </c>
      <c r="I574" s="1">
        <v>2</v>
      </c>
      <c r="J574" s="1">
        <v>0.24</v>
      </c>
      <c r="K574" s="19">
        <v>0.2424</v>
      </c>
      <c r="L574" s="21">
        <v>0.65</v>
      </c>
      <c r="M574" s="21">
        <v>0.1343</v>
      </c>
      <c r="N574" s="21">
        <v>0</v>
      </c>
      <c r="O574" s="21">
        <v>5</v>
      </c>
      <c r="P574" s="22">
        <v>5</v>
      </c>
      <c r="Q574" s="38" t="str">
        <f t="shared" si="8"/>
        <v>Weekday</v>
      </c>
    </row>
    <row r="575" spans="1:17">
      <c r="A575" s="1">
        <v>574</v>
      </c>
      <c r="B575" s="2">
        <v>40569</v>
      </c>
      <c r="C575" s="1">
        <v>1</v>
      </c>
      <c r="D575" s="1">
        <v>0</v>
      </c>
      <c r="E575" s="1">
        <v>1</v>
      </c>
      <c r="F575" s="1">
        <v>2</v>
      </c>
      <c r="G575" s="1" t="b">
        <v>0</v>
      </c>
      <c r="H575" s="1">
        <v>3</v>
      </c>
      <c r="I575" s="1">
        <v>3</v>
      </c>
      <c r="J575" s="1">
        <v>0.22</v>
      </c>
      <c r="K575" s="20">
        <v>0.2273</v>
      </c>
      <c r="L575" s="23">
        <v>0.69</v>
      </c>
      <c r="M575" s="23">
        <v>0.19400000000000001</v>
      </c>
      <c r="N575" s="23">
        <v>3</v>
      </c>
      <c r="O575" s="23">
        <v>7</v>
      </c>
      <c r="P575" s="24">
        <v>10</v>
      </c>
      <c r="Q575" s="38" t="str">
        <f t="shared" si="8"/>
        <v>Weekday</v>
      </c>
    </row>
    <row r="576" spans="1:17">
      <c r="A576" s="1">
        <v>575</v>
      </c>
      <c r="B576" s="2">
        <v>40569</v>
      </c>
      <c r="C576" s="1">
        <v>1</v>
      </c>
      <c r="D576" s="1">
        <v>0</v>
      </c>
      <c r="E576" s="1">
        <v>1</v>
      </c>
      <c r="F576" s="1">
        <v>5</v>
      </c>
      <c r="G576" s="1" t="b">
        <v>0</v>
      </c>
      <c r="H576" s="1">
        <v>3</v>
      </c>
      <c r="I576" s="1">
        <v>3</v>
      </c>
      <c r="J576" s="1">
        <v>0.2</v>
      </c>
      <c r="K576" s="19">
        <v>0.18179999999999999</v>
      </c>
      <c r="L576" s="21">
        <v>0.86</v>
      </c>
      <c r="M576" s="21">
        <v>0.28360000000000002</v>
      </c>
      <c r="N576" s="21">
        <v>0</v>
      </c>
      <c r="O576" s="21">
        <v>1</v>
      </c>
      <c r="P576" s="22">
        <v>1</v>
      </c>
      <c r="Q576" s="38" t="str">
        <f t="shared" si="8"/>
        <v>Weekday</v>
      </c>
    </row>
    <row r="577" spans="1:17">
      <c r="A577" s="1">
        <v>576</v>
      </c>
      <c r="B577" s="2">
        <v>40569</v>
      </c>
      <c r="C577" s="1">
        <v>1</v>
      </c>
      <c r="D577" s="1">
        <v>0</v>
      </c>
      <c r="E577" s="1">
        <v>1</v>
      </c>
      <c r="F577" s="1">
        <v>6</v>
      </c>
      <c r="G577" s="1" t="b">
        <v>0</v>
      </c>
      <c r="H577" s="1">
        <v>3</v>
      </c>
      <c r="I577" s="1">
        <v>3</v>
      </c>
      <c r="J577" s="1">
        <v>0.2</v>
      </c>
      <c r="K577" s="20">
        <v>0.18179999999999999</v>
      </c>
      <c r="L577" s="23">
        <v>0.86</v>
      </c>
      <c r="M577" s="23">
        <v>0.28360000000000002</v>
      </c>
      <c r="N577" s="23">
        <v>0</v>
      </c>
      <c r="O577" s="23">
        <v>8</v>
      </c>
      <c r="P577" s="24">
        <v>8</v>
      </c>
      <c r="Q577" s="38" t="str">
        <f t="shared" si="8"/>
        <v>Weekday</v>
      </c>
    </row>
    <row r="578" spans="1:17">
      <c r="A578" s="1">
        <v>577</v>
      </c>
      <c r="B578" s="2">
        <v>40569</v>
      </c>
      <c r="C578" s="1">
        <v>1</v>
      </c>
      <c r="D578" s="1">
        <v>0</v>
      </c>
      <c r="E578" s="1">
        <v>1</v>
      </c>
      <c r="F578" s="1">
        <v>7</v>
      </c>
      <c r="G578" s="1" t="b">
        <v>0</v>
      </c>
      <c r="H578" s="1">
        <v>3</v>
      </c>
      <c r="I578" s="1">
        <v>3</v>
      </c>
      <c r="J578" s="1">
        <v>0.22</v>
      </c>
      <c r="K578" s="19">
        <v>0.21210000000000001</v>
      </c>
      <c r="L578" s="21">
        <v>0.87</v>
      </c>
      <c r="M578" s="21">
        <v>0.29849999999999999</v>
      </c>
      <c r="N578" s="21">
        <v>1</v>
      </c>
      <c r="O578" s="21">
        <v>29</v>
      </c>
      <c r="P578" s="22">
        <v>30</v>
      </c>
      <c r="Q578" s="38" t="str">
        <f t="shared" ref="Q578:Q641" si="9">IF(H578&gt;=6,"Weekend","Weekday")</f>
        <v>Weekday</v>
      </c>
    </row>
    <row r="579" spans="1:17">
      <c r="A579" s="1">
        <v>578</v>
      </c>
      <c r="B579" s="2">
        <v>40569</v>
      </c>
      <c r="C579" s="1">
        <v>1</v>
      </c>
      <c r="D579" s="1">
        <v>0</v>
      </c>
      <c r="E579" s="1">
        <v>1</v>
      </c>
      <c r="F579" s="1">
        <v>8</v>
      </c>
      <c r="G579" s="1" t="b">
        <v>0</v>
      </c>
      <c r="H579" s="1">
        <v>3</v>
      </c>
      <c r="I579" s="1">
        <v>3</v>
      </c>
      <c r="J579" s="1">
        <v>0.22</v>
      </c>
      <c r="K579" s="20">
        <v>0.21210000000000001</v>
      </c>
      <c r="L579" s="23">
        <v>0.87</v>
      </c>
      <c r="M579" s="23">
        <v>0.29849999999999999</v>
      </c>
      <c r="N579" s="23">
        <v>3</v>
      </c>
      <c r="O579" s="23">
        <v>69</v>
      </c>
      <c r="P579" s="24">
        <v>72</v>
      </c>
      <c r="Q579" s="38" t="str">
        <f t="shared" si="9"/>
        <v>Weekday</v>
      </c>
    </row>
    <row r="580" spans="1:17">
      <c r="A580" s="1">
        <v>579</v>
      </c>
      <c r="B580" s="2">
        <v>40569</v>
      </c>
      <c r="C580" s="1">
        <v>1</v>
      </c>
      <c r="D580" s="1">
        <v>0</v>
      </c>
      <c r="E580" s="1">
        <v>1</v>
      </c>
      <c r="F580" s="1">
        <v>9</v>
      </c>
      <c r="G580" s="1" t="b">
        <v>0</v>
      </c>
      <c r="H580" s="1">
        <v>3</v>
      </c>
      <c r="I580" s="1">
        <v>3</v>
      </c>
      <c r="J580" s="1">
        <v>0.22</v>
      </c>
      <c r="K580" s="19">
        <v>0.21210000000000001</v>
      </c>
      <c r="L580" s="21">
        <v>0.87</v>
      </c>
      <c r="M580" s="21">
        <v>0.29849999999999999</v>
      </c>
      <c r="N580" s="21">
        <v>3</v>
      </c>
      <c r="O580" s="21">
        <v>55</v>
      </c>
      <c r="P580" s="22">
        <v>58</v>
      </c>
      <c r="Q580" s="38" t="str">
        <f t="shared" si="9"/>
        <v>Weekday</v>
      </c>
    </row>
    <row r="581" spans="1:17">
      <c r="A581" s="1">
        <v>580</v>
      </c>
      <c r="B581" s="2">
        <v>40569</v>
      </c>
      <c r="C581" s="1">
        <v>1</v>
      </c>
      <c r="D581" s="1">
        <v>0</v>
      </c>
      <c r="E581" s="1">
        <v>1</v>
      </c>
      <c r="F581" s="1">
        <v>10</v>
      </c>
      <c r="G581" s="1" t="b">
        <v>0</v>
      </c>
      <c r="H581" s="1">
        <v>3</v>
      </c>
      <c r="I581" s="1">
        <v>3</v>
      </c>
      <c r="J581" s="1">
        <v>0.22</v>
      </c>
      <c r="K581" s="20">
        <v>0.21210000000000001</v>
      </c>
      <c r="L581" s="23">
        <v>0.93</v>
      </c>
      <c r="M581" s="23">
        <v>0.28360000000000002</v>
      </c>
      <c r="N581" s="23">
        <v>2</v>
      </c>
      <c r="O581" s="23">
        <v>26</v>
      </c>
      <c r="P581" s="24">
        <v>28</v>
      </c>
      <c r="Q581" s="38" t="str">
        <f t="shared" si="9"/>
        <v>Weekday</v>
      </c>
    </row>
    <row r="582" spans="1:17">
      <c r="A582" s="1">
        <v>581</v>
      </c>
      <c r="B582" s="2">
        <v>40569</v>
      </c>
      <c r="C582" s="1">
        <v>1</v>
      </c>
      <c r="D582" s="1">
        <v>0</v>
      </c>
      <c r="E582" s="1">
        <v>1</v>
      </c>
      <c r="F582" s="1">
        <v>11</v>
      </c>
      <c r="G582" s="1" t="b">
        <v>0</v>
      </c>
      <c r="H582" s="1">
        <v>3</v>
      </c>
      <c r="I582" s="1">
        <v>3</v>
      </c>
      <c r="J582" s="1">
        <v>0.22</v>
      </c>
      <c r="K582" s="19">
        <v>0.19700000000000001</v>
      </c>
      <c r="L582" s="21">
        <v>0.93</v>
      </c>
      <c r="M582" s="21">
        <v>0.32840000000000003</v>
      </c>
      <c r="N582" s="21">
        <v>6</v>
      </c>
      <c r="O582" s="21">
        <v>35</v>
      </c>
      <c r="P582" s="22">
        <v>41</v>
      </c>
      <c r="Q582" s="38" t="str">
        <f t="shared" si="9"/>
        <v>Weekday</v>
      </c>
    </row>
    <row r="583" spans="1:17">
      <c r="A583" s="1">
        <v>582</v>
      </c>
      <c r="B583" s="2">
        <v>40569</v>
      </c>
      <c r="C583" s="1">
        <v>1</v>
      </c>
      <c r="D583" s="1">
        <v>0</v>
      </c>
      <c r="E583" s="1">
        <v>1</v>
      </c>
      <c r="F583" s="1">
        <v>12</v>
      </c>
      <c r="G583" s="1" t="b">
        <v>0</v>
      </c>
      <c r="H583" s="1">
        <v>3</v>
      </c>
      <c r="I583" s="1">
        <v>3</v>
      </c>
      <c r="J583" s="1">
        <v>0.22</v>
      </c>
      <c r="K583" s="20">
        <v>0.19700000000000001</v>
      </c>
      <c r="L583" s="23">
        <v>0.93</v>
      </c>
      <c r="M583" s="23">
        <v>0.32840000000000003</v>
      </c>
      <c r="N583" s="23">
        <v>7</v>
      </c>
      <c r="O583" s="23">
        <v>41</v>
      </c>
      <c r="P583" s="24">
        <v>48</v>
      </c>
      <c r="Q583" s="38" t="str">
        <f t="shared" si="9"/>
        <v>Weekday</v>
      </c>
    </row>
    <row r="584" spans="1:17">
      <c r="A584" s="1">
        <v>583</v>
      </c>
      <c r="B584" s="2">
        <v>40569</v>
      </c>
      <c r="C584" s="1">
        <v>1</v>
      </c>
      <c r="D584" s="1">
        <v>0</v>
      </c>
      <c r="E584" s="1">
        <v>1</v>
      </c>
      <c r="F584" s="1">
        <v>13</v>
      </c>
      <c r="G584" s="1" t="b">
        <v>0</v>
      </c>
      <c r="H584" s="1">
        <v>3</v>
      </c>
      <c r="I584" s="1">
        <v>3</v>
      </c>
      <c r="J584" s="1">
        <v>0.22</v>
      </c>
      <c r="K584" s="19">
        <v>0.19700000000000001</v>
      </c>
      <c r="L584" s="21">
        <v>0.93</v>
      </c>
      <c r="M584" s="21">
        <v>0.32840000000000003</v>
      </c>
      <c r="N584" s="21">
        <v>4</v>
      </c>
      <c r="O584" s="21">
        <v>43</v>
      </c>
      <c r="P584" s="22">
        <v>47</v>
      </c>
      <c r="Q584" s="38" t="str">
        <f t="shared" si="9"/>
        <v>Weekday</v>
      </c>
    </row>
    <row r="585" spans="1:17">
      <c r="A585" s="1">
        <v>584</v>
      </c>
      <c r="B585" s="2">
        <v>40569</v>
      </c>
      <c r="C585" s="1">
        <v>1</v>
      </c>
      <c r="D585" s="1">
        <v>0</v>
      </c>
      <c r="E585" s="1">
        <v>1</v>
      </c>
      <c r="F585" s="1">
        <v>14</v>
      </c>
      <c r="G585" s="1" t="b">
        <v>0</v>
      </c>
      <c r="H585" s="1">
        <v>3</v>
      </c>
      <c r="I585" s="1">
        <v>3</v>
      </c>
      <c r="J585" s="1">
        <v>0.22</v>
      </c>
      <c r="K585" s="20">
        <v>0.19700000000000001</v>
      </c>
      <c r="L585" s="23">
        <v>0.93</v>
      </c>
      <c r="M585" s="23">
        <v>0.35820000000000002</v>
      </c>
      <c r="N585" s="23">
        <v>0</v>
      </c>
      <c r="O585" s="23">
        <v>36</v>
      </c>
      <c r="P585" s="24">
        <v>36</v>
      </c>
      <c r="Q585" s="38" t="str">
        <f t="shared" si="9"/>
        <v>Weekday</v>
      </c>
    </row>
    <row r="586" spans="1:17">
      <c r="A586" s="1">
        <v>585</v>
      </c>
      <c r="B586" s="2">
        <v>40569</v>
      </c>
      <c r="C586" s="1">
        <v>1</v>
      </c>
      <c r="D586" s="1">
        <v>0</v>
      </c>
      <c r="E586" s="1">
        <v>1</v>
      </c>
      <c r="F586" s="1">
        <v>15</v>
      </c>
      <c r="G586" s="1" t="b">
        <v>0</v>
      </c>
      <c r="H586" s="1">
        <v>3</v>
      </c>
      <c r="I586" s="1">
        <v>3</v>
      </c>
      <c r="J586" s="1">
        <v>0.22</v>
      </c>
      <c r="K586" s="19">
        <v>0.18179999999999999</v>
      </c>
      <c r="L586" s="21">
        <v>0.93</v>
      </c>
      <c r="M586" s="21">
        <v>0.4627</v>
      </c>
      <c r="N586" s="21">
        <v>1</v>
      </c>
      <c r="O586" s="21">
        <v>42</v>
      </c>
      <c r="P586" s="22">
        <v>43</v>
      </c>
      <c r="Q586" s="38" t="str">
        <f t="shared" si="9"/>
        <v>Weekday</v>
      </c>
    </row>
    <row r="587" spans="1:17">
      <c r="A587" s="1">
        <v>586</v>
      </c>
      <c r="B587" s="2">
        <v>40569</v>
      </c>
      <c r="C587" s="1">
        <v>1</v>
      </c>
      <c r="D587" s="1">
        <v>0</v>
      </c>
      <c r="E587" s="1">
        <v>1</v>
      </c>
      <c r="F587" s="1">
        <v>16</v>
      </c>
      <c r="G587" s="1" t="b">
        <v>0</v>
      </c>
      <c r="H587" s="1">
        <v>3</v>
      </c>
      <c r="I587" s="1">
        <v>4</v>
      </c>
      <c r="J587" s="1">
        <v>0.22</v>
      </c>
      <c r="K587" s="20">
        <v>0.19700000000000001</v>
      </c>
      <c r="L587" s="23">
        <v>0.93</v>
      </c>
      <c r="M587" s="23">
        <v>0.32840000000000003</v>
      </c>
      <c r="N587" s="23">
        <v>1</v>
      </c>
      <c r="O587" s="23">
        <v>35</v>
      </c>
      <c r="P587" s="24">
        <v>36</v>
      </c>
      <c r="Q587" s="38" t="str">
        <f t="shared" si="9"/>
        <v>Weekday</v>
      </c>
    </row>
    <row r="588" spans="1:17">
      <c r="A588" s="1">
        <v>587</v>
      </c>
      <c r="B588" s="2">
        <v>40569</v>
      </c>
      <c r="C588" s="1">
        <v>1</v>
      </c>
      <c r="D588" s="1">
        <v>0</v>
      </c>
      <c r="E588" s="1">
        <v>1</v>
      </c>
      <c r="F588" s="1">
        <v>17</v>
      </c>
      <c r="G588" s="1" t="b">
        <v>0</v>
      </c>
      <c r="H588" s="1">
        <v>3</v>
      </c>
      <c r="I588" s="1">
        <v>3</v>
      </c>
      <c r="J588" s="1">
        <v>0.2</v>
      </c>
      <c r="K588" s="19">
        <v>0.18179999999999999</v>
      </c>
      <c r="L588" s="21">
        <v>0.93</v>
      </c>
      <c r="M588" s="21">
        <v>0.35820000000000002</v>
      </c>
      <c r="N588" s="21">
        <v>0</v>
      </c>
      <c r="O588" s="21">
        <v>26</v>
      </c>
      <c r="P588" s="22">
        <v>26</v>
      </c>
      <c r="Q588" s="38" t="str">
        <f t="shared" si="9"/>
        <v>Weekday</v>
      </c>
    </row>
    <row r="589" spans="1:17">
      <c r="A589" s="1">
        <v>588</v>
      </c>
      <c r="B589" s="2">
        <v>40570</v>
      </c>
      <c r="C589" s="1">
        <v>1</v>
      </c>
      <c r="D589" s="1">
        <v>0</v>
      </c>
      <c r="E589" s="1">
        <v>1</v>
      </c>
      <c r="F589" s="1">
        <v>16</v>
      </c>
      <c r="G589" s="1" t="b">
        <v>0</v>
      </c>
      <c r="H589" s="1">
        <v>4</v>
      </c>
      <c r="I589" s="1">
        <v>1</v>
      </c>
      <c r="J589" s="1">
        <v>0.22</v>
      </c>
      <c r="K589" s="20">
        <v>0.2273</v>
      </c>
      <c r="L589" s="23">
        <v>0.55000000000000004</v>
      </c>
      <c r="M589" s="23">
        <v>0.19400000000000001</v>
      </c>
      <c r="N589" s="23">
        <v>1</v>
      </c>
      <c r="O589" s="23">
        <v>23</v>
      </c>
      <c r="P589" s="24">
        <v>24</v>
      </c>
      <c r="Q589" s="38" t="str">
        <f t="shared" si="9"/>
        <v>Weekday</v>
      </c>
    </row>
    <row r="590" spans="1:17">
      <c r="A590" s="1">
        <v>589</v>
      </c>
      <c r="B590" s="2">
        <v>40570</v>
      </c>
      <c r="C590" s="1">
        <v>1</v>
      </c>
      <c r="D590" s="1">
        <v>0</v>
      </c>
      <c r="E590" s="1">
        <v>1</v>
      </c>
      <c r="F590" s="1">
        <v>17</v>
      </c>
      <c r="G590" s="1" t="b">
        <v>0</v>
      </c>
      <c r="H590" s="1">
        <v>4</v>
      </c>
      <c r="I590" s="1">
        <v>1</v>
      </c>
      <c r="J590" s="1">
        <v>0.22</v>
      </c>
      <c r="K590" s="19">
        <v>0.2424</v>
      </c>
      <c r="L590" s="21">
        <v>0.55000000000000004</v>
      </c>
      <c r="M590" s="21">
        <v>0.1045</v>
      </c>
      <c r="N590" s="21">
        <v>2</v>
      </c>
      <c r="O590" s="21">
        <v>82</v>
      </c>
      <c r="P590" s="22">
        <v>84</v>
      </c>
      <c r="Q590" s="38" t="str">
        <f t="shared" si="9"/>
        <v>Weekday</v>
      </c>
    </row>
    <row r="591" spans="1:17">
      <c r="A591" s="1">
        <v>590</v>
      </c>
      <c r="B591" s="2">
        <v>40570</v>
      </c>
      <c r="C591" s="1">
        <v>1</v>
      </c>
      <c r="D591" s="1">
        <v>0</v>
      </c>
      <c r="E591" s="1">
        <v>1</v>
      </c>
      <c r="F591" s="1">
        <v>18</v>
      </c>
      <c r="G591" s="1" t="b">
        <v>0</v>
      </c>
      <c r="H591" s="1">
        <v>4</v>
      </c>
      <c r="I591" s="1">
        <v>1</v>
      </c>
      <c r="J591" s="1">
        <v>0.2</v>
      </c>
      <c r="K591" s="20">
        <v>0.2273</v>
      </c>
      <c r="L591" s="23">
        <v>0.69</v>
      </c>
      <c r="M591" s="23">
        <v>8.9599999999999999E-2</v>
      </c>
      <c r="N591" s="23">
        <v>3</v>
      </c>
      <c r="O591" s="23">
        <v>101</v>
      </c>
      <c r="P591" s="24">
        <v>104</v>
      </c>
      <c r="Q591" s="38" t="str">
        <f t="shared" si="9"/>
        <v>Weekday</v>
      </c>
    </row>
    <row r="592" spans="1:17">
      <c r="A592" s="1">
        <v>591</v>
      </c>
      <c r="B592" s="2">
        <v>40570</v>
      </c>
      <c r="C592" s="1">
        <v>1</v>
      </c>
      <c r="D592" s="1">
        <v>0</v>
      </c>
      <c r="E592" s="1">
        <v>1</v>
      </c>
      <c r="F592" s="1">
        <v>19</v>
      </c>
      <c r="G592" s="1" t="b">
        <v>0</v>
      </c>
      <c r="H592" s="1">
        <v>4</v>
      </c>
      <c r="I592" s="1">
        <v>1</v>
      </c>
      <c r="J592" s="1">
        <v>0.2</v>
      </c>
      <c r="K592" s="19">
        <v>0.2273</v>
      </c>
      <c r="L592" s="21">
        <v>0.69</v>
      </c>
      <c r="M592" s="21">
        <v>8.9599999999999999E-2</v>
      </c>
      <c r="N592" s="21">
        <v>3</v>
      </c>
      <c r="O592" s="21">
        <v>76</v>
      </c>
      <c r="P592" s="22">
        <v>79</v>
      </c>
      <c r="Q592" s="38" t="str">
        <f t="shared" si="9"/>
        <v>Weekday</v>
      </c>
    </row>
    <row r="593" spans="1:17">
      <c r="A593" s="1">
        <v>592</v>
      </c>
      <c r="B593" s="2">
        <v>40570</v>
      </c>
      <c r="C593" s="1">
        <v>1</v>
      </c>
      <c r="D593" s="1">
        <v>0</v>
      </c>
      <c r="E593" s="1">
        <v>1</v>
      </c>
      <c r="F593" s="1">
        <v>20</v>
      </c>
      <c r="G593" s="1" t="b">
        <v>0</v>
      </c>
      <c r="H593" s="1">
        <v>4</v>
      </c>
      <c r="I593" s="1">
        <v>1</v>
      </c>
      <c r="J593" s="1">
        <v>0.18</v>
      </c>
      <c r="K593" s="20">
        <v>0.21210000000000001</v>
      </c>
      <c r="L593" s="23">
        <v>0.74</v>
      </c>
      <c r="M593" s="23">
        <v>8.9599999999999999E-2</v>
      </c>
      <c r="N593" s="23">
        <v>4</v>
      </c>
      <c r="O593" s="23">
        <v>55</v>
      </c>
      <c r="P593" s="24">
        <v>59</v>
      </c>
      <c r="Q593" s="38" t="str">
        <f t="shared" si="9"/>
        <v>Weekday</v>
      </c>
    </row>
    <row r="594" spans="1:17">
      <c r="A594" s="1">
        <v>593</v>
      </c>
      <c r="B594" s="2">
        <v>40570</v>
      </c>
      <c r="C594" s="1">
        <v>1</v>
      </c>
      <c r="D594" s="1">
        <v>0</v>
      </c>
      <c r="E594" s="1">
        <v>1</v>
      </c>
      <c r="F594" s="1">
        <v>21</v>
      </c>
      <c r="G594" s="1" t="b">
        <v>0</v>
      </c>
      <c r="H594" s="1">
        <v>4</v>
      </c>
      <c r="I594" s="1">
        <v>1</v>
      </c>
      <c r="J594" s="1">
        <v>0.18</v>
      </c>
      <c r="K594" s="19">
        <v>0.21210000000000001</v>
      </c>
      <c r="L594" s="21">
        <v>0.74</v>
      </c>
      <c r="M594" s="21">
        <v>8.9599999999999999E-2</v>
      </c>
      <c r="N594" s="21">
        <v>2</v>
      </c>
      <c r="O594" s="21">
        <v>36</v>
      </c>
      <c r="P594" s="22">
        <v>38</v>
      </c>
      <c r="Q594" s="38" t="str">
        <f t="shared" si="9"/>
        <v>Weekday</v>
      </c>
    </row>
    <row r="595" spans="1:17">
      <c r="A595" s="1">
        <v>594</v>
      </c>
      <c r="B595" s="2">
        <v>40570</v>
      </c>
      <c r="C595" s="1">
        <v>1</v>
      </c>
      <c r="D595" s="1">
        <v>0</v>
      </c>
      <c r="E595" s="1">
        <v>1</v>
      </c>
      <c r="F595" s="1">
        <v>22</v>
      </c>
      <c r="G595" s="1" t="b">
        <v>0</v>
      </c>
      <c r="H595" s="1">
        <v>4</v>
      </c>
      <c r="I595" s="1">
        <v>1</v>
      </c>
      <c r="J595" s="1">
        <v>0.18</v>
      </c>
      <c r="K595" s="20">
        <v>0.21210000000000001</v>
      </c>
      <c r="L595" s="23">
        <v>0.74</v>
      </c>
      <c r="M595" s="23">
        <v>8.9599999999999999E-2</v>
      </c>
      <c r="N595" s="23">
        <v>0</v>
      </c>
      <c r="O595" s="23">
        <v>27</v>
      </c>
      <c r="P595" s="24">
        <v>27</v>
      </c>
      <c r="Q595" s="38" t="str">
        <f t="shared" si="9"/>
        <v>Weekday</v>
      </c>
    </row>
    <row r="596" spans="1:17">
      <c r="A596" s="1">
        <v>595</v>
      </c>
      <c r="B596" s="2">
        <v>40570</v>
      </c>
      <c r="C596" s="1">
        <v>1</v>
      </c>
      <c r="D596" s="1">
        <v>0</v>
      </c>
      <c r="E596" s="1">
        <v>1</v>
      </c>
      <c r="F596" s="1">
        <v>23</v>
      </c>
      <c r="G596" s="1" t="b">
        <v>0</v>
      </c>
      <c r="H596" s="1">
        <v>4</v>
      </c>
      <c r="I596" s="1">
        <v>1</v>
      </c>
      <c r="J596" s="1">
        <v>0.18</v>
      </c>
      <c r="K596" s="19">
        <v>0.19700000000000001</v>
      </c>
      <c r="L596" s="21">
        <v>0.8</v>
      </c>
      <c r="M596" s="21">
        <v>0.16420000000000001</v>
      </c>
      <c r="N596" s="21">
        <v>0</v>
      </c>
      <c r="O596" s="21">
        <v>16</v>
      </c>
      <c r="P596" s="22">
        <v>16</v>
      </c>
      <c r="Q596" s="38" t="str">
        <f t="shared" si="9"/>
        <v>Weekday</v>
      </c>
    </row>
    <row r="597" spans="1:17">
      <c r="A597" s="1">
        <v>596</v>
      </c>
      <c r="B597" s="2">
        <v>40571</v>
      </c>
      <c r="C597" s="1">
        <v>1</v>
      </c>
      <c r="D597" s="1">
        <v>0</v>
      </c>
      <c r="E597" s="1">
        <v>1</v>
      </c>
      <c r="F597" s="1">
        <v>0</v>
      </c>
      <c r="G597" s="1" t="b">
        <v>0</v>
      </c>
      <c r="H597" s="1">
        <v>5</v>
      </c>
      <c r="I597" s="1">
        <v>2</v>
      </c>
      <c r="J597" s="1">
        <v>0.2</v>
      </c>
      <c r="K597" s="20">
        <v>0.21210000000000001</v>
      </c>
      <c r="L597" s="23">
        <v>0.75</v>
      </c>
      <c r="M597" s="23">
        <v>0.1343</v>
      </c>
      <c r="N597" s="23">
        <v>0</v>
      </c>
      <c r="O597" s="23">
        <v>9</v>
      </c>
      <c r="P597" s="24">
        <v>9</v>
      </c>
      <c r="Q597" s="38" t="str">
        <f t="shared" si="9"/>
        <v>Weekday</v>
      </c>
    </row>
    <row r="598" spans="1:17">
      <c r="A598" s="1">
        <v>597</v>
      </c>
      <c r="B598" s="2">
        <v>40571</v>
      </c>
      <c r="C598" s="1">
        <v>1</v>
      </c>
      <c r="D598" s="1">
        <v>0</v>
      </c>
      <c r="E598" s="1">
        <v>1</v>
      </c>
      <c r="F598" s="1">
        <v>1</v>
      </c>
      <c r="G598" s="1" t="b">
        <v>0</v>
      </c>
      <c r="H598" s="1">
        <v>5</v>
      </c>
      <c r="I598" s="1">
        <v>2</v>
      </c>
      <c r="J598" s="1">
        <v>0.2</v>
      </c>
      <c r="K598" s="19">
        <v>0.21210000000000001</v>
      </c>
      <c r="L598" s="21">
        <v>0.75</v>
      </c>
      <c r="M598" s="21">
        <v>0.1343</v>
      </c>
      <c r="N598" s="21">
        <v>1</v>
      </c>
      <c r="O598" s="21">
        <v>2</v>
      </c>
      <c r="P598" s="22">
        <v>3</v>
      </c>
      <c r="Q598" s="38" t="str">
        <f t="shared" si="9"/>
        <v>Weekday</v>
      </c>
    </row>
    <row r="599" spans="1:17">
      <c r="A599" s="1">
        <v>598</v>
      </c>
      <c r="B599" s="2">
        <v>40571</v>
      </c>
      <c r="C599" s="1">
        <v>1</v>
      </c>
      <c r="D599" s="1">
        <v>0</v>
      </c>
      <c r="E599" s="1">
        <v>1</v>
      </c>
      <c r="F599" s="1">
        <v>2</v>
      </c>
      <c r="G599" s="1" t="b">
        <v>0</v>
      </c>
      <c r="H599" s="1">
        <v>5</v>
      </c>
      <c r="I599" s="1">
        <v>2</v>
      </c>
      <c r="J599" s="1">
        <v>0.2</v>
      </c>
      <c r="K599" s="20">
        <v>0.21210000000000001</v>
      </c>
      <c r="L599" s="23">
        <v>0.75</v>
      </c>
      <c r="M599" s="23">
        <v>0.16420000000000001</v>
      </c>
      <c r="N599" s="23">
        <v>0</v>
      </c>
      <c r="O599" s="23">
        <v>2</v>
      </c>
      <c r="P599" s="24">
        <v>2</v>
      </c>
      <c r="Q599" s="38" t="str">
        <f t="shared" si="9"/>
        <v>Weekday</v>
      </c>
    </row>
    <row r="600" spans="1:17">
      <c r="A600" s="1">
        <v>599</v>
      </c>
      <c r="B600" s="2">
        <v>40571</v>
      </c>
      <c r="C600" s="1">
        <v>1</v>
      </c>
      <c r="D600" s="1">
        <v>0</v>
      </c>
      <c r="E600" s="1">
        <v>1</v>
      </c>
      <c r="F600" s="1">
        <v>3</v>
      </c>
      <c r="G600" s="1" t="b">
        <v>0</v>
      </c>
      <c r="H600" s="1">
        <v>5</v>
      </c>
      <c r="I600" s="1">
        <v>2</v>
      </c>
      <c r="J600" s="1">
        <v>0.2</v>
      </c>
      <c r="K600" s="19">
        <v>0.2273</v>
      </c>
      <c r="L600" s="21">
        <v>0.75</v>
      </c>
      <c r="M600" s="21">
        <v>0.1045</v>
      </c>
      <c r="N600" s="21">
        <v>1</v>
      </c>
      <c r="O600" s="21">
        <v>0</v>
      </c>
      <c r="P600" s="22">
        <v>1</v>
      </c>
      <c r="Q600" s="38" t="str">
        <f t="shared" si="9"/>
        <v>Weekday</v>
      </c>
    </row>
    <row r="601" spans="1:17">
      <c r="A601" s="1">
        <v>600</v>
      </c>
      <c r="B601" s="2">
        <v>40571</v>
      </c>
      <c r="C601" s="1">
        <v>1</v>
      </c>
      <c r="D601" s="1">
        <v>0</v>
      </c>
      <c r="E601" s="1">
        <v>1</v>
      </c>
      <c r="F601" s="1">
        <v>5</v>
      </c>
      <c r="G601" s="1" t="b">
        <v>0</v>
      </c>
      <c r="H601" s="1">
        <v>5</v>
      </c>
      <c r="I601" s="1">
        <v>2</v>
      </c>
      <c r="J601" s="1">
        <v>0.18</v>
      </c>
      <c r="K601" s="20">
        <v>0.21210000000000001</v>
      </c>
      <c r="L601" s="23">
        <v>0.8</v>
      </c>
      <c r="M601" s="23">
        <v>0.1045</v>
      </c>
      <c r="N601" s="23">
        <v>0</v>
      </c>
      <c r="O601" s="23">
        <v>4</v>
      </c>
      <c r="P601" s="24">
        <v>4</v>
      </c>
      <c r="Q601" s="38" t="str">
        <f t="shared" si="9"/>
        <v>Weekday</v>
      </c>
    </row>
    <row r="602" spans="1:17">
      <c r="A602" s="1">
        <v>601</v>
      </c>
      <c r="B602" s="2">
        <v>40571</v>
      </c>
      <c r="C602" s="1">
        <v>1</v>
      </c>
      <c r="D602" s="1">
        <v>0</v>
      </c>
      <c r="E602" s="1">
        <v>1</v>
      </c>
      <c r="F602" s="1">
        <v>6</v>
      </c>
      <c r="G602" s="1" t="b">
        <v>0</v>
      </c>
      <c r="H602" s="1">
        <v>5</v>
      </c>
      <c r="I602" s="1">
        <v>2</v>
      </c>
      <c r="J602" s="1">
        <v>0.18</v>
      </c>
      <c r="K602" s="19">
        <v>0.19700000000000001</v>
      </c>
      <c r="L602" s="21">
        <v>0.8</v>
      </c>
      <c r="M602" s="21">
        <v>0.1343</v>
      </c>
      <c r="N602" s="21">
        <v>0</v>
      </c>
      <c r="O602" s="21">
        <v>16</v>
      </c>
      <c r="P602" s="22">
        <v>16</v>
      </c>
      <c r="Q602" s="38" t="str">
        <f t="shared" si="9"/>
        <v>Weekday</v>
      </c>
    </row>
    <row r="603" spans="1:17">
      <c r="A603" s="1">
        <v>602</v>
      </c>
      <c r="B603" s="2">
        <v>40571</v>
      </c>
      <c r="C603" s="1">
        <v>1</v>
      </c>
      <c r="D603" s="1">
        <v>0</v>
      </c>
      <c r="E603" s="1">
        <v>1</v>
      </c>
      <c r="F603" s="1">
        <v>7</v>
      </c>
      <c r="G603" s="1" t="b">
        <v>0</v>
      </c>
      <c r="H603" s="1">
        <v>5</v>
      </c>
      <c r="I603" s="1">
        <v>2</v>
      </c>
      <c r="J603" s="1">
        <v>0.16</v>
      </c>
      <c r="K603" s="20">
        <v>0.19700000000000001</v>
      </c>
      <c r="L603" s="23">
        <v>0.86</v>
      </c>
      <c r="M603" s="23">
        <v>8.9599999999999999E-2</v>
      </c>
      <c r="N603" s="23">
        <v>2</v>
      </c>
      <c r="O603" s="23">
        <v>58</v>
      </c>
      <c r="P603" s="24">
        <v>60</v>
      </c>
      <c r="Q603" s="38" t="str">
        <f t="shared" si="9"/>
        <v>Weekday</v>
      </c>
    </row>
    <row r="604" spans="1:17">
      <c r="A604" s="1">
        <v>603</v>
      </c>
      <c r="B604" s="2">
        <v>40571</v>
      </c>
      <c r="C604" s="1">
        <v>1</v>
      </c>
      <c r="D604" s="1">
        <v>0</v>
      </c>
      <c r="E604" s="1">
        <v>1</v>
      </c>
      <c r="F604" s="1">
        <v>8</v>
      </c>
      <c r="G604" s="1" t="b">
        <v>0</v>
      </c>
      <c r="H604" s="1">
        <v>5</v>
      </c>
      <c r="I604" s="1">
        <v>2</v>
      </c>
      <c r="J604" s="1">
        <v>0.16</v>
      </c>
      <c r="K604" s="19">
        <v>0.19700000000000001</v>
      </c>
      <c r="L604" s="21">
        <v>0.86</v>
      </c>
      <c r="M604" s="21">
        <v>8.9599999999999999E-2</v>
      </c>
      <c r="N604" s="21">
        <v>2</v>
      </c>
      <c r="O604" s="21">
        <v>155</v>
      </c>
      <c r="P604" s="22">
        <v>157</v>
      </c>
      <c r="Q604" s="38" t="str">
        <f t="shared" si="9"/>
        <v>Weekday</v>
      </c>
    </row>
    <row r="605" spans="1:17">
      <c r="A605" s="1">
        <v>604</v>
      </c>
      <c r="B605" s="2">
        <v>40571</v>
      </c>
      <c r="C605" s="1">
        <v>1</v>
      </c>
      <c r="D605" s="1">
        <v>0</v>
      </c>
      <c r="E605" s="1">
        <v>1</v>
      </c>
      <c r="F605" s="1">
        <v>9</v>
      </c>
      <c r="G605" s="1" t="b">
        <v>0</v>
      </c>
      <c r="H605" s="1">
        <v>5</v>
      </c>
      <c r="I605" s="1">
        <v>3</v>
      </c>
      <c r="J605" s="1">
        <v>0.18</v>
      </c>
      <c r="K605" s="20">
        <v>0.21210000000000001</v>
      </c>
      <c r="L605" s="23">
        <v>0.86</v>
      </c>
      <c r="M605" s="23">
        <v>8.9599999999999999E-2</v>
      </c>
      <c r="N605" s="23">
        <v>6</v>
      </c>
      <c r="O605" s="23">
        <v>95</v>
      </c>
      <c r="P605" s="24">
        <v>101</v>
      </c>
      <c r="Q605" s="38" t="str">
        <f t="shared" si="9"/>
        <v>Weekday</v>
      </c>
    </row>
    <row r="606" spans="1:17">
      <c r="A606" s="1">
        <v>605</v>
      </c>
      <c r="B606" s="2">
        <v>40571</v>
      </c>
      <c r="C606" s="1">
        <v>1</v>
      </c>
      <c r="D606" s="1">
        <v>0</v>
      </c>
      <c r="E606" s="1">
        <v>1</v>
      </c>
      <c r="F606" s="1">
        <v>10</v>
      </c>
      <c r="G606" s="1" t="b">
        <v>0</v>
      </c>
      <c r="H606" s="1">
        <v>5</v>
      </c>
      <c r="I606" s="1">
        <v>3</v>
      </c>
      <c r="J606" s="1">
        <v>0.18</v>
      </c>
      <c r="K606" s="19">
        <v>0.21210000000000001</v>
      </c>
      <c r="L606" s="21">
        <v>0.86</v>
      </c>
      <c r="M606" s="21">
        <v>0.1045</v>
      </c>
      <c r="N606" s="21">
        <v>0</v>
      </c>
      <c r="O606" s="21">
        <v>49</v>
      </c>
      <c r="P606" s="22">
        <v>49</v>
      </c>
      <c r="Q606" s="38" t="str">
        <f t="shared" si="9"/>
        <v>Weekday</v>
      </c>
    </row>
    <row r="607" spans="1:17">
      <c r="A607" s="1">
        <v>606</v>
      </c>
      <c r="B607" s="2">
        <v>40571</v>
      </c>
      <c r="C607" s="1">
        <v>1</v>
      </c>
      <c r="D607" s="1">
        <v>0</v>
      </c>
      <c r="E607" s="1">
        <v>1</v>
      </c>
      <c r="F607" s="1">
        <v>11</v>
      </c>
      <c r="G607" s="1" t="b">
        <v>0</v>
      </c>
      <c r="H607" s="1">
        <v>5</v>
      </c>
      <c r="I607" s="1">
        <v>3</v>
      </c>
      <c r="J607" s="1">
        <v>0.18</v>
      </c>
      <c r="K607" s="20">
        <v>0.21210000000000001</v>
      </c>
      <c r="L607" s="23">
        <v>0.93</v>
      </c>
      <c r="M607" s="23">
        <v>0.1045</v>
      </c>
      <c r="N607" s="23">
        <v>0</v>
      </c>
      <c r="O607" s="23">
        <v>30</v>
      </c>
      <c r="P607" s="24">
        <v>30</v>
      </c>
      <c r="Q607" s="38" t="str">
        <f t="shared" si="9"/>
        <v>Weekday</v>
      </c>
    </row>
    <row r="608" spans="1:17">
      <c r="A608" s="1">
        <v>607</v>
      </c>
      <c r="B608" s="2">
        <v>40571</v>
      </c>
      <c r="C608" s="1">
        <v>1</v>
      </c>
      <c r="D608" s="1">
        <v>0</v>
      </c>
      <c r="E608" s="1">
        <v>1</v>
      </c>
      <c r="F608" s="1">
        <v>12</v>
      </c>
      <c r="G608" s="1" t="b">
        <v>0</v>
      </c>
      <c r="H608" s="1">
        <v>5</v>
      </c>
      <c r="I608" s="1">
        <v>3</v>
      </c>
      <c r="J608" s="1">
        <v>0.18</v>
      </c>
      <c r="K608" s="19">
        <v>0.21210000000000001</v>
      </c>
      <c r="L608" s="21">
        <v>0.93</v>
      </c>
      <c r="M608" s="21">
        <v>0.1045</v>
      </c>
      <c r="N608" s="21">
        <v>1</v>
      </c>
      <c r="O608" s="21">
        <v>28</v>
      </c>
      <c r="P608" s="22">
        <v>29</v>
      </c>
      <c r="Q608" s="38" t="str">
        <f t="shared" si="9"/>
        <v>Weekday</v>
      </c>
    </row>
    <row r="609" spans="1:17">
      <c r="A609" s="1">
        <v>608</v>
      </c>
      <c r="B609" s="2">
        <v>40571</v>
      </c>
      <c r="C609" s="1">
        <v>1</v>
      </c>
      <c r="D609" s="1">
        <v>0</v>
      </c>
      <c r="E609" s="1">
        <v>1</v>
      </c>
      <c r="F609" s="1">
        <v>13</v>
      </c>
      <c r="G609" s="1" t="b">
        <v>0</v>
      </c>
      <c r="H609" s="1">
        <v>5</v>
      </c>
      <c r="I609" s="1">
        <v>3</v>
      </c>
      <c r="J609" s="1">
        <v>0.18</v>
      </c>
      <c r="K609" s="20">
        <v>0.21210000000000001</v>
      </c>
      <c r="L609" s="23">
        <v>0.93</v>
      </c>
      <c r="M609" s="23">
        <v>0.1045</v>
      </c>
      <c r="N609" s="23">
        <v>0</v>
      </c>
      <c r="O609" s="23">
        <v>31</v>
      </c>
      <c r="P609" s="24">
        <v>31</v>
      </c>
      <c r="Q609" s="38" t="str">
        <f t="shared" si="9"/>
        <v>Weekday</v>
      </c>
    </row>
    <row r="610" spans="1:17">
      <c r="A610" s="1">
        <v>609</v>
      </c>
      <c r="B610" s="2">
        <v>40571</v>
      </c>
      <c r="C610" s="1">
        <v>1</v>
      </c>
      <c r="D610" s="1">
        <v>0</v>
      </c>
      <c r="E610" s="1">
        <v>1</v>
      </c>
      <c r="F610" s="1">
        <v>14</v>
      </c>
      <c r="G610" s="1" t="b">
        <v>0</v>
      </c>
      <c r="H610" s="1">
        <v>5</v>
      </c>
      <c r="I610" s="1">
        <v>3</v>
      </c>
      <c r="J610" s="1">
        <v>0.22</v>
      </c>
      <c r="K610" s="19">
        <v>0.2727</v>
      </c>
      <c r="L610" s="21">
        <v>0.8</v>
      </c>
      <c r="M610" s="21">
        <v>0</v>
      </c>
      <c r="N610" s="21">
        <v>2</v>
      </c>
      <c r="O610" s="21">
        <v>36</v>
      </c>
      <c r="P610" s="22">
        <v>38</v>
      </c>
      <c r="Q610" s="38" t="str">
        <f t="shared" si="9"/>
        <v>Weekday</v>
      </c>
    </row>
    <row r="611" spans="1:17">
      <c r="A611" s="1">
        <v>610</v>
      </c>
      <c r="B611" s="2">
        <v>40571</v>
      </c>
      <c r="C611" s="1">
        <v>1</v>
      </c>
      <c r="D611" s="1">
        <v>0</v>
      </c>
      <c r="E611" s="1">
        <v>1</v>
      </c>
      <c r="F611" s="1">
        <v>15</v>
      </c>
      <c r="G611" s="1" t="b">
        <v>0</v>
      </c>
      <c r="H611" s="1">
        <v>5</v>
      </c>
      <c r="I611" s="1">
        <v>2</v>
      </c>
      <c r="J611" s="1">
        <v>0.2</v>
      </c>
      <c r="K611" s="25">
        <v>0.2576</v>
      </c>
      <c r="L611" s="26">
        <v>0.86</v>
      </c>
      <c r="M611" s="26">
        <v>0</v>
      </c>
      <c r="N611" s="26">
        <v>1</v>
      </c>
      <c r="O611" s="26">
        <v>40</v>
      </c>
      <c r="P611" s="27">
        <v>41</v>
      </c>
      <c r="Q611" s="38" t="str">
        <f t="shared" si="9"/>
        <v>Weekday</v>
      </c>
    </row>
    <row r="612" spans="1:17">
      <c r="A612" s="35">
        <v>611</v>
      </c>
      <c r="B612" s="36">
        <v>40571</v>
      </c>
      <c r="C612" s="35">
        <v>1</v>
      </c>
      <c r="D612" s="35">
        <v>0</v>
      </c>
      <c r="E612" s="35">
        <v>1</v>
      </c>
      <c r="F612" s="35">
        <v>16</v>
      </c>
      <c r="G612" s="35" t="b">
        <v>0</v>
      </c>
      <c r="H612" s="35">
        <v>5</v>
      </c>
      <c r="I612" s="35">
        <v>1</v>
      </c>
      <c r="J612" s="35">
        <v>0.22</v>
      </c>
      <c r="K612" s="35">
        <v>0.2727</v>
      </c>
      <c r="L612" s="35">
        <v>0.8</v>
      </c>
      <c r="M612" s="35">
        <v>0</v>
      </c>
      <c r="N612" s="35">
        <v>10</v>
      </c>
      <c r="O612" s="35">
        <v>70</v>
      </c>
      <c r="P612" s="35">
        <v>80</v>
      </c>
      <c r="Q612" s="38" t="str">
        <f t="shared" si="9"/>
        <v>Weekday</v>
      </c>
    </row>
    <row r="613" spans="1:17">
      <c r="A613" s="35">
        <v>612</v>
      </c>
      <c r="B613" s="36">
        <v>40571</v>
      </c>
      <c r="C613" s="35">
        <v>1</v>
      </c>
      <c r="D613" s="35">
        <v>0</v>
      </c>
      <c r="E613" s="35">
        <v>1</v>
      </c>
      <c r="F613" s="35">
        <v>17</v>
      </c>
      <c r="G613" s="35" t="b">
        <v>0</v>
      </c>
      <c r="H613" s="35">
        <v>5</v>
      </c>
      <c r="I613" s="35">
        <v>1</v>
      </c>
      <c r="J613" s="35">
        <v>0.24</v>
      </c>
      <c r="K613" s="35">
        <v>0.2424</v>
      </c>
      <c r="L613" s="35">
        <v>0.75</v>
      </c>
      <c r="M613" s="35">
        <v>0.1343</v>
      </c>
      <c r="N613" s="35">
        <v>2</v>
      </c>
      <c r="O613" s="35">
        <v>147</v>
      </c>
      <c r="P613" s="35">
        <v>149</v>
      </c>
      <c r="Q613" s="38" t="str">
        <f t="shared" si="9"/>
        <v>Weekday</v>
      </c>
    </row>
    <row r="614" spans="1:17">
      <c r="A614" s="35">
        <v>613</v>
      </c>
      <c r="B614" s="36">
        <v>40571</v>
      </c>
      <c r="C614" s="35">
        <v>1</v>
      </c>
      <c r="D614" s="35">
        <v>0</v>
      </c>
      <c r="E614" s="35">
        <v>1</v>
      </c>
      <c r="F614" s="35">
        <v>18</v>
      </c>
      <c r="G614" s="35" t="b">
        <v>0</v>
      </c>
      <c r="H614" s="35">
        <v>5</v>
      </c>
      <c r="I614" s="35">
        <v>1</v>
      </c>
      <c r="J614" s="35">
        <v>0.24</v>
      </c>
      <c r="K614" s="35">
        <v>0.2273</v>
      </c>
      <c r="L614" s="35">
        <v>0.75</v>
      </c>
      <c r="M614" s="35">
        <v>0.19400000000000001</v>
      </c>
      <c r="N614" s="35">
        <v>2</v>
      </c>
      <c r="O614" s="35">
        <v>107</v>
      </c>
      <c r="P614" s="35">
        <v>109</v>
      </c>
      <c r="Q614" s="38" t="str">
        <f t="shared" si="9"/>
        <v>Weekday</v>
      </c>
    </row>
    <row r="615" spans="1:17">
      <c r="A615" s="35">
        <v>614</v>
      </c>
      <c r="B615" s="36">
        <v>40571</v>
      </c>
      <c r="C615" s="35">
        <v>1</v>
      </c>
      <c r="D615" s="35">
        <v>0</v>
      </c>
      <c r="E615" s="35">
        <v>1</v>
      </c>
      <c r="F615" s="35">
        <v>19</v>
      </c>
      <c r="G615" s="35" t="b">
        <v>0</v>
      </c>
      <c r="H615" s="35">
        <v>5</v>
      </c>
      <c r="I615" s="35">
        <v>2</v>
      </c>
      <c r="J615" s="35">
        <v>0.24</v>
      </c>
      <c r="K615" s="35">
        <v>0.2424</v>
      </c>
      <c r="L615" s="35">
        <v>0.75</v>
      </c>
      <c r="M615" s="35">
        <v>0.1343</v>
      </c>
      <c r="N615" s="35">
        <v>5</v>
      </c>
      <c r="O615" s="35">
        <v>84</v>
      </c>
      <c r="P615" s="35">
        <v>89</v>
      </c>
      <c r="Q615" s="38" t="str">
        <f t="shared" si="9"/>
        <v>Weekday</v>
      </c>
    </row>
    <row r="616" spans="1:17">
      <c r="A616" s="35">
        <v>615</v>
      </c>
      <c r="B616" s="36">
        <v>40571</v>
      </c>
      <c r="C616" s="35">
        <v>1</v>
      </c>
      <c r="D616" s="35">
        <v>0</v>
      </c>
      <c r="E616" s="35">
        <v>1</v>
      </c>
      <c r="F616" s="35">
        <v>20</v>
      </c>
      <c r="G616" s="35" t="b">
        <v>0</v>
      </c>
      <c r="H616" s="35">
        <v>5</v>
      </c>
      <c r="I616" s="35">
        <v>2</v>
      </c>
      <c r="J616" s="35">
        <v>0.24</v>
      </c>
      <c r="K616" s="35">
        <v>0.2273</v>
      </c>
      <c r="L616" s="35">
        <v>0.7</v>
      </c>
      <c r="M616" s="35">
        <v>0.19400000000000001</v>
      </c>
      <c r="N616" s="35">
        <v>1</v>
      </c>
      <c r="O616" s="35">
        <v>61</v>
      </c>
      <c r="P616" s="35">
        <v>62</v>
      </c>
      <c r="Q616" s="38" t="str">
        <f t="shared" si="9"/>
        <v>Weekday</v>
      </c>
    </row>
    <row r="617" spans="1:17">
      <c r="A617" s="35">
        <v>616</v>
      </c>
      <c r="B617" s="36">
        <v>40571</v>
      </c>
      <c r="C617" s="35">
        <v>1</v>
      </c>
      <c r="D617" s="35">
        <v>0</v>
      </c>
      <c r="E617" s="35">
        <v>1</v>
      </c>
      <c r="F617" s="35">
        <v>21</v>
      </c>
      <c r="G617" s="35" t="b">
        <v>0</v>
      </c>
      <c r="H617" s="35">
        <v>5</v>
      </c>
      <c r="I617" s="35">
        <v>2</v>
      </c>
      <c r="J617" s="35">
        <v>0.22</v>
      </c>
      <c r="K617" s="35">
        <v>0.2273</v>
      </c>
      <c r="L617" s="35">
        <v>0.75</v>
      </c>
      <c r="M617" s="35">
        <v>0.1343</v>
      </c>
      <c r="N617" s="35">
        <v>1</v>
      </c>
      <c r="O617" s="35">
        <v>57</v>
      </c>
      <c r="P617" s="35">
        <v>58</v>
      </c>
      <c r="Q617" s="38" t="str">
        <f t="shared" si="9"/>
        <v>Weekday</v>
      </c>
    </row>
    <row r="618" spans="1:17">
      <c r="A618" s="35">
        <v>617</v>
      </c>
      <c r="B618" s="36">
        <v>40571</v>
      </c>
      <c r="C618" s="35">
        <v>1</v>
      </c>
      <c r="D618" s="35">
        <v>0</v>
      </c>
      <c r="E618" s="35">
        <v>1</v>
      </c>
      <c r="F618" s="35">
        <v>22</v>
      </c>
      <c r="G618" s="35" t="b">
        <v>0</v>
      </c>
      <c r="H618" s="35">
        <v>5</v>
      </c>
      <c r="I618" s="35">
        <v>1</v>
      </c>
      <c r="J618" s="35">
        <v>0.24</v>
      </c>
      <c r="K618" s="35">
        <v>0.21210000000000001</v>
      </c>
      <c r="L618" s="35">
        <v>0.65</v>
      </c>
      <c r="M618" s="35">
        <v>0.35820000000000002</v>
      </c>
      <c r="N618" s="35">
        <v>0</v>
      </c>
      <c r="O618" s="35">
        <v>26</v>
      </c>
      <c r="P618" s="35">
        <v>26</v>
      </c>
      <c r="Q618" s="38" t="str">
        <f t="shared" si="9"/>
        <v>Weekday</v>
      </c>
    </row>
    <row r="619" spans="1:17">
      <c r="A619" s="35">
        <v>618</v>
      </c>
      <c r="B619" s="36">
        <v>40571</v>
      </c>
      <c r="C619" s="35">
        <v>1</v>
      </c>
      <c r="D619" s="35">
        <v>0</v>
      </c>
      <c r="E619" s="35">
        <v>1</v>
      </c>
      <c r="F619" s="35">
        <v>23</v>
      </c>
      <c r="G619" s="35" t="b">
        <v>0</v>
      </c>
      <c r="H619" s="35">
        <v>5</v>
      </c>
      <c r="I619" s="35">
        <v>1</v>
      </c>
      <c r="J619" s="35">
        <v>0.24</v>
      </c>
      <c r="K619" s="35">
        <v>0.2273</v>
      </c>
      <c r="L619" s="35">
        <v>0.6</v>
      </c>
      <c r="M619" s="35">
        <v>0.22389999999999999</v>
      </c>
      <c r="N619" s="35">
        <v>1</v>
      </c>
      <c r="O619" s="35">
        <v>22</v>
      </c>
      <c r="P619" s="35">
        <v>23</v>
      </c>
      <c r="Q619" s="38" t="str">
        <f t="shared" si="9"/>
        <v>Weekday</v>
      </c>
    </row>
    <row r="620" spans="1:17">
      <c r="A620" s="35">
        <v>619</v>
      </c>
      <c r="B620" s="36">
        <v>40572</v>
      </c>
      <c r="C620" s="35">
        <v>1</v>
      </c>
      <c r="D620" s="35">
        <v>0</v>
      </c>
      <c r="E620" s="35">
        <v>1</v>
      </c>
      <c r="F620" s="35">
        <v>0</v>
      </c>
      <c r="G620" s="35" t="b">
        <v>0</v>
      </c>
      <c r="H620" s="35">
        <v>6</v>
      </c>
      <c r="I620" s="35">
        <v>1</v>
      </c>
      <c r="J620" s="35">
        <v>0.22</v>
      </c>
      <c r="K620" s="35">
        <v>0.19700000000000001</v>
      </c>
      <c r="L620" s="35">
        <v>0.64</v>
      </c>
      <c r="M620" s="35">
        <v>0.35820000000000002</v>
      </c>
      <c r="N620" s="35">
        <v>2</v>
      </c>
      <c r="O620" s="35">
        <v>26</v>
      </c>
      <c r="P620" s="35">
        <v>28</v>
      </c>
      <c r="Q620" s="38" t="str">
        <f t="shared" si="9"/>
        <v>Weekend</v>
      </c>
    </row>
    <row r="621" spans="1:17">
      <c r="A621" s="35">
        <v>620</v>
      </c>
      <c r="B621" s="36">
        <v>40572</v>
      </c>
      <c r="C621" s="35">
        <v>1</v>
      </c>
      <c r="D621" s="35">
        <v>0</v>
      </c>
      <c r="E621" s="35">
        <v>1</v>
      </c>
      <c r="F621" s="35">
        <v>1</v>
      </c>
      <c r="G621" s="35" t="b">
        <v>0</v>
      </c>
      <c r="H621" s="35">
        <v>6</v>
      </c>
      <c r="I621" s="35">
        <v>1</v>
      </c>
      <c r="J621" s="35">
        <v>0.22</v>
      </c>
      <c r="K621" s="35">
        <v>0.2273</v>
      </c>
      <c r="L621" s="35">
        <v>0.64</v>
      </c>
      <c r="M621" s="35">
        <v>0.19400000000000001</v>
      </c>
      <c r="N621" s="35">
        <v>0</v>
      </c>
      <c r="O621" s="35">
        <v>20</v>
      </c>
      <c r="P621" s="35">
        <v>20</v>
      </c>
      <c r="Q621" s="38" t="str">
        <f t="shared" si="9"/>
        <v>Weekend</v>
      </c>
    </row>
    <row r="622" spans="1:17">
      <c r="A622" s="35">
        <v>621</v>
      </c>
      <c r="B622" s="36">
        <v>40572</v>
      </c>
      <c r="C622" s="35">
        <v>1</v>
      </c>
      <c r="D622" s="35">
        <v>0</v>
      </c>
      <c r="E622" s="35">
        <v>1</v>
      </c>
      <c r="F622" s="35">
        <v>2</v>
      </c>
      <c r="G622" s="35" t="b">
        <v>0</v>
      </c>
      <c r="H622" s="35">
        <v>6</v>
      </c>
      <c r="I622" s="35">
        <v>1</v>
      </c>
      <c r="J622" s="35">
        <v>0.22</v>
      </c>
      <c r="K622" s="35">
        <v>0.2273</v>
      </c>
      <c r="L622" s="35">
        <v>0.64</v>
      </c>
      <c r="M622" s="35">
        <v>0.16420000000000001</v>
      </c>
      <c r="N622" s="35">
        <v>0</v>
      </c>
      <c r="O622" s="35">
        <v>15</v>
      </c>
      <c r="P622" s="35">
        <v>15</v>
      </c>
      <c r="Q622" s="38" t="str">
        <f t="shared" si="9"/>
        <v>Weekend</v>
      </c>
    </row>
    <row r="623" spans="1:17">
      <c r="A623" s="35">
        <v>622</v>
      </c>
      <c r="B623" s="36">
        <v>40572</v>
      </c>
      <c r="C623" s="35">
        <v>1</v>
      </c>
      <c r="D623" s="35">
        <v>0</v>
      </c>
      <c r="E623" s="35">
        <v>1</v>
      </c>
      <c r="F623" s="35">
        <v>3</v>
      </c>
      <c r="G623" s="35" t="b">
        <v>0</v>
      </c>
      <c r="H623" s="35">
        <v>6</v>
      </c>
      <c r="I623" s="35">
        <v>1</v>
      </c>
      <c r="J623" s="35">
        <v>0.2</v>
      </c>
      <c r="K623" s="35">
        <v>0.21210000000000001</v>
      </c>
      <c r="L623" s="35">
        <v>0.64</v>
      </c>
      <c r="M623" s="35">
        <v>0.1343</v>
      </c>
      <c r="N623" s="35">
        <v>3</v>
      </c>
      <c r="O623" s="35">
        <v>5</v>
      </c>
      <c r="P623" s="35">
        <v>8</v>
      </c>
      <c r="Q623" s="38" t="str">
        <f t="shared" si="9"/>
        <v>Weekend</v>
      </c>
    </row>
    <row r="624" spans="1:17">
      <c r="A624" s="35">
        <v>623</v>
      </c>
      <c r="B624" s="36">
        <v>40572</v>
      </c>
      <c r="C624" s="35">
        <v>1</v>
      </c>
      <c r="D624" s="35">
        <v>0</v>
      </c>
      <c r="E624" s="35">
        <v>1</v>
      </c>
      <c r="F624" s="35">
        <v>4</v>
      </c>
      <c r="G624" s="35" t="b">
        <v>0</v>
      </c>
      <c r="H624" s="35">
        <v>6</v>
      </c>
      <c r="I624" s="35">
        <v>1</v>
      </c>
      <c r="J624" s="35">
        <v>0.16</v>
      </c>
      <c r="K624" s="35">
        <v>0.18179999999999999</v>
      </c>
      <c r="L624" s="35">
        <v>0.69</v>
      </c>
      <c r="M624" s="35">
        <v>0.1045</v>
      </c>
      <c r="N624" s="35">
        <v>1</v>
      </c>
      <c r="O624" s="35">
        <v>2</v>
      </c>
      <c r="P624" s="35">
        <v>3</v>
      </c>
      <c r="Q624" s="38" t="str">
        <f t="shared" si="9"/>
        <v>Weekend</v>
      </c>
    </row>
    <row r="625" spans="1:17">
      <c r="A625" s="35">
        <v>624</v>
      </c>
      <c r="B625" s="36">
        <v>40572</v>
      </c>
      <c r="C625" s="35">
        <v>1</v>
      </c>
      <c r="D625" s="35">
        <v>0</v>
      </c>
      <c r="E625" s="35">
        <v>1</v>
      </c>
      <c r="F625" s="35">
        <v>6</v>
      </c>
      <c r="G625" s="35" t="b">
        <v>0</v>
      </c>
      <c r="H625" s="35">
        <v>6</v>
      </c>
      <c r="I625" s="35">
        <v>1</v>
      </c>
      <c r="J625" s="35">
        <v>0.16</v>
      </c>
      <c r="K625" s="35">
        <v>0.18179999999999999</v>
      </c>
      <c r="L625" s="35">
        <v>0.64</v>
      </c>
      <c r="M625" s="35">
        <v>0.1343</v>
      </c>
      <c r="N625" s="35">
        <v>0</v>
      </c>
      <c r="O625" s="35">
        <v>2</v>
      </c>
      <c r="P625" s="35">
        <v>2</v>
      </c>
      <c r="Q625" s="38" t="str">
        <f t="shared" si="9"/>
        <v>Weekend</v>
      </c>
    </row>
    <row r="626" spans="1:17">
      <c r="A626" s="35">
        <v>625</v>
      </c>
      <c r="B626" s="36">
        <v>40572</v>
      </c>
      <c r="C626" s="35">
        <v>1</v>
      </c>
      <c r="D626" s="35">
        <v>0</v>
      </c>
      <c r="E626" s="35">
        <v>1</v>
      </c>
      <c r="F626" s="35">
        <v>7</v>
      </c>
      <c r="G626" s="35" t="b">
        <v>0</v>
      </c>
      <c r="H626" s="35">
        <v>6</v>
      </c>
      <c r="I626" s="35">
        <v>1</v>
      </c>
      <c r="J626" s="35">
        <v>0.16</v>
      </c>
      <c r="K626" s="35">
        <v>0.18179999999999999</v>
      </c>
      <c r="L626" s="35">
        <v>0.59</v>
      </c>
      <c r="M626" s="35">
        <v>0.1045</v>
      </c>
      <c r="N626" s="35">
        <v>1</v>
      </c>
      <c r="O626" s="35">
        <v>4</v>
      </c>
      <c r="P626" s="35">
        <v>5</v>
      </c>
      <c r="Q626" s="38" t="str">
        <f t="shared" si="9"/>
        <v>Weekend</v>
      </c>
    </row>
    <row r="627" spans="1:17">
      <c r="A627" s="35">
        <v>626</v>
      </c>
      <c r="B627" s="36">
        <v>40572</v>
      </c>
      <c r="C627" s="35">
        <v>1</v>
      </c>
      <c r="D627" s="35">
        <v>0</v>
      </c>
      <c r="E627" s="35">
        <v>1</v>
      </c>
      <c r="F627" s="35">
        <v>8</v>
      </c>
      <c r="G627" s="35" t="b">
        <v>0</v>
      </c>
      <c r="H627" s="35">
        <v>6</v>
      </c>
      <c r="I627" s="35">
        <v>1</v>
      </c>
      <c r="J627" s="35">
        <v>0.18</v>
      </c>
      <c r="K627" s="35">
        <v>0.19700000000000001</v>
      </c>
      <c r="L627" s="35">
        <v>0.55000000000000004</v>
      </c>
      <c r="M627" s="35">
        <v>0.16420000000000001</v>
      </c>
      <c r="N627" s="35">
        <v>3</v>
      </c>
      <c r="O627" s="35">
        <v>31</v>
      </c>
      <c r="P627" s="35">
        <v>34</v>
      </c>
      <c r="Q627" s="38" t="str">
        <f t="shared" si="9"/>
        <v>Weekend</v>
      </c>
    </row>
    <row r="628" spans="1:17">
      <c r="A628" s="35">
        <v>627</v>
      </c>
      <c r="B628" s="36">
        <v>40572</v>
      </c>
      <c r="C628" s="35">
        <v>1</v>
      </c>
      <c r="D628" s="35">
        <v>0</v>
      </c>
      <c r="E628" s="35">
        <v>1</v>
      </c>
      <c r="F628" s="35">
        <v>9</v>
      </c>
      <c r="G628" s="35" t="b">
        <v>0</v>
      </c>
      <c r="H628" s="35">
        <v>6</v>
      </c>
      <c r="I628" s="35">
        <v>1</v>
      </c>
      <c r="J628" s="35">
        <v>0.18</v>
      </c>
      <c r="K628" s="35">
        <v>0.21210000000000001</v>
      </c>
      <c r="L628" s="35">
        <v>0.59</v>
      </c>
      <c r="M628" s="35">
        <v>8.9599999999999999E-2</v>
      </c>
      <c r="N628" s="35">
        <v>0</v>
      </c>
      <c r="O628" s="35">
        <v>34</v>
      </c>
      <c r="P628" s="35">
        <v>34</v>
      </c>
      <c r="Q628" s="38" t="str">
        <f t="shared" si="9"/>
        <v>Weekend</v>
      </c>
    </row>
    <row r="629" spans="1:17">
      <c r="A629" s="35">
        <v>628</v>
      </c>
      <c r="B629" s="36">
        <v>40572</v>
      </c>
      <c r="C629" s="35">
        <v>1</v>
      </c>
      <c r="D629" s="35">
        <v>0</v>
      </c>
      <c r="E629" s="35">
        <v>1</v>
      </c>
      <c r="F629" s="35">
        <v>10</v>
      </c>
      <c r="G629" s="35" t="b">
        <v>0</v>
      </c>
      <c r="H629" s="35">
        <v>6</v>
      </c>
      <c r="I629" s="35">
        <v>2</v>
      </c>
      <c r="J629" s="35">
        <v>0.18</v>
      </c>
      <c r="K629" s="35">
        <v>0.21210000000000001</v>
      </c>
      <c r="L629" s="35">
        <v>0.64</v>
      </c>
      <c r="M629" s="35">
        <v>0.1045</v>
      </c>
      <c r="N629" s="35">
        <v>4</v>
      </c>
      <c r="O629" s="35">
        <v>51</v>
      </c>
      <c r="P629" s="35">
        <v>55</v>
      </c>
      <c r="Q629" s="38" t="str">
        <f t="shared" si="9"/>
        <v>Weekend</v>
      </c>
    </row>
    <row r="630" spans="1:17">
      <c r="A630" s="35">
        <v>629</v>
      </c>
      <c r="B630" s="36">
        <v>40572</v>
      </c>
      <c r="C630" s="35">
        <v>1</v>
      </c>
      <c r="D630" s="35">
        <v>0</v>
      </c>
      <c r="E630" s="35">
        <v>1</v>
      </c>
      <c r="F630" s="35">
        <v>11</v>
      </c>
      <c r="G630" s="35" t="b">
        <v>0</v>
      </c>
      <c r="H630" s="35">
        <v>6</v>
      </c>
      <c r="I630" s="35">
        <v>2</v>
      </c>
      <c r="J630" s="35">
        <v>0.18</v>
      </c>
      <c r="K630" s="35">
        <v>0.19700000000000001</v>
      </c>
      <c r="L630" s="35">
        <v>0.64</v>
      </c>
      <c r="M630" s="35">
        <v>0.1343</v>
      </c>
      <c r="N630" s="35">
        <v>4</v>
      </c>
      <c r="O630" s="35">
        <v>60</v>
      </c>
      <c r="P630" s="35">
        <v>64</v>
      </c>
      <c r="Q630" s="38" t="str">
        <f t="shared" si="9"/>
        <v>Weekend</v>
      </c>
    </row>
    <row r="631" spans="1:17">
      <c r="A631" s="35">
        <v>630</v>
      </c>
      <c r="B631" s="36">
        <v>40572</v>
      </c>
      <c r="C631" s="35">
        <v>1</v>
      </c>
      <c r="D631" s="35">
        <v>0</v>
      </c>
      <c r="E631" s="35">
        <v>1</v>
      </c>
      <c r="F631" s="35">
        <v>12</v>
      </c>
      <c r="G631" s="35" t="b">
        <v>0</v>
      </c>
      <c r="H631" s="35">
        <v>6</v>
      </c>
      <c r="I631" s="35">
        <v>2</v>
      </c>
      <c r="J631" s="35">
        <v>0.2</v>
      </c>
      <c r="K631" s="35">
        <v>0.19700000000000001</v>
      </c>
      <c r="L631" s="35">
        <v>0.59</v>
      </c>
      <c r="M631" s="35">
        <v>0.19400000000000001</v>
      </c>
      <c r="N631" s="35">
        <v>12</v>
      </c>
      <c r="O631" s="35">
        <v>66</v>
      </c>
      <c r="P631" s="35">
        <v>78</v>
      </c>
      <c r="Q631" s="38" t="str">
        <f t="shared" si="9"/>
        <v>Weekend</v>
      </c>
    </row>
    <row r="632" spans="1:17">
      <c r="A632" s="35">
        <v>631</v>
      </c>
      <c r="B632" s="36">
        <v>40572</v>
      </c>
      <c r="C632" s="35">
        <v>1</v>
      </c>
      <c r="D632" s="35">
        <v>0</v>
      </c>
      <c r="E632" s="35">
        <v>1</v>
      </c>
      <c r="F632" s="35">
        <v>13</v>
      </c>
      <c r="G632" s="35" t="b">
        <v>0</v>
      </c>
      <c r="H632" s="35">
        <v>6</v>
      </c>
      <c r="I632" s="35">
        <v>2</v>
      </c>
      <c r="J632" s="35">
        <v>0.22</v>
      </c>
      <c r="K632" s="35">
        <v>0.2273</v>
      </c>
      <c r="L632" s="35">
        <v>0.55000000000000004</v>
      </c>
      <c r="M632" s="35">
        <v>0.16420000000000001</v>
      </c>
      <c r="N632" s="35">
        <v>9</v>
      </c>
      <c r="O632" s="35">
        <v>56</v>
      </c>
      <c r="P632" s="35">
        <v>65</v>
      </c>
      <c r="Q632" s="38" t="str">
        <f t="shared" si="9"/>
        <v>Weekend</v>
      </c>
    </row>
    <row r="633" spans="1:17">
      <c r="A633" s="35">
        <v>632</v>
      </c>
      <c r="B633" s="36">
        <v>40572</v>
      </c>
      <c r="C633" s="35">
        <v>1</v>
      </c>
      <c r="D633" s="35">
        <v>0</v>
      </c>
      <c r="E633" s="35">
        <v>1</v>
      </c>
      <c r="F633" s="35">
        <v>14</v>
      </c>
      <c r="G633" s="35" t="b">
        <v>0</v>
      </c>
      <c r="H633" s="35">
        <v>6</v>
      </c>
      <c r="I633" s="35">
        <v>2</v>
      </c>
      <c r="J633" s="35">
        <v>0.22</v>
      </c>
      <c r="K633" s="35">
        <v>0.2273</v>
      </c>
      <c r="L633" s="35">
        <v>0.6</v>
      </c>
      <c r="M633" s="35">
        <v>0.1343</v>
      </c>
      <c r="N633" s="35">
        <v>10</v>
      </c>
      <c r="O633" s="35">
        <v>89</v>
      </c>
      <c r="P633" s="35">
        <v>99</v>
      </c>
      <c r="Q633" s="38" t="str">
        <f t="shared" si="9"/>
        <v>Weekend</v>
      </c>
    </row>
    <row r="634" spans="1:17">
      <c r="A634" s="35">
        <v>633</v>
      </c>
      <c r="B634" s="36">
        <v>40572</v>
      </c>
      <c r="C634" s="35">
        <v>1</v>
      </c>
      <c r="D634" s="35">
        <v>0</v>
      </c>
      <c r="E634" s="35">
        <v>1</v>
      </c>
      <c r="F634" s="35">
        <v>15</v>
      </c>
      <c r="G634" s="35" t="b">
        <v>0</v>
      </c>
      <c r="H634" s="35">
        <v>6</v>
      </c>
      <c r="I634" s="35">
        <v>1</v>
      </c>
      <c r="J634" s="35">
        <v>0.22</v>
      </c>
      <c r="K634" s="35">
        <v>0.21210000000000001</v>
      </c>
      <c r="L634" s="35">
        <v>0.69</v>
      </c>
      <c r="M634" s="35">
        <v>0.25369999999999998</v>
      </c>
      <c r="N634" s="35">
        <v>22</v>
      </c>
      <c r="O634" s="35">
        <v>98</v>
      </c>
      <c r="P634" s="35">
        <v>120</v>
      </c>
      <c r="Q634" s="38" t="str">
        <f t="shared" si="9"/>
        <v>Weekend</v>
      </c>
    </row>
    <row r="635" spans="1:17">
      <c r="A635" s="35">
        <v>634</v>
      </c>
      <c r="B635" s="36">
        <v>40572</v>
      </c>
      <c r="C635" s="35">
        <v>1</v>
      </c>
      <c r="D635" s="35">
        <v>0</v>
      </c>
      <c r="E635" s="35">
        <v>1</v>
      </c>
      <c r="F635" s="35">
        <v>16</v>
      </c>
      <c r="G635" s="35" t="b">
        <v>0</v>
      </c>
      <c r="H635" s="35">
        <v>6</v>
      </c>
      <c r="I635" s="35">
        <v>1</v>
      </c>
      <c r="J635" s="35">
        <v>0.24</v>
      </c>
      <c r="K635" s="35">
        <v>0.2424</v>
      </c>
      <c r="L635" s="35">
        <v>0.6</v>
      </c>
      <c r="M635" s="35">
        <v>0.16420000000000001</v>
      </c>
      <c r="N635" s="35">
        <v>19</v>
      </c>
      <c r="O635" s="35">
        <v>88</v>
      </c>
      <c r="P635" s="35">
        <v>107</v>
      </c>
      <c r="Q635" s="38" t="str">
        <f t="shared" si="9"/>
        <v>Weekend</v>
      </c>
    </row>
    <row r="636" spans="1:17">
      <c r="A636" s="35">
        <v>635</v>
      </c>
      <c r="B636" s="36">
        <v>40572</v>
      </c>
      <c r="C636" s="35">
        <v>1</v>
      </c>
      <c r="D636" s="35">
        <v>0</v>
      </c>
      <c r="E636" s="35">
        <v>1</v>
      </c>
      <c r="F636" s="35">
        <v>17</v>
      </c>
      <c r="G636" s="35" t="b">
        <v>0</v>
      </c>
      <c r="H636" s="35">
        <v>6</v>
      </c>
      <c r="I636" s="35">
        <v>1</v>
      </c>
      <c r="J636" s="35">
        <v>0.24</v>
      </c>
      <c r="K636" s="35">
        <v>0.28789999999999999</v>
      </c>
      <c r="L636" s="35">
        <v>0.6</v>
      </c>
      <c r="M636" s="35">
        <v>0</v>
      </c>
      <c r="N636" s="35">
        <v>9</v>
      </c>
      <c r="O636" s="35">
        <v>82</v>
      </c>
      <c r="P636" s="35">
        <v>91</v>
      </c>
      <c r="Q636" s="38" t="str">
        <f t="shared" si="9"/>
        <v>Weekend</v>
      </c>
    </row>
    <row r="637" spans="1:17">
      <c r="A637" s="35">
        <v>636</v>
      </c>
      <c r="B637" s="36">
        <v>40572</v>
      </c>
      <c r="C637" s="35">
        <v>1</v>
      </c>
      <c r="D637" s="35">
        <v>0</v>
      </c>
      <c r="E637" s="35">
        <v>1</v>
      </c>
      <c r="F637" s="35">
        <v>18</v>
      </c>
      <c r="G637" s="35" t="b">
        <v>0</v>
      </c>
      <c r="H637" s="35">
        <v>6</v>
      </c>
      <c r="I637" s="35">
        <v>1</v>
      </c>
      <c r="J637" s="35">
        <v>0.22</v>
      </c>
      <c r="K637" s="35">
        <v>0.2273</v>
      </c>
      <c r="L637" s="35">
        <v>0.69</v>
      </c>
      <c r="M637" s="35">
        <v>0.1343</v>
      </c>
      <c r="N637" s="35">
        <v>9</v>
      </c>
      <c r="O637" s="35">
        <v>59</v>
      </c>
      <c r="P637" s="35">
        <v>68</v>
      </c>
      <c r="Q637" s="38" t="str">
        <f t="shared" si="9"/>
        <v>Weekend</v>
      </c>
    </row>
    <row r="638" spans="1:17">
      <c r="A638" s="35">
        <v>637</v>
      </c>
      <c r="B638" s="36">
        <v>40572</v>
      </c>
      <c r="C638" s="35">
        <v>1</v>
      </c>
      <c r="D638" s="35">
        <v>0</v>
      </c>
      <c r="E638" s="35">
        <v>1</v>
      </c>
      <c r="F638" s="35">
        <v>19</v>
      </c>
      <c r="G638" s="35" t="b">
        <v>0</v>
      </c>
      <c r="H638" s="35">
        <v>6</v>
      </c>
      <c r="I638" s="35">
        <v>2</v>
      </c>
      <c r="J638" s="35">
        <v>0.22</v>
      </c>
      <c r="K638" s="35">
        <v>0.21210000000000001</v>
      </c>
      <c r="L638" s="35">
        <v>0.69</v>
      </c>
      <c r="M638" s="35">
        <v>0.25369999999999998</v>
      </c>
      <c r="N638" s="35">
        <v>6</v>
      </c>
      <c r="O638" s="35">
        <v>52</v>
      </c>
      <c r="P638" s="35">
        <v>58</v>
      </c>
      <c r="Q638" s="38" t="str">
        <f t="shared" si="9"/>
        <v>Weekend</v>
      </c>
    </row>
    <row r="639" spans="1:17">
      <c r="A639" s="35">
        <v>638</v>
      </c>
      <c r="B639" s="36">
        <v>40572</v>
      </c>
      <c r="C639" s="35">
        <v>1</v>
      </c>
      <c r="D639" s="35">
        <v>0</v>
      </c>
      <c r="E639" s="35">
        <v>1</v>
      </c>
      <c r="F639" s="35">
        <v>20</v>
      </c>
      <c r="G639" s="35" t="b">
        <v>0</v>
      </c>
      <c r="H639" s="35">
        <v>6</v>
      </c>
      <c r="I639" s="35">
        <v>1</v>
      </c>
      <c r="J639" s="35">
        <v>0.18</v>
      </c>
      <c r="K639" s="35">
        <v>0.21210000000000001</v>
      </c>
      <c r="L639" s="35">
        <v>0.74</v>
      </c>
      <c r="M639" s="35">
        <v>8.9599999999999999E-2</v>
      </c>
      <c r="N639" s="35">
        <v>1</v>
      </c>
      <c r="O639" s="35">
        <v>42</v>
      </c>
      <c r="P639" s="35">
        <v>43</v>
      </c>
      <c r="Q639" s="38" t="str">
        <f t="shared" si="9"/>
        <v>Weekend</v>
      </c>
    </row>
    <row r="640" spans="1:17">
      <c r="A640" s="35">
        <v>639</v>
      </c>
      <c r="B640" s="36">
        <v>40572</v>
      </c>
      <c r="C640" s="35">
        <v>1</v>
      </c>
      <c r="D640" s="35">
        <v>0</v>
      </c>
      <c r="E640" s="35">
        <v>1</v>
      </c>
      <c r="F640" s="35">
        <v>21</v>
      </c>
      <c r="G640" s="35" t="b">
        <v>0</v>
      </c>
      <c r="H640" s="35">
        <v>6</v>
      </c>
      <c r="I640" s="35">
        <v>1</v>
      </c>
      <c r="J640" s="35">
        <v>0.18</v>
      </c>
      <c r="K640" s="35">
        <v>0.21210000000000001</v>
      </c>
      <c r="L640" s="35">
        <v>0.74</v>
      </c>
      <c r="M640" s="35">
        <v>8.9599999999999999E-2</v>
      </c>
      <c r="N640" s="35">
        <v>1</v>
      </c>
      <c r="O640" s="35">
        <v>35</v>
      </c>
      <c r="P640" s="35">
        <v>36</v>
      </c>
      <c r="Q640" s="38" t="str">
        <f t="shared" si="9"/>
        <v>Weekend</v>
      </c>
    </row>
    <row r="641" spans="1:17">
      <c r="A641" s="35">
        <v>640</v>
      </c>
      <c r="B641" s="36">
        <v>40572</v>
      </c>
      <c r="C641" s="35">
        <v>1</v>
      </c>
      <c r="D641" s="35">
        <v>0</v>
      </c>
      <c r="E641" s="35">
        <v>1</v>
      </c>
      <c r="F641" s="35">
        <v>22</v>
      </c>
      <c r="G641" s="35" t="b">
        <v>0</v>
      </c>
      <c r="H641" s="35">
        <v>6</v>
      </c>
      <c r="I641" s="35">
        <v>1</v>
      </c>
      <c r="J641" s="35">
        <v>0.16</v>
      </c>
      <c r="K641" s="35">
        <v>0.19700000000000001</v>
      </c>
      <c r="L641" s="35">
        <v>0.8</v>
      </c>
      <c r="M641" s="35">
        <v>8.9599999999999999E-2</v>
      </c>
      <c r="N641" s="35">
        <v>4</v>
      </c>
      <c r="O641" s="35">
        <v>28</v>
      </c>
      <c r="P641" s="35">
        <v>32</v>
      </c>
      <c r="Q641" s="38" t="str">
        <f t="shared" si="9"/>
        <v>Weekend</v>
      </c>
    </row>
    <row r="642" spans="1:17">
      <c r="A642" s="35">
        <v>641</v>
      </c>
      <c r="B642" s="36">
        <v>40572</v>
      </c>
      <c r="C642" s="35">
        <v>1</v>
      </c>
      <c r="D642" s="35">
        <v>0</v>
      </c>
      <c r="E642" s="35">
        <v>1</v>
      </c>
      <c r="F642" s="35">
        <v>23</v>
      </c>
      <c r="G642" s="35" t="b">
        <v>0</v>
      </c>
      <c r="H642" s="35">
        <v>6</v>
      </c>
      <c r="I642" s="35">
        <v>1</v>
      </c>
      <c r="J642" s="35">
        <v>0.16</v>
      </c>
      <c r="K642" s="35">
        <v>0.19700000000000001</v>
      </c>
      <c r="L642" s="35">
        <v>0.8</v>
      </c>
      <c r="M642" s="35">
        <v>8.9599999999999999E-2</v>
      </c>
      <c r="N642" s="35">
        <v>3</v>
      </c>
      <c r="O642" s="35">
        <v>30</v>
      </c>
      <c r="P642" s="35">
        <v>33</v>
      </c>
      <c r="Q642" s="38" t="str">
        <f t="shared" ref="Q642:Q705" si="10">IF(H642&gt;=6,"Weekend","Weekday")</f>
        <v>Weekend</v>
      </c>
    </row>
    <row r="643" spans="1:17">
      <c r="A643" s="35">
        <v>642</v>
      </c>
      <c r="B643" s="36">
        <v>40573</v>
      </c>
      <c r="C643" s="35">
        <v>1</v>
      </c>
      <c r="D643" s="35">
        <v>0</v>
      </c>
      <c r="E643" s="35">
        <v>1</v>
      </c>
      <c r="F643" s="35">
        <v>0</v>
      </c>
      <c r="G643" s="35" t="b">
        <v>0</v>
      </c>
      <c r="H643" s="35">
        <v>0</v>
      </c>
      <c r="I643" s="35">
        <v>1</v>
      </c>
      <c r="J643" s="35">
        <v>0.16</v>
      </c>
      <c r="K643" s="35">
        <v>0.18179999999999999</v>
      </c>
      <c r="L643" s="35">
        <v>0.8</v>
      </c>
      <c r="M643" s="35">
        <v>0.1045</v>
      </c>
      <c r="N643" s="35">
        <v>0</v>
      </c>
      <c r="O643" s="35">
        <v>33</v>
      </c>
      <c r="P643" s="35">
        <v>33</v>
      </c>
      <c r="Q643" s="38" t="str">
        <f t="shared" si="10"/>
        <v>Weekday</v>
      </c>
    </row>
    <row r="644" spans="1:17">
      <c r="A644" s="35">
        <v>643</v>
      </c>
      <c r="B644" s="36">
        <v>40573</v>
      </c>
      <c r="C644" s="35">
        <v>1</v>
      </c>
      <c r="D644" s="35">
        <v>0</v>
      </c>
      <c r="E644" s="35">
        <v>1</v>
      </c>
      <c r="F644" s="35">
        <v>1</v>
      </c>
      <c r="G644" s="35" t="b">
        <v>0</v>
      </c>
      <c r="H644" s="35">
        <v>0</v>
      </c>
      <c r="I644" s="35">
        <v>1</v>
      </c>
      <c r="J644" s="35">
        <v>0.14000000000000001</v>
      </c>
      <c r="K644" s="35">
        <v>0.21210000000000001</v>
      </c>
      <c r="L644" s="35">
        <v>0.8</v>
      </c>
      <c r="M644" s="35">
        <v>0</v>
      </c>
      <c r="N644" s="35">
        <v>7</v>
      </c>
      <c r="O644" s="35">
        <v>22</v>
      </c>
      <c r="P644" s="35">
        <v>29</v>
      </c>
      <c r="Q644" s="38" t="str">
        <f t="shared" si="10"/>
        <v>Weekday</v>
      </c>
    </row>
    <row r="645" spans="1:17">
      <c r="A645" s="35">
        <v>644</v>
      </c>
      <c r="B645" s="36">
        <v>40573</v>
      </c>
      <c r="C645" s="35">
        <v>1</v>
      </c>
      <c r="D645" s="35">
        <v>0</v>
      </c>
      <c r="E645" s="35">
        <v>1</v>
      </c>
      <c r="F645" s="35">
        <v>2</v>
      </c>
      <c r="G645" s="35" t="b">
        <v>0</v>
      </c>
      <c r="H645" s="35">
        <v>0</v>
      </c>
      <c r="I645" s="35">
        <v>1</v>
      </c>
      <c r="J645" s="35">
        <v>0.16</v>
      </c>
      <c r="K645" s="35">
        <v>0.2273</v>
      </c>
      <c r="L645" s="35">
        <v>0.8</v>
      </c>
      <c r="M645" s="35">
        <v>0</v>
      </c>
      <c r="N645" s="35">
        <v>1</v>
      </c>
      <c r="O645" s="35">
        <v>10</v>
      </c>
      <c r="P645" s="35">
        <v>11</v>
      </c>
      <c r="Q645" s="38" t="str">
        <f t="shared" si="10"/>
        <v>Weekday</v>
      </c>
    </row>
    <row r="646" spans="1:17">
      <c r="A646" s="35">
        <v>645</v>
      </c>
      <c r="B646" s="36">
        <v>40573</v>
      </c>
      <c r="C646" s="35">
        <v>1</v>
      </c>
      <c r="D646" s="35">
        <v>0</v>
      </c>
      <c r="E646" s="35">
        <v>1</v>
      </c>
      <c r="F646" s="35">
        <v>3</v>
      </c>
      <c r="G646" s="35" t="b">
        <v>0</v>
      </c>
      <c r="H646" s="35">
        <v>0</v>
      </c>
      <c r="I646" s="35">
        <v>1</v>
      </c>
      <c r="J646" s="35">
        <v>0.14000000000000001</v>
      </c>
      <c r="K646" s="35">
        <v>0.21210000000000001</v>
      </c>
      <c r="L646" s="35">
        <v>0.93</v>
      </c>
      <c r="M646" s="35">
        <v>0</v>
      </c>
      <c r="N646" s="35">
        <v>1</v>
      </c>
      <c r="O646" s="35">
        <v>7</v>
      </c>
      <c r="P646" s="35">
        <v>8</v>
      </c>
      <c r="Q646" s="38" t="str">
        <f t="shared" si="10"/>
        <v>Weekday</v>
      </c>
    </row>
    <row r="647" spans="1:17">
      <c r="A647" s="35">
        <v>646</v>
      </c>
      <c r="B647" s="36">
        <v>40573</v>
      </c>
      <c r="C647" s="35">
        <v>1</v>
      </c>
      <c r="D647" s="35">
        <v>0</v>
      </c>
      <c r="E647" s="35">
        <v>1</v>
      </c>
      <c r="F647" s="35">
        <v>4</v>
      </c>
      <c r="G647" s="35" t="b">
        <v>0</v>
      </c>
      <c r="H647" s="35">
        <v>0</v>
      </c>
      <c r="I647" s="35">
        <v>1</v>
      </c>
      <c r="J647" s="35">
        <v>0.14000000000000001</v>
      </c>
      <c r="K647" s="35">
        <v>0.21210000000000001</v>
      </c>
      <c r="L647" s="35">
        <v>0.93</v>
      </c>
      <c r="M647" s="35">
        <v>0</v>
      </c>
      <c r="N647" s="35">
        <v>0</v>
      </c>
      <c r="O647" s="35">
        <v>1</v>
      </c>
      <c r="P647" s="35">
        <v>1</v>
      </c>
      <c r="Q647" s="38" t="str">
        <f t="shared" si="10"/>
        <v>Weekday</v>
      </c>
    </row>
    <row r="648" spans="1:17">
      <c r="A648" s="35">
        <v>647</v>
      </c>
      <c r="B648" s="36">
        <v>40573</v>
      </c>
      <c r="C648" s="35">
        <v>1</v>
      </c>
      <c r="D648" s="35">
        <v>0</v>
      </c>
      <c r="E648" s="35">
        <v>1</v>
      </c>
      <c r="F648" s="35">
        <v>5</v>
      </c>
      <c r="G648" s="35" t="b">
        <v>0</v>
      </c>
      <c r="H648" s="35">
        <v>0</v>
      </c>
      <c r="I648" s="35">
        <v>1</v>
      </c>
      <c r="J648" s="35">
        <v>0.14000000000000001</v>
      </c>
      <c r="K648" s="35">
        <v>0.21210000000000001</v>
      </c>
      <c r="L648" s="35">
        <v>0.86</v>
      </c>
      <c r="M648" s="35">
        <v>0</v>
      </c>
      <c r="N648" s="35">
        <v>0</v>
      </c>
      <c r="O648" s="35">
        <v>3</v>
      </c>
      <c r="P648" s="35">
        <v>3</v>
      </c>
      <c r="Q648" s="38" t="str">
        <f t="shared" si="10"/>
        <v>Weekday</v>
      </c>
    </row>
    <row r="649" spans="1:17">
      <c r="A649" s="35">
        <v>648</v>
      </c>
      <c r="B649" s="36">
        <v>40573</v>
      </c>
      <c r="C649" s="35">
        <v>1</v>
      </c>
      <c r="D649" s="35">
        <v>0</v>
      </c>
      <c r="E649" s="35">
        <v>1</v>
      </c>
      <c r="F649" s="35">
        <v>7</v>
      </c>
      <c r="G649" s="35" t="b">
        <v>0</v>
      </c>
      <c r="H649" s="35">
        <v>0</v>
      </c>
      <c r="I649" s="35">
        <v>1</v>
      </c>
      <c r="J649" s="35">
        <v>0.14000000000000001</v>
      </c>
      <c r="K649" s="35">
        <v>0.21210000000000001</v>
      </c>
      <c r="L649" s="35">
        <v>0.86</v>
      </c>
      <c r="M649" s="35">
        <v>0</v>
      </c>
      <c r="N649" s="35">
        <v>0</v>
      </c>
      <c r="O649" s="35">
        <v>3</v>
      </c>
      <c r="P649" s="35">
        <v>3</v>
      </c>
      <c r="Q649" s="38" t="str">
        <f t="shared" si="10"/>
        <v>Weekday</v>
      </c>
    </row>
    <row r="650" spans="1:17">
      <c r="A650" s="35">
        <v>649</v>
      </c>
      <c r="B650" s="36">
        <v>40573</v>
      </c>
      <c r="C650" s="35">
        <v>1</v>
      </c>
      <c r="D650" s="35">
        <v>0</v>
      </c>
      <c r="E650" s="35">
        <v>1</v>
      </c>
      <c r="F650" s="35">
        <v>8</v>
      </c>
      <c r="G650" s="35" t="b">
        <v>0</v>
      </c>
      <c r="H650" s="35">
        <v>0</v>
      </c>
      <c r="I650" s="35">
        <v>2</v>
      </c>
      <c r="J650" s="35">
        <v>0.14000000000000001</v>
      </c>
      <c r="K650" s="35">
        <v>0.21210000000000001</v>
      </c>
      <c r="L650" s="35">
        <v>0.86</v>
      </c>
      <c r="M650" s="35">
        <v>0</v>
      </c>
      <c r="N650" s="35">
        <v>1</v>
      </c>
      <c r="O650" s="35">
        <v>11</v>
      </c>
      <c r="P650" s="35">
        <v>12</v>
      </c>
      <c r="Q650" s="38" t="str">
        <f t="shared" si="10"/>
        <v>Weekday</v>
      </c>
    </row>
    <row r="651" spans="1:17">
      <c r="A651" s="35">
        <v>650</v>
      </c>
      <c r="B651" s="36">
        <v>40573</v>
      </c>
      <c r="C651" s="35">
        <v>1</v>
      </c>
      <c r="D651" s="35">
        <v>0</v>
      </c>
      <c r="E651" s="35">
        <v>1</v>
      </c>
      <c r="F651" s="35">
        <v>9</v>
      </c>
      <c r="G651" s="35" t="b">
        <v>0</v>
      </c>
      <c r="H651" s="35">
        <v>0</v>
      </c>
      <c r="I651" s="35">
        <v>2</v>
      </c>
      <c r="J651" s="35">
        <v>0.16</v>
      </c>
      <c r="K651" s="35">
        <v>0.2273</v>
      </c>
      <c r="L651" s="35">
        <v>0.8</v>
      </c>
      <c r="M651" s="35">
        <v>0</v>
      </c>
      <c r="N651" s="35">
        <v>4</v>
      </c>
      <c r="O651" s="35">
        <v>34</v>
      </c>
      <c r="P651" s="35">
        <v>38</v>
      </c>
      <c r="Q651" s="38" t="str">
        <f t="shared" si="10"/>
        <v>Weekday</v>
      </c>
    </row>
    <row r="652" spans="1:17">
      <c r="A652" s="35">
        <v>651</v>
      </c>
      <c r="B652" s="36">
        <v>40573</v>
      </c>
      <c r="C652" s="35">
        <v>1</v>
      </c>
      <c r="D652" s="35">
        <v>0</v>
      </c>
      <c r="E652" s="35">
        <v>1</v>
      </c>
      <c r="F652" s="35">
        <v>10</v>
      </c>
      <c r="G652" s="35" t="b">
        <v>0</v>
      </c>
      <c r="H652" s="35">
        <v>0</v>
      </c>
      <c r="I652" s="35">
        <v>2</v>
      </c>
      <c r="J652" s="35">
        <v>0.18</v>
      </c>
      <c r="K652" s="35">
        <v>0.2424</v>
      </c>
      <c r="L652" s="35">
        <v>0.8</v>
      </c>
      <c r="M652" s="35">
        <v>0</v>
      </c>
      <c r="N652" s="35">
        <v>7</v>
      </c>
      <c r="O652" s="35">
        <v>57</v>
      </c>
      <c r="P652" s="35">
        <v>64</v>
      </c>
      <c r="Q652" s="38" t="str">
        <f t="shared" si="10"/>
        <v>Weekday</v>
      </c>
    </row>
    <row r="653" spans="1:17">
      <c r="A653" s="35">
        <v>652</v>
      </c>
      <c r="B653" s="36">
        <v>40573</v>
      </c>
      <c r="C653" s="35">
        <v>1</v>
      </c>
      <c r="D653" s="35">
        <v>0</v>
      </c>
      <c r="E653" s="35">
        <v>1</v>
      </c>
      <c r="F653" s="35">
        <v>11</v>
      </c>
      <c r="G653" s="35" t="b">
        <v>0</v>
      </c>
      <c r="H653" s="35">
        <v>0</v>
      </c>
      <c r="I653" s="35">
        <v>1</v>
      </c>
      <c r="J653" s="35">
        <v>0.22</v>
      </c>
      <c r="K653" s="35">
        <v>0.2727</v>
      </c>
      <c r="L653" s="35">
        <v>0.75</v>
      </c>
      <c r="M653" s="35">
        <v>0</v>
      </c>
      <c r="N653" s="35">
        <v>9</v>
      </c>
      <c r="O653" s="35">
        <v>50</v>
      </c>
      <c r="P653" s="35">
        <v>59</v>
      </c>
      <c r="Q653" s="38" t="str">
        <f t="shared" si="10"/>
        <v>Weekday</v>
      </c>
    </row>
    <row r="654" spans="1:17">
      <c r="A654" s="35">
        <v>653</v>
      </c>
      <c r="B654" s="36">
        <v>40573</v>
      </c>
      <c r="C654" s="35">
        <v>1</v>
      </c>
      <c r="D654" s="35">
        <v>0</v>
      </c>
      <c r="E654" s="35">
        <v>1</v>
      </c>
      <c r="F654" s="35">
        <v>12</v>
      </c>
      <c r="G654" s="35" t="b">
        <v>0</v>
      </c>
      <c r="H654" s="35">
        <v>0</v>
      </c>
      <c r="I654" s="35">
        <v>1</v>
      </c>
      <c r="J654" s="35">
        <v>0.3</v>
      </c>
      <c r="K654" s="35">
        <v>0.31819999999999998</v>
      </c>
      <c r="L654" s="35">
        <v>0.52</v>
      </c>
      <c r="M654" s="35">
        <v>0.1045</v>
      </c>
      <c r="N654" s="35">
        <v>10</v>
      </c>
      <c r="O654" s="35">
        <v>87</v>
      </c>
      <c r="P654" s="35">
        <v>97</v>
      </c>
      <c r="Q654" s="38" t="str">
        <f t="shared" si="10"/>
        <v>Weekday</v>
      </c>
    </row>
    <row r="655" spans="1:17">
      <c r="A655" s="35">
        <v>654</v>
      </c>
      <c r="B655" s="36">
        <v>40573</v>
      </c>
      <c r="C655" s="35">
        <v>1</v>
      </c>
      <c r="D655" s="35">
        <v>0</v>
      </c>
      <c r="E655" s="35">
        <v>1</v>
      </c>
      <c r="F655" s="35">
        <v>13</v>
      </c>
      <c r="G655" s="35" t="b">
        <v>0</v>
      </c>
      <c r="H655" s="35">
        <v>0</v>
      </c>
      <c r="I655" s="35">
        <v>1</v>
      </c>
      <c r="J655" s="35">
        <v>0.28000000000000003</v>
      </c>
      <c r="K655" s="35">
        <v>0.28789999999999999</v>
      </c>
      <c r="L655" s="35">
        <v>0.61</v>
      </c>
      <c r="M655" s="35">
        <v>0.1045</v>
      </c>
      <c r="N655" s="35">
        <v>13</v>
      </c>
      <c r="O655" s="35">
        <v>71</v>
      </c>
      <c r="P655" s="35">
        <v>84</v>
      </c>
      <c r="Q655" s="38" t="str">
        <f t="shared" si="10"/>
        <v>Weekday</v>
      </c>
    </row>
    <row r="656" spans="1:17">
      <c r="A656" s="35">
        <v>655</v>
      </c>
      <c r="B656" s="36">
        <v>40573</v>
      </c>
      <c r="C656" s="35">
        <v>1</v>
      </c>
      <c r="D656" s="35">
        <v>0</v>
      </c>
      <c r="E656" s="35">
        <v>1</v>
      </c>
      <c r="F656" s="35">
        <v>14</v>
      </c>
      <c r="G656" s="35" t="b">
        <v>0</v>
      </c>
      <c r="H656" s="35">
        <v>0</v>
      </c>
      <c r="I656" s="35">
        <v>1</v>
      </c>
      <c r="J656" s="35">
        <v>0.28000000000000003</v>
      </c>
      <c r="K656" s="35">
        <v>0.30299999999999999</v>
      </c>
      <c r="L656" s="35">
        <v>0.61</v>
      </c>
      <c r="M656" s="35">
        <v>8.9599999999999999E-2</v>
      </c>
      <c r="N656" s="35">
        <v>18</v>
      </c>
      <c r="O656" s="35">
        <v>104</v>
      </c>
      <c r="P656" s="35">
        <v>122</v>
      </c>
      <c r="Q656" s="38" t="str">
        <f t="shared" si="10"/>
        <v>Weekday</v>
      </c>
    </row>
    <row r="657" spans="1:17">
      <c r="A657" s="35">
        <v>656</v>
      </c>
      <c r="B657" s="36">
        <v>40573</v>
      </c>
      <c r="C657" s="35">
        <v>1</v>
      </c>
      <c r="D657" s="35">
        <v>0</v>
      </c>
      <c r="E657" s="35">
        <v>1</v>
      </c>
      <c r="F657" s="35">
        <v>15</v>
      </c>
      <c r="G657" s="35" t="b">
        <v>0</v>
      </c>
      <c r="H657" s="35">
        <v>0</v>
      </c>
      <c r="I657" s="35">
        <v>1</v>
      </c>
      <c r="J657" s="35">
        <v>0.3</v>
      </c>
      <c r="K657" s="35">
        <v>0.33329999999999999</v>
      </c>
      <c r="L657" s="35">
        <v>0.56000000000000005</v>
      </c>
      <c r="M657" s="35">
        <v>0</v>
      </c>
      <c r="N657" s="35">
        <v>14</v>
      </c>
      <c r="O657" s="35">
        <v>95</v>
      </c>
      <c r="P657" s="35">
        <v>109</v>
      </c>
      <c r="Q657" s="38" t="str">
        <f t="shared" si="10"/>
        <v>Weekday</v>
      </c>
    </row>
    <row r="658" spans="1:17">
      <c r="A658" s="35">
        <v>657</v>
      </c>
      <c r="B658" s="36">
        <v>40573</v>
      </c>
      <c r="C658" s="35">
        <v>1</v>
      </c>
      <c r="D658" s="35">
        <v>0</v>
      </c>
      <c r="E658" s="35">
        <v>1</v>
      </c>
      <c r="F658" s="35">
        <v>16</v>
      </c>
      <c r="G658" s="35" t="b">
        <v>0</v>
      </c>
      <c r="H658" s="35">
        <v>0</v>
      </c>
      <c r="I658" s="35">
        <v>1</v>
      </c>
      <c r="J658" s="35">
        <v>0.3</v>
      </c>
      <c r="K658" s="35">
        <v>0.33329999999999999</v>
      </c>
      <c r="L658" s="35">
        <v>0.56000000000000005</v>
      </c>
      <c r="M658" s="35">
        <v>0</v>
      </c>
      <c r="N658" s="35">
        <v>19</v>
      </c>
      <c r="O658" s="35">
        <v>104</v>
      </c>
      <c r="P658" s="35">
        <v>123</v>
      </c>
      <c r="Q658" s="38" t="str">
        <f t="shared" si="10"/>
        <v>Weekday</v>
      </c>
    </row>
    <row r="659" spans="1:17">
      <c r="A659" s="35">
        <v>658</v>
      </c>
      <c r="B659" s="36">
        <v>40573</v>
      </c>
      <c r="C659" s="35">
        <v>1</v>
      </c>
      <c r="D659" s="35">
        <v>0</v>
      </c>
      <c r="E659" s="35">
        <v>1</v>
      </c>
      <c r="F659" s="35">
        <v>17</v>
      </c>
      <c r="G659" s="35" t="b">
        <v>0</v>
      </c>
      <c r="H659" s="35">
        <v>0</v>
      </c>
      <c r="I659" s="35">
        <v>1</v>
      </c>
      <c r="J659" s="35">
        <v>0.3</v>
      </c>
      <c r="K659" s="35">
        <v>0.28789999999999999</v>
      </c>
      <c r="L659" s="35">
        <v>0.56000000000000005</v>
      </c>
      <c r="M659" s="35">
        <v>0.19400000000000001</v>
      </c>
      <c r="N659" s="35">
        <v>6</v>
      </c>
      <c r="O659" s="35">
        <v>71</v>
      </c>
      <c r="P659" s="35">
        <v>77</v>
      </c>
      <c r="Q659" s="38" t="str">
        <f t="shared" si="10"/>
        <v>Weekday</v>
      </c>
    </row>
    <row r="660" spans="1:17">
      <c r="A660" s="35">
        <v>659</v>
      </c>
      <c r="B660" s="36">
        <v>40573</v>
      </c>
      <c r="C660" s="35">
        <v>1</v>
      </c>
      <c r="D660" s="35">
        <v>0</v>
      </c>
      <c r="E660" s="35">
        <v>1</v>
      </c>
      <c r="F660" s="35">
        <v>18</v>
      </c>
      <c r="G660" s="35" t="b">
        <v>0</v>
      </c>
      <c r="H660" s="35">
        <v>0</v>
      </c>
      <c r="I660" s="35">
        <v>1</v>
      </c>
      <c r="J660" s="35">
        <v>0.26</v>
      </c>
      <c r="K660" s="35">
        <v>0.2576</v>
      </c>
      <c r="L660" s="35">
        <v>0.65</v>
      </c>
      <c r="M660" s="35">
        <v>0.16420000000000001</v>
      </c>
      <c r="N660" s="35">
        <v>8</v>
      </c>
      <c r="O660" s="35">
        <v>57</v>
      </c>
      <c r="P660" s="35">
        <v>65</v>
      </c>
      <c r="Q660" s="38" t="str">
        <f t="shared" si="10"/>
        <v>Weekday</v>
      </c>
    </row>
    <row r="661" spans="1:17">
      <c r="A661" s="35">
        <v>660</v>
      </c>
      <c r="B661" s="36">
        <v>40573</v>
      </c>
      <c r="C661" s="35">
        <v>1</v>
      </c>
      <c r="D661" s="35">
        <v>0</v>
      </c>
      <c r="E661" s="35">
        <v>1</v>
      </c>
      <c r="F661" s="35">
        <v>19</v>
      </c>
      <c r="G661" s="35" t="b">
        <v>0</v>
      </c>
      <c r="H661" s="35">
        <v>0</v>
      </c>
      <c r="I661" s="35">
        <v>1</v>
      </c>
      <c r="J661" s="35">
        <v>0.26</v>
      </c>
      <c r="K661" s="35">
        <v>0.2576</v>
      </c>
      <c r="L661" s="35">
        <v>0.65</v>
      </c>
      <c r="M661" s="35">
        <v>0.19400000000000001</v>
      </c>
      <c r="N661" s="35">
        <v>9</v>
      </c>
      <c r="O661" s="35">
        <v>46</v>
      </c>
      <c r="P661" s="35">
        <v>55</v>
      </c>
      <c r="Q661" s="38" t="str">
        <f t="shared" si="10"/>
        <v>Weekday</v>
      </c>
    </row>
    <row r="662" spans="1:17">
      <c r="A662" s="35">
        <v>661</v>
      </c>
      <c r="B662" s="36">
        <v>40573</v>
      </c>
      <c r="C662" s="35">
        <v>1</v>
      </c>
      <c r="D662" s="35">
        <v>0</v>
      </c>
      <c r="E662" s="35">
        <v>1</v>
      </c>
      <c r="F662" s="35">
        <v>20</v>
      </c>
      <c r="G662" s="35" t="b">
        <v>0</v>
      </c>
      <c r="H662" s="35">
        <v>0</v>
      </c>
      <c r="I662" s="35">
        <v>2</v>
      </c>
      <c r="J662" s="35">
        <v>0.26</v>
      </c>
      <c r="K662" s="35">
        <v>0.2727</v>
      </c>
      <c r="L662" s="35">
        <v>0.65</v>
      </c>
      <c r="M662" s="35">
        <v>0.1045</v>
      </c>
      <c r="N662" s="35">
        <v>3</v>
      </c>
      <c r="O662" s="35">
        <v>30</v>
      </c>
      <c r="P662" s="35">
        <v>33</v>
      </c>
      <c r="Q662" s="38" t="str">
        <f t="shared" si="10"/>
        <v>Weekday</v>
      </c>
    </row>
    <row r="663" spans="1:17">
      <c r="A663" s="35">
        <v>662</v>
      </c>
      <c r="B663" s="36">
        <v>40573</v>
      </c>
      <c r="C663" s="35">
        <v>1</v>
      </c>
      <c r="D663" s="35">
        <v>0</v>
      </c>
      <c r="E663" s="35">
        <v>1</v>
      </c>
      <c r="F663" s="35">
        <v>21</v>
      </c>
      <c r="G663" s="35" t="b">
        <v>0</v>
      </c>
      <c r="H663" s="35">
        <v>0</v>
      </c>
      <c r="I663" s="35">
        <v>2</v>
      </c>
      <c r="J663" s="35">
        <v>0.24</v>
      </c>
      <c r="K663" s="35">
        <v>0.2424</v>
      </c>
      <c r="L663" s="35">
        <v>0.7</v>
      </c>
      <c r="M663" s="35">
        <v>0.16420000000000001</v>
      </c>
      <c r="N663" s="35">
        <v>3</v>
      </c>
      <c r="O663" s="35">
        <v>25</v>
      </c>
      <c r="P663" s="35">
        <v>28</v>
      </c>
      <c r="Q663" s="38" t="str">
        <f t="shared" si="10"/>
        <v>Weekday</v>
      </c>
    </row>
    <row r="664" spans="1:17">
      <c r="A664" s="35">
        <v>663</v>
      </c>
      <c r="B664" s="36">
        <v>40573</v>
      </c>
      <c r="C664" s="35">
        <v>1</v>
      </c>
      <c r="D664" s="35">
        <v>0</v>
      </c>
      <c r="E664" s="35">
        <v>1</v>
      </c>
      <c r="F664" s="35">
        <v>22</v>
      </c>
      <c r="G664" s="35" t="b">
        <v>0</v>
      </c>
      <c r="H664" s="35">
        <v>0</v>
      </c>
      <c r="I664" s="35">
        <v>2</v>
      </c>
      <c r="J664" s="35">
        <v>0.24</v>
      </c>
      <c r="K664" s="35">
        <v>0.2273</v>
      </c>
      <c r="L664" s="35">
        <v>0.7</v>
      </c>
      <c r="M664" s="35">
        <v>0.19400000000000001</v>
      </c>
      <c r="N664" s="35">
        <v>2</v>
      </c>
      <c r="O664" s="35">
        <v>19</v>
      </c>
      <c r="P664" s="35">
        <v>21</v>
      </c>
      <c r="Q664" s="38" t="str">
        <f t="shared" si="10"/>
        <v>Weekday</v>
      </c>
    </row>
    <row r="665" spans="1:17">
      <c r="A665" s="35">
        <v>664</v>
      </c>
      <c r="B665" s="36">
        <v>40573</v>
      </c>
      <c r="C665" s="35">
        <v>1</v>
      </c>
      <c r="D665" s="35">
        <v>0</v>
      </c>
      <c r="E665" s="35">
        <v>1</v>
      </c>
      <c r="F665" s="35">
        <v>23</v>
      </c>
      <c r="G665" s="35" t="b">
        <v>0</v>
      </c>
      <c r="H665" s="35">
        <v>0</v>
      </c>
      <c r="I665" s="35">
        <v>2</v>
      </c>
      <c r="J665" s="35">
        <v>0.24</v>
      </c>
      <c r="K665" s="35">
        <v>0.21210000000000001</v>
      </c>
      <c r="L665" s="35">
        <v>0.65</v>
      </c>
      <c r="M665" s="35">
        <v>0.28360000000000002</v>
      </c>
      <c r="N665" s="35">
        <v>5</v>
      </c>
      <c r="O665" s="35">
        <v>16</v>
      </c>
      <c r="P665" s="35">
        <v>21</v>
      </c>
      <c r="Q665" s="38" t="str">
        <f t="shared" si="10"/>
        <v>Weekday</v>
      </c>
    </row>
    <row r="666" spans="1:17">
      <c r="A666" s="35">
        <v>665</v>
      </c>
      <c r="B666" s="36">
        <v>40574</v>
      </c>
      <c r="C666" s="35">
        <v>1</v>
      </c>
      <c r="D666" s="35">
        <v>0</v>
      </c>
      <c r="E666" s="35">
        <v>1</v>
      </c>
      <c r="F666" s="35">
        <v>0</v>
      </c>
      <c r="G666" s="35" t="b">
        <v>0</v>
      </c>
      <c r="H666" s="35">
        <v>1</v>
      </c>
      <c r="I666" s="35">
        <v>2</v>
      </c>
      <c r="J666" s="35">
        <v>0.24</v>
      </c>
      <c r="K666" s="35">
        <v>0.2273</v>
      </c>
      <c r="L666" s="35">
        <v>0.65</v>
      </c>
      <c r="M666" s="35">
        <v>0.22389999999999999</v>
      </c>
      <c r="N666" s="35">
        <v>1</v>
      </c>
      <c r="O666" s="35">
        <v>6</v>
      </c>
      <c r="P666" s="35">
        <v>7</v>
      </c>
      <c r="Q666" s="38" t="str">
        <f t="shared" si="10"/>
        <v>Weekday</v>
      </c>
    </row>
    <row r="667" spans="1:17">
      <c r="A667" s="35">
        <v>666</v>
      </c>
      <c r="B667" s="36">
        <v>40574</v>
      </c>
      <c r="C667" s="35">
        <v>1</v>
      </c>
      <c r="D667" s="35">
        <v>0</v>
      </c>
      <c r="E667" s="35">
        <v>1</v>
      </c>
      <c r="F667" s="35">
        <v>1</v>
      </c>
      <c r="G667" s="35" t="b">
        <v>0</v>
      </c>
      <c r="H667" s="35">
        <v>1</v>
      </c>
      <c r="I667" s="35">
        <v>1</v>
      </c>
      <c r="J667" s="35">
        <v>0.22</v>
      </c>
      <c r="K667" s="35">
        <v>0.21210000000000001</v>
      </c>
      <c r="L667" s="35">
        <v>0.64</v>
      </c>
      <c r="M667" s="35">
        <v>0.25369999999999998</v>
      </c>
      <c r="N667" s="35">
        <v>2</v>
      </c>
      <c r="O667" s="35">
        <v>5</v>
      </c>
      <c r="P667" s="35">
        <v>7</v>
      </c>
      <c r="Q667" s="38" t="str">
        <f t="shared" si="10"/>
        <v>Weekday</v>
      </c>
    </row>
    <row r="668" spans="1:17">
      <c r="A668" s="35">
        <v>667</v>
      </c>
      <c r="B668" s="36">
        <v>40574</v>
      </c>
      <c r="C668" s="35">
        <v>1</v>
      </c>
      <c r="D668" s="35">
        <v>0</v>
      </c>
      <c r="E668" s="35">
        <v>1</v>
      </c>
      <c r="F668" s="35">
        <v>2</v>
      </c>
      <c r="G668" s="35" t="b">
        <v>0</v>
      </c>
      <c r="H668" s="35">
        <v>1</v>
      </c>
      <c r="I668" s="35">
        <v>1</v>
      </c>
      <c r="J668" s="35">
        <v>0.22</v>
      </c>
      <c r="K668" s="35">
        <v>0.2273</v>
      </c>
      <c r="L668" s="35">
        <v>0.64</v>
      </c>
      <c r="M668" s="35">
        <v>0.19400000000000001</v>
      </c>
      <c r="N668" s="35">
        <v>0</v>
      </c>
      <c r="O668" s="35">
        <v>1</v>
      </c>
      <c r="P668" s="35">
        <v>1</v>
      </c>
      <c r="Q668" s="38" t="str">
        <f t="shared" si="10"/>
        <v>Weekday</v>
      </c>
    </row>
    <row r="669" spans="1:17">
      <c r="A669" s="35">
        <v>668</v>
      </c>
      <c r="B669" s="36">
        <v>40574</v>
      </c>
      <c r="C669" s="35">
        <v>1</v>
      </c>
      <c r="D669" s="35">
        <v>0</v>
      </c>
      <c r="E669" s="35">
        <v>1</v>
      </c>
      <c r="F669" s="35">
        <v>3</v>
      </c>
      <c r="G669" s="35" t="b">
        <v>0</v>
      </c>
      <c r="H669" s="35">
        <v>1</v>
      </c>
      <c r="I669" s="35">
        <v>1</v>
      </c>
      <c r="J669" s="35">
        <v>0.22</v>
      </c>
      <c r="K669" s="35">
        <v>0.2273</v>
      </c>
      <c r="L669" s="35">
        <v>0.64</v>
      </c>
      <c r="M669" s="35">
        <v>0.19400000000000001</v>
      </c>
      <c r="N669" s="35">
        <v>0</v>
      </c>
      <c r="O669" s="35">
        <v>2</v>
      </c>
      <c r="P669" s="35">
        <v>2</v>
      </c>
      <c r="Q669" s="38" t="str">
        <f t="shared" si="10"/>
        <v>Weekday</v>
      </c>
    </row>
    <row r="670" spans="1:17">
      <c r="A670" s="35">
        <v>669</v>
      </c>
      <c r="B670" s="36">
        <v>40574</v>
      </c>
      <c r="C670" s="35">
        <v>1</v>
      </c>
      <c r="D670" s="35">
        <v>0</v>
      </c>
      <c r="E670" s="35">
        <v>1</v>
      </c>
      <c r="F670" s="35">
        <v>4</v>
      </c>
      <c r="G670" s="35" t="b">
        <v>0</v>
      </c>
      <c r="H670" s="35">
        <v>1</v>
      </c>
      <c r="I670" s="35">
        <v>1</v>
      </c>
      <c r="J670" s="35">
        <v>0.2</v>
      </c>
      <c r="K670" s="35">
        <v>0.19700000000000001</v>
      </c>
      <c r="L670" s="35">
        <v>0.59</v>
      </c>
      <c r="M670" s="35">
        <v>0.22389999999999999</v>
      </c>
      <c r="N670" s="35">
        <v>0</v>
      </c>
      <c r="O670" s="35">
        <v>2</v>
      </c>
      <c r="P670" s="35">
        <v>2</v>
      </c>
      <c r="Q670" s="38" t="str">
        <f t="shared" si="10"/>
        <v>Weekday</v>
      </c>
    </row>
    <row r="671" spans="1:17">
      <c r="A671" s="35">
        <v>670</v>
      </c>
      <c r="B671" s="36">
        <v>40574</v>
      </c>
      <c r="C671" s="35">
        <v>1</v>
      </c>
      <c r="D671" s="35">
        <v>0</v>
      </c>
      <c r="E671" s="35">
        <v>1</v>
      </c>
      <c r="F671" s="35">
        <v>5</v>
      </c>
      <c r="G671" s="35" t="b">
        <v>0</v>
      </c>
      <c r="H671" s="35">
        <v>1</v>
      </c>
      <c r="I671" s="35">
        <v>1</v>
      </c>
      <c r="J671" s="35">
        <v>0.18</v>
      </c>
      <c r="K671" s="35">
        <v>0.16669999999999999</v>
      </c>
      <c r="L671" s="35">
        <v>0.64</v>
      </c>
      <c r="M671" s="35">
        <v>0.28360000000000002</v>
      </c>
      <c r="N671" s="35">
        <v>0</v>
      </c>
      <c r="O671" s="35">
        <v>8</v>
      </c>
      <c r="P671" s="35">
        <v>8</v>
      </c>
      <c r="Q671" s="38" t="str">
        <f t="shared" si="10"/>
        <v>Weekday</v>
      </c>
    </row>
    <row r="672" spans="1:17">
      <c r="A672" s="35">
        <v>671</v>
      </c>
      <c r="B672" s="36">
        <v>40574</v>
      </c>
      <c r="C672" s="35">
        <v>1</v>
      </c>
      <c r="D672" s="35">
        <v>0</v>
      </c>
      <c r="E672" s="35">
        <v>1</v>
      </c>
      <c r="F672" s="35">
        <v>6</v>
      </c>
      <c r="G672" s="35" t="b">
        <v>0</v>
      </c>
      <c r="H672" s="35">
        <v>1</v>
      </c>
      <c r="I672" s="35">
        <v>1</v>
      </c>
      <c r="J672" s="35">
        <v>0.16</v>
      </c>
      <c r="K672" s="35">
        <v>0.13639999999999999</v>
      </c>
      <c r="L672" s="35">
        <v>0.69</v>
      </c>
      <c r="M672" s="35">
        <v>0.32840000000000003</v>
      </c>
      <c r="N672" s="35">
        <v>0</v>
      </c>
      <c r="O672" s="35">
        <v>37</v>
      </c>
      <c r="P672" s="35">
        <v>37</v>
      </c>
      <c r="Q672" s="38" t="str">
        <f t="shared" si="10"/>
        <v>Weekday</v>
      </c>
    </row>
    <row r="673" spans="1:17">
      <c r="A673" s="35">
        <v>672</v>
      </c>
      <c r="B673" s="36">
        <v>40574</v>
      </c>
      <c r="C673" s="35">
        <v>1</v>
      </c>
      <c r="D673" s="35">
        <v>0</v>
      </c>
      <c r="E673" s="35">
        <v>1</v>
      </c>
      <c r="F673" s="35">
        <v>7</v>
      </c>
      <c r="G673" s="35" t="b">
        <v>0</v>
      </c>
      <c r="H673" s="35">
        <v>1</v>
      </c>
      <c r="I673" s="35">
        <v>2</v>
      </c>
      <c r="J673" s="35">
        <v>0.16</v>
      </c>
      <c r="K673" s="35">
        <v>0.13639999999999999</v>
      </c>
      <c r="L673" s="35">
        <v>0.64</v>
      </c>
      <c r="M673" s="35">
        <v>0.28360000000000002</v>
      </c>
      <c r="N673" s="35">
        <v>1</v>
      </c>
      <c r="O673" s="35">
        <v>71</v>
      </c>
      <c r="P673" s="35">
        <v>72</v>
      </c>
      <c r="Q673" s="38" t="str">
        <f t="shared" si="10"/>
        <v>Weekday</v>
      </c>
    </row>
    <row r="674" spans="1:17">
      <c r="A674" s="35">
        <v>673</v>
      </c>
      <c r="B674" s="36">
        <v>40574</v>
      </c>
      <c r="C674" s="35">
        <v>1</v>
      </c>
      <c r="D674" s="35">
        <v>0</v>
      </c>
      <c r="E674" s="35">
        <v>1</v>
      </c>
      <c r="F674" s="35">
        <v>8</v>
      </c>
      <c r="G674" s="35" t="b">
        <v>0</v>
      </c>
      <c r="H674" s="35">
        <v>1</v>
      </c>
      <c r="I674" s="35">
        <v>2</v>
      </c>
      <c r="J674" s="35">
        <v>0.16</v>
      </c>
      <c r="K674" s="35">
        <v>0.13639999999999999</v>
      </c>
      <c r="L674" s="35">
        <v>0.59</v>
      </c>
      <c r="M674" s="35">
        <v>0.28360000000000002</v>
      </c>
      <c r="N674" s="35">
        <v>3</v>
      </c>
      <c r="O674" s="35">
        <v>182</v>
      </c>
      <c r="P674" s="35">
        <v>185</v>
      </c>
      <c r="Q674" s="38" t="str">
        <f t="shared" si="10"/>
        <v>Weekday</v>
      </c>
    </row>
    <row r="675" spans="1:17">
      <c r="A675" s="35">
        <v>674</v>
      </c>
      <c r="B675" s="36">
        <v>40574</v>
      </c>
      <c r="C675" s="35">
        <v>1</v>
      </c>
      <c r="D675" s="35">
        <v>0</v>
      </c>
      <c r="E675" s="35">
        <v>1</v>
      </c>
      <c r="F675" s="35">
        <v>9</v>
      </c>
      <c r="G675" s="35" t="b">
        <v>0</v>
      </c>
      <c r="H675" s="35">
        <v>1</v>
      </c>
      <c r="I675" s="35">
        <v>2</v>
      </c>
      <c r="J675" s="35">
        <v>0.16</v>
      </c>
      <c r="K675" s="35">
        <v>0.13639999999999999</v>
      </c>
      <c r="L675" s="35">
        <v>0.59</v>
      </c>
      <c r="M675" s="35">
        <v>0.29849999999999999</v>
      </c>
      <c r="N675" s="35">
        <v>0</v>
      </c>
      <c r="O675" s="35">
        <v>112</v>
      </c>
      <c r="P675" s="35">
        <v>112</v>
      </c>
      <c r="Q675" s="38" t="str">
        <f t="shared" si="10"/>
        <v>Weekday</v>
      </c>
    </row>
    <row r="676" spans="1:17">
      <c r="A676" s="35">
        <v>675</v>
      </c>
      <c r="B676" s="36">
        <v>40574</v>
      </c>
      <c r="C676" s="35">
        <v>1</v>
      </c>
      <c r="D676" s="35">
        <v>0</v>
      </c>
      <c r="E676" s="35">
        <v>1</v>
      </c>
      <c r="F676" s="35">
        <v>10</v>
      </c>
      <c r="G676" s="35" t="b">
        <v>0</v>
      </c>
      <c r="H676" s="35">
        <v>1</v>
      </c>
      <c r="I676" s="35">
        <v>2</v>
      </c>
      <c r="J676" s="35">
        <v>0.16</v>
      </c>
      <c r="K676" s="35">
        <v>0.1515</v>
      </c>
      <c r="L676" s="35">
        <v>0.59</v>
      </c>
      <c r="M676" s="35">
        <v>0.19400000000000001</v>
      </c>
      <c r="N676" s="35">
        <v>1</v>
      </c>
      <c r="O676" s="35">
        <v>68</v>
      </c>
      <c r="P676" s="35">
        <v>69</v>
      </c>
      <c r="Q676" s="38" t="str">
        <f t="shared" si="10"/>
        <v>Weekday</v>
      </c>
    </row>
    <row r="677" spans="1:17">
      <c r="A677" s="35">
        <v>676</v>
      </c>
      <c r="B677" s="36">
        <v>40574</v>
      </c>
      <c r="C677" s="35">
        <v>1</v>
      </c>
      <c r="D677" s="35">
        <v>0</v>
      </c>
      <c r="E677" s="35">
        <v>1</v>
      </c>
      <c r="F677" s="35">
        <v>11</v>
      </c>
      <c r="G677" s="35" t="b">
        <v>0</v>
      </c>
      <c r="H677" s="35">
        <v>1</v>
      </c>
      <c r="I677" s="35">
        <v>2</v>
      </c>
      <c r="J677" s="35">
        <v>0.16</v>
      </c>
      <c r="K677" s="35">
        <v>0.1515</v>
      </c>
      <c r="L677" s="35">
        <v>0.59</v>
      </c>
      <c r="M677" s="35">
        <v>0.19400000000000001</v>
      </c>
      <c r="N677" s="35">
        <v>2</v>
      </c>
      <c r="O677" s="35">
        <v>46</v>
      </c>
      <c r="P677" s="35">
        <v>48</v>
      </c>
      <c r="Q677" s="38" t="str">
        <f t="shared" si="10"/>
        <v>Weekday</v>
      </c>
    </row>
    <row r="678" spans="1:17">
      <c r="A678" s="35">
        <v>677</v>
      </c>
      <c r="B678" s="36">
        <v>40574</v>
      </c>
      <c r="C678" s="35">
        <v>1</v>
      </c>
      <c r="D678" s="35">
        <v>0</v>
      </c>
      <c r="E678" s="35">
        <v>1</v>
      </c>
      <c r="F678" s="35">
        <v>12</v>
      </c>
      <c r="G678" s="35" t="b">
        <v>0</v>
      </c>
      <c r="H678" s="35">
        <v>1</v>
      </c>
      <c r="I678" s="35">
        <v>2</v>
      </c>
      <c r="J678" s="35">
        <v>0.18</v>
      </c>
      <c r="K678" s="35">
        <v>0.21210000000000001</v>
      </c>
      <c r="L678" s="35">
        <v>0.55000000000000004</v>
      </c>
      <c r="M678" s="35">
        <v>0.1045</v>
      </c>
      <c r="N678" s="35">
        <v>6</v>
      </c>
      <c r="O678" s="35">
        <v>62</v>
      </c>
      <c r="P678" s="35">
        <v>68</v>
      </c>
      <c r="Q678" s="38" t="str">
        <f t="shared" si="10"/>
        <v>Weekday</v>
      </c>
    </row>
    <row r="679" spans="1:17">
      <c r="A679" s="35">
        <v>678</v>
      </c>
      <c r="B679" s="36">
        <v>40574</v>
      </c>
      <c r="C679" s="35">
        <v>1</v>
      </c>
      <c r="D679" s="35">
        <v>0</v>
      </c>
      <c r="E679" s="35">
        <v>1</v>
      </c>
      <c r="F679" s="35">
        <v>13</v>
      </c>
      <c r="G679" s="35" t="b">
        <v>0</v>
      </c>
      <c r="H679" s="35">
        <v>1</v>
      </c>
      <c r="I679" s="35">
        <v>2</v>
      </c>
      <c r="J679" s="35">
        <v>0.16</v>
      </c>
      <c r="K679" s="35">
        <v>0.2273</v>
      </c>
      <c r="L679" s="35">
        <v>0.59</v>
      </c>
      <c r="M679" s="35">
        <v>0</v>
      </c>
      <c r="N679" s="35">
        <v>2</v>
      </c>
      <c r="O679" s="35">
        <v>52</v>
      </c>
      <c r="P679" s="35">
        <v>54</v>
      </c>
      <c r="Q679" s="38" t="str">
        <f t="shared" si="10"/>
        <v>Weekday</v>
      </c>
    </row>
    <row r="680" spans="1:17">
      <c r="A680" s="35">
        <v>679</v>
      </c>
      <c r="B680" s="36">
        <v>40574</v>
      </c>
      <c r="C680" s="35">
        <v>1</v>
      </c>
      <c r="D680" s="35">
        <v>0</v>
      </c>
      <c r="E680" s="35">
        <v>1</v>
      </c>
      <c r="F680" s="35">
        <v>14</v>
      </c>
      <c r="G680" s="35" t="b">
        <v>0</v>
      </c>
      <c r="H680" s="35">
        <v>1</v>
      </c>
      <c r="I680" s="35">
        <v>2</v>
      </c>
      <c r="J680" s="35">
        <v>0.18</v>
      </c>
      <c r="K680" s="35">
        <v>0.19700000000000001</v>
      </c>
      <c r="L680" s="35">
        <v>0.55000000000000004</v>
      </c>
      <c r="M680" s="35">
        <v>0.1343</v>
      </c>
      <c r="N680" s="35">
        <v>1</v>
      </c>
      <c r="O680" s="35">
        <v>85</v>
      </c>
      <c r="P680" s="35">
        <v>86</v>
      </c>
      <c r="Q680" s="38" t="str">
        <f t="shared" si="10"/>
        <v>Weekday</v>
      </c>
    </row>
    <row r="681" spans="1:17">
      <c r="A681" s="35">
        <v>680</v>
      </c>
      <c r="B681" s="36">
        <v>40574</v>
      </c>
      <c r="C681" s="35">
        <v>1</v>
      </c>
      <c r="D681" s="35">
        <v>0</v>
      </c>
      <c r="E681" s="35">
        <v>1</v>
      </c>
      <c r="F681" s="35">
        <v>15</v>
      </c>
      <c r="G681" s="35" t="b">
        <v>0</v>
      </c>
      <c r="H681" s="35">
        <v>1</v>
      </c>
      <c r="I681" s="35">
        <v>2</v>
      </c>
      <c r="J681" s="35">
        <v>0.16</v>
      </c>
      <c r="K681" s="35">
        <v>0.18179999999999999</v>
      </c>
      <c r="L681" s="35">
        <v>0.59</v>
      </c>
      <c r="M681" s="35">
        <v>0.1343</v>
      </c>
      <c r="N681" s="35">
        <v>3</v>
      </c>
      <c r="O681" s="35">
        <v>41</v>
      </c>
      <c r="P681" s="35">
        <v>44</v>
      </c>
      <c r="Q681" s="38" t="str">
        <f t="shared" si="10"/>
        <v>Weekday</v>
      </c>
    </row>
    <row r="682" spans="1:17">
      <c r="A682" s="35">
        <v>681</v>
      </c>
      <c r="B682" s="36">
        <v>40574</v>
      </c>
      <c r="C682" s="35">
        <v>1</v>
      </c>
      <c r="D682" s="35">
        <v>0</v>
      </c>
      <c r="E682" s="35">
        <v>1</v>
      </c>
      <c r="F682" s="35">
        <v>16</v>
      </c>
      <c r="G682" s="35" t="b">
        <v>0</v>
      </c>
      <c r="H682" s="35">
        <v>1</v>
      </c>
      <c r="I682" s="35">
        <v>2</v>
      </c>
      <c r="J682" s="35">
        <v>0.16</v>
      </c>
      <c r="K682" s="35">
        <v>0.18179999999999999</v>
      </c>
      <c r="L682" s="35">
        <v>0.56000000000000005</v>
      </c>
      <c r="M682" s="35">
        <v>0.19400000000000001</v>
      </c>
      <c r="N682" s="35">
        <v>3</v>
      </c>
      <c r="O682" s="35">
        <v>83</v>
      </c>
      <c r="P682" s="35">
        <v>86</v>
      </c>
      <c r="Q682" s="38" t="str">
        <f t="shared" si="10"/>
        <v>Weekday</v>
      </c>
    </row>
    <row r="683" spans="1:17">
      <c r="A683" s="35">
        <v>682</v>
      </c>
      <c r="B683" s="36">
        <v>40574</v>
      </c>
      <c r="C683" s="35">
        <v>1</v>
      </c>
      <c r="D683" s="35">
        <v>0</v>
      </c>
      <c r="E683" s="35">
        <v>1</v>
      </c>
      <c r="F683" s="35">
        <v>17</v>
      </c>
      <c r="G683" s="35" t="b">
        <v>0</v>
      </c>
      <c r="H683" s="35">
        <v>1</v>
      </c>
      <c r="I683" s="35">
        <v>2</v>
      </c>
      <c r="J683" s="35">
        <v>0.16</v>
      </c>
      <c r="K683" s="35">
        <v>0.1515</v>
      </c>
      <c r="L683" s="35">
        <v>0.59</v>
      </c>
      <c r="M683" s="35">
        <v>0.19400000000000001</v>
      </c>
      <c r="N683" s="35">
        <v>6</v>
      </c>
      <c r="O683" s="35">
        <v>155</v>
      </c>
      <c r="P683" s="35">
        <v>161</v>
      </c>
      <c r="Q683" s="38" t="str">
        <f t="shared" si="10"/>
        <v>Weekday</v>
      </c>
    </row>
    <row r="684" spans="1:17">
      <c r="A684" s="35">
        <v>683</v>
      </c>
      <c r="B684" s="36">
        <v>40574</v>
      </c>
      <c r="C684" s="35">
        <v>1</v>
      </c>
      <c r="D684" s="35">
        <v>0</v>
      </c>
      <c r="E684" s="35">
        <v>1</v>
      </c>
      <c r="F684" s="35">
        <v>18</v>
      </c>
      <c r="G684" s="35" t="b">
        <v>0</v>
      </c>
      <c r="H684" s="35">
        <v>1</v>
      </c>
      <c r="I684" s="35">
        <v>2</v>
      </c>
      <c r="J684" s="35">
        <v>0.16</v>
      </c>
      <c r="K684" s="35">
        <v>0.1515</v>
      </c>
      <c r="L684" s="35">
        <v>0.55000000000000004</v>
      </c>
      <c r="M684" s="35">
        <v>0.22389999999999999</v>
      </c>
      <c r="N684" s="35">
        <v>3</v>
      </c>
      <c r="O684" s="35">
        <v>153</v>
      </c>
      <c r="P684" s="35">
        <v>156</v>
      </c>
      <c r="Q684" s="38" t="str">
        <f t="shared" si="10"/>
        <v>Weekday</v>
      </c>
    </row>
    <row r="685" spans="1:17">
      <c r="A685" s="35">
        <v>684</v>
      </c>
      <c r="B685" s="36">
        <v>40574</v>
      </c>
      <c r="C685" s="35">
        <v>1</v>
      </c>
      <c r="D685" s="35">
        <v>0</v>
      </c>
      <c r="E685" s="35">
        <v>1</v>
      </c>
      <c r="F685" s="35">
        <v>19</v>
      </c>
      <c r="G685" s="35" t="b">
        <v>0</v>
      </c>
      <c r="H685" s="35">
        <v>1</v>
      </c>
      <c r="I685" s="35">
        <v>1</v>
      </c>
      <c r="J685" s="35">
        <v>0.3</v>
      </c>
      <c r="K685" s="35">
        <v>0.31819999999999998</v>
      </c>
      <c r="L685" s="35">
        <v>0.61</v>
      </c>
      <c r="M685" s="35">
        <v>0.1045</v>
      </c>
      <c r="N685" s="35">
        <v>3</v>
      </c>
      <c r="O685" s="35">
        <v>108</v>
      </c>
      <c r="P685" s="35">
        <v>111</v>
      </c>
      <c r="Q685" s="38" t="str">
        <f t="shared" si="10"/>
        <v>Weekday</v>
      </c>
    </row>
    <row r="686" spans="1:17">
      <c r="A686" s="35">
        <v>685</v>
      </c>
      <c r="B686" s="36">
        <v>40574</v>
      </c>
      <c r="C686" s="35">
        <v>1</v>
      </c>
      <c r="D686" s="35">
        <v>0</v>
      </c>
      <c r="E686" s="35">
        <v>1</v>
      </c>
      <c r="F686" s="35">
        <v>20</v>
      </c>
      <c r="G686" s="35" t="b">
        <v>0</v>
      </c>
      <c r="H686" s="35">
        <v>1</v>
      </c>
      <c r="I686" s="35">
        <v>3</v>
      </c>
      <c r="J686" s="35">
        <v>0.16</v>
      </c>
      <c r="K686" s="35">
        <v>0.16669999999999999</v>
      </c>
      <c r="L686" s="35">
        <v>0.59</v>
      </c>
      <c r="M686" s="35">
        <v>0.16420000000000001</v>
      </c>
      <c r="N686" s="35">
        <v>0</v>
      </c>
      <c r="O686" s="35">
        <v>78</v>
      </c>
      <c r="P686" s="35">
        <v>78</v>
      </c>
      <c r="Q686" s="38" t="str">
        <f t="shared" si="10"/>
        <v>Weekday</v>
      </c>
    </row>
    <row r="687" spans="1:17">
      <c r="A687" s="35">
        <v>686</v>
      </c>
      <c r="B687" s="36">
        <v>40574</v>
      </c>
      <c r="C687" s="35">
        <v>1</v>
      </c>
      <c r="D687" s="35">
        <v>0</v>
      </c>
      <c r="E687" s="35">
        <v>1</v>
      </c>
      <c r="F687" s="35">
        <v>21</v>
      </c>
      <c r="G687" s="35" t="b">
        <v>0</v>
      </c>
      <c r="H687" s="35">
        <v>1</v>
      </c>
      <c r="I687" s="35">
        <v>3</v>
      </c>
      <c r="J687" s="35">
        <v>0.16</v>
      </c>
      <c r="K687" s="35">
        <v>0.19700000000000001</v>
      </c>
      <c r="L687" s="35">
        <v>0.59</v>
      </c>
      <c r="M687" s="35">
        <v>8.9599999999999999E-2</v>
      </c>
      <c r="N687" s="35">
        <v>3</v>
      </c>
      <c r="O687" s="35">
        <v>53</v>
      </c>
      <c r="P687" s="35">
        <v>56</v>
      </c>
      <c r="Q687" s="38" t="str">
        <f t="shared" si="10"/>
        <v>Weekday</v>
      </c>
    </row>
    <row r="688" spans="1:17">
      <c r="A688" s="35">
        <v>687</v>
      </c>
      <c r="B688" s="36">
        <v>40574</v>
      </c>
      <c r="C688" s="35">
        <v>1</v>
      </c>
      <c r="D688" s="35">
        <v>0</v>
      </c>
      <c r="E688" s="35">
        <v>1</v>
      </c>
      <c r="F688" s="35">
        <v>22</v>
      </c>
      <c r="G688" s="35" t="b">
        <v>0</v>
      </c>
      <c r="H688" s="35">
        <v>1</v>
      </c>
      <c r="I688" s="35">
        <v>2</v>
      </c>
      <c r="J688" s="35">
        <v>0.16</v>
      </c>
      <c r="K688" s="35">
        <v>0.18179999999999999</v>
      </c>
      <c r="L688" s="35">
        <v>0.59</v>
      </c>
      <c r="M688" s="35">
        <v>0.1045</v>
      </c>
      <c r="N688" s="35">
        <v>0</v>
      </c>
      <c r="O688" s="35">
        <v>34</v>
      </c>
      <c r="P688" s="35">
        <v>34</v>
      </c>
      <c r="Q688" s="38" t="str">
        <f t="shared" si="10"/>
        <v>Weekday</v>
      </c>
    </row>
    <row r="689" spans="1:17">
      <c r="A689" s="35">
        <v>688</v>
      </c>
      <c r="B689" s="36">
        <v>40574</v>
      </c>
      <c r="C689" s="35">
        <v>1</v>
      </c>
      <c r="D689" s="35">
        <v>0</v>
      </c>
      <c r="E689" s="35">
        <v>1</v>
      </c>
      <c r="F689" s="35">
        <v>23</v>
      </c>
      <c r="G689" s="35" t="b">
        <v>0</v>
      </c>
      <c r="H689" s="35">
        <v>1</v>
      </c>
      <c r="I689" s="35">
        <v>2</v>
      </c>
      <c r="J689" s="35">
        <v>0.16</v>
      </c>
      <c r="K689" s="35">
        <v>0.19700000000000001</v>
      </c>
      <c r="L689" s="35">
        <v>0.64</v>
      </c>
      <c r="M689" s="35">
        <v>8.9599999999999999E-2</v>
      </c>
      <c r="N689" s="35">
        <v>2</v>
      </c>
      <c r="O689" s="35">
        <v>15</v>
      </c>
      <c r="P689" s="35">
        <v>17</v>
      </c>
      <c r="Q689" s="38" t="str">
        <f t="shared" si="10"/>
        <v>Weekday</v>
      </c>
    </row>
    <row r="690" spans="1:17">
      <c r="A690" s="35">
        <v>689</v>
      </c>
      <c r="B690" s="36">
        <v>40575</v>
      </c>
      <c r="C690" s="35">
        <v>1</v>
      </c>
      <c r="D690" s="35">
        <v>0</v>
      </c>
      <c r="E690" s="35">
        <v>2</v>
      </c>
      <c r="F690" s="35">
        <v>0</v>
      </c>
      <c r="G690" s="35" t="b">
        <v>0</v>
      </c>
      <c r="H690" s="35">
        <v>2</v>
      </c>
      <c r="I690" s="35">
        <v>2</v>
      </c>
      <c r="J690" s="35">
        <v>0.16</v>
      </c>
      <c r="K690" s="35">
        <v>0.18179999999999999</v>
      </c>
      <c r="L690" s="35">
        <v>0.64</v>
      </c>
      <c r="M690" s="35">
        <v>0.1045</v>
      </c>
      <c r="N690" s="35">
        <v>2</v>
      </c>
      <c r="O690" s="35">
        <v>6</v>
      </c>
      <c r="P690" s="35">
        <v>8</v>
      </c>
      <c r="Q690" s="38" t="str">
        <f t="shared" si="10"/>
        <v>Weekday</v>
      </c>
    </row>
    <row r="691" spans="1:17">
      <c r="A691" s="35">
        <v>690</v>
      </c>
      <c r="B691" s="36">
        <v>40575</v>
      </c>
      <c r="C691" s="35">
        <v>1</v>
      </c>
      <c r="D691" s="35">
        <v>0</v>
      </c>
      <c r="E691" s="35">
        <v>2</v>
      </c>
      <c r="F691" s="35">
        <v>1</v>
      </c>
      <c r="G691" s="35" t="b">
        <v>0</v>
      </c>
      <c r="H691" s="35">
        <v>2</v>
      </c>
      <c r="I691" s="35">
        <v>2</v>
      </c>
      <c r="J691" s="35">
        <v>0.16</v>
      </c>
      <c r="K691" s="35">
        <v>0.18179999999999999</v>
      </c>
      <c r="L691" s="35">
        <v>0.69</v>
      </c>
      <c r="M691" s="35">
        <v>0.1045</v>
      </c>
      <c r="N691" s="35">
        <v>0</v>
      </c>
      <c r="O691" s="35">
        <v>3</v>
      </c>
      <c r="P691" s="35">
        <v>3</v>
      </c>
      <c r="Q691" s="38" t="str">
        <f t="shared" si="10"/>
        <v>Weekday</v>
      </c>
    </row>
    <row r="692" spans="1:17">
      <c r="A692" s="35">
        <v>691</v>
      </c>
      <c r="B692" s="36">
        <v>40575</v>
      </c>
      <c r="C692" s="35">
        <v>1</v>
      </c>
      <c r="D692" s="35">
        <v>0</v>
      </c>
      <c r="E692" s="35">
        <v>2</v>
      </c>
      <c r="F692" s="35">
        <v>2</v>
      </c>
      <c r="G692" s="35" t="b">
        <v>0</v>
      </c>
      <c r="H692" s="35">
        <v>2</v>
      </c>
      <c r="I692" s="35">
        <v>2</v>
      </c>
      <c r="J692" s="35">
        <v>0.16</v>
      </c>
      <c r="K692" s="35">
        <v>0.2273</v>
      </c>
      <c r="L692" s="35">
        <v>0.69</v>
      </c>
      <c r="M692" s="35">
        <v>0</v>
      </c>
      <c r="N692" s="35">
        <v>0</v>
      </c>
      <c r="O692" s="35">
        <v>2</v>
      </c>
      <c r="P692" s="35">
        <v>2</v>
      </c>
      <c r="Q692" s="38" t="str">
        <f t="shared" si="10"/>
        <v>Weekday</v>
      </c>
    </row>
    <row r="693" spans="1:17">
      <c r="A693" s="35">
        <v>692</v>
      </c>
      <c r="B693" s="36">
        <v>40575</v>
      </c>
      <c r="C693" s="35">
        <v>1</v>
      </c>
      <c r="D693" s="35">
        <v>0</v>
      </c>
      <c r="E693" s="35">
        <v>2</v>
      </c>
      <c r="F693" s="35">
        <v>3</v>
      </c>
      <c r="G693" s="35" t="b">
        <v>0</v>
      </c>
      <c r="H693" s="35">
        <v>2</v>
      </c>
      <c r="I693" s="35">
        <v>2</v>
      </c>
      <c r="J693" s="35">
        <v>0.16</v>
      </c>
      <c r="K693" s="35">
        <v>0.2273</v>
      </c>
      <c r="L693" s="35">
        <v>0.69</v>
      </c>
      <c r="M693" s="35">
        <v>0</v>
      </c>
      <c r="N693" s="35">
        <v>0</v>
      </c>
      <c r="O693" s="35">
        <v>2</v>
      </c>
      <c r="P693" s="35">
        <v>2</v>
      </c>
      <c r="Q693" s="38" t="str">
        <f t="shared" si="10"/>
        <v>Weekday</v>
      </c>
    </row>
    <row r="694" spans="1:17">
      <c r="A694" s="35">
        <v>693</v>
      </c>
      <c r="B694" s="36">
        <v>40575</v>
      </c>
      <c r="C694" s="35">
        <v>1</v>
      </c>
      <c r="D694" s="35">
        <v>0</v>
      </c>
      <c r="E694" s="35">
        <v>2</v>
      </c>
      <c r="F694" s="35">
        <v>5</v>
      </c>
      <c r="G694" s="35" t="b">
        <v>0</v>
      </c>
      <c r="H694" s="35">
        <v>2</v>
      </c>
      <c r="I694" s="35">
        <v>3</v>
      </c>
      <c r="J694" s="35">
        <v>0.14000000000000001</v>
      </c>
      <c r="K694" s="35">
        <v>0.21210000000000001</v>
      </c>
      <c r="L694" s="35">
        <v>0.93</v>
      </c>
      <c r="M694" s="35">
        <v>0</v>
      </c>
      <c r="N694" s="35">
        <v>0</v>
      </c>
      <c r="O694" s="35">
        <v>3</v>
      </c>
      <c r="P694" s="35">
        <v>3</v>
      </c>
      <c r="Q694" s="38" t="str">
        <f t="shared" si="10"/>
        <v>Weekday</v>
      </c>
    </row>
    <row r="695" spans="1:17">
      <c r="A695" s="35">
        <v>694</v>
      </c>
      <c r="B695" s="36">
        <v>40575</v>
      </c>
      <c r="C695" s="35">
        <v>1</v>
      </c>
      <c r="D695" s="35">
        <v>0</v>
      </c>
      <c r="E695" s="35">
        <v>2</v>
      </c>
      <c r="F695" s="35">
        <v>6</v>
      </c>
      <c r="G695" s="35" t="b">
        <v>0</v>
      </c>
      <c r="H695" s="35">
        <v>2</v>
      </c>
      <c r="I695" s="35">
        <v>3</v>
      </c>
      <c r="J695" s="35">
        <v>0.14000000000000001</v>
      </c>
      <c r="K695" s="35">
        <v>0.21210000000000001</v>
      </c>
      <c r="L695" s="35">
        <v>0.93</v>
      </c>
      <c r="M695" s="35">
        <v>0</v>
      </c>
      <c r="N695" s="35">
        <v>0</v>
      </c>
      <c r="O695" s="35">
        <v>22</v>
      </c>
      <c r="P695" s="35">
        <v>22</v>
      </c>
      <c r="Q695" s="38" t="str">
        <f t="shared" si="10"/>
        <v>Weekday</v>
      </c>
    </row>
    <row r="696" spans="1:17">
      <c r="A696" s="35">
        <v>695</v>
      </c>
      <c r="B696" s="36">
        <v>40575</v>
      </c>
      <c r="C696" s="35">
        <v>1</v>
      </c>
      <c r="D696" s="35">
        <v>0</v>
      </c>
      <c r="E696" s="35">
        <v>2</v>
      </c>
      <c r="F696" s="35">
        <v>7</v>
      </c>
      <c r="G696" s="35" t="b">
        <v>0</v>
      </c>
      <c r="H696" s="35">
        <v>2</v>
      </c>
      <c r="I696" s="35">
        <v>3</v>
      </c>
      <c r="J696" s="35">
        <v>0.16</v>
      </c>
      <c r="K696" s="35">
        <v>0.2273</v>
      </c>
      <c r="L696" s="35">
        <v>0.93</v>
      </c>
      <c r="M696" s="35">
        <v>0</v>
      </c>
      <c r="N696" s="35">
        <v>0</v>
      </c>
      <c r="O696" s="35">
        <v>52</v>
      </c>
      <c r="P696" s="35">
        <v>52</v>
      </c>
      <c r="Q696" s="38" t="str">
        <f t="shared" si="10"/>
        <v>Weekday</v>
      </c>
    </row>
    <row r="697" spans="1:17">
      <c r="A697" s="35">
        <v>696</v>
      </c>
      <c r="B697" s="36">
        <v>40575</v>
      </c>
      <c r="C697" s="35">
        <v>1</v>
      </c>
      <c r="D697" s="35">
        <v>0</v>
      </c>
      <c r="E697" s="35">
        <v>2</v>
      </c>
      <c r="F697" s="35">
        <v>8</v>
      </c>
      <c r="G697" s="35" t="b">
        <v>0</v>
      </c>
      <c r="H697" s="35">
        <v>2</v>
      </c>
      <c r="I697" s="35">
        <v>3</v>
      </c>
      <c r="J697" s="35">
        <v>0.16</v>
      </c>
      <c r="K697" s="35">
        <v>0.2273</v>
      </c>
      <c r="L697" s="35">
        <v>0.93</v>
      </c>
      <c r="M697" s="35">
        <v>0</v>
      </c>
      <c r="N697" s="35">
        <v>3</v>
      </c>
      <c r="O697" s="35">
        <v>132</v>
      </c>
      <c r="P697" s="35">
        <v>135</v>
      </c>
      <c r="Q697" s="38" t="str">
        <f t="shared" si="10"/>
        <v>Weekday</v>
      </c>
    </row>
    <row r="698" spans="1:17">
      <c r="A698" s="35">
        <v>697</v>
      </c>
      <c r="B698" s="36">
        <v>40575</v>
      </c>
      <c r="C698" s="35">
        <v>1</v>
      </c>
      <c r="D698" s="35">
        <v>0</v>
      </c>
      <c r="E698" s="35">
        <v>2</v>
      </c>
      <c r="F698" s="35">
        <v>9</v>
      </c>
      <c r="G698" s="35" t="b">
        <v>0</v>
      </c>
      <c r="H698" s="35">
        <v>2</v>
      </c>
      <c r="I698" s="35">
        <v>2</v>
      </c>
      <c r="J698" s="35">
        <v>0.16</v>
      </c>
      <c r="K698" s="35">
        <v>0.2273</v>
      </c>
      <c r="L698" s="35">
        <v>0.93</v>
      </c>
      <c r="M698" s="35">
        <v>0</v>
      </c>
      <c r="N698" s="35">
        <v>2</v>
      </c>
      <c r="O698" s="35">
        <v>114</v>
      </c>
      <c r="P698" s="35">
        <v>116</v>
      </c>
      <c r="Q698" s="38" t="str">
        <f t="shared" si="10"/>
        <v>Weekday</v>
      </c>
    </row>
    <row r="699" spans="1:17">
      <c r="A699" s="35">
        <v>698</v>
      </c>
      <c r="B699" s="36">
        <v>40575</v>
      </c>
      <c r="C699" s="35">
        <v>1</v>
      </c>
      <c r="D699" s="35">
        <v>0</v>
      </c>
      <c r="E699" s="35">
        <v>2</v>
      </c>
      <c r="F699" s="35">
        <v>10</v>
      </c>
      <c r="G699" s="35" t="b">
        <v>0</v>
      </c>
      <c r="H699" s="35">
        <v>2</v>
      </c>
      <c r="I699" s="35">
        <v>2</v>
      </c>
      <c r="J699" s="35">
        <v>0.16</v>
      </c>
      <c r="K699" s="35">
        <v>0.2273</v>
      </c>
      <c r="L699" s="35">
        <v>0.93</v>
      </c>
      <c r="M699" s="35">
        <v>0</v>
      </c>
      <c r="N699" s="35">
        <v>0</v>
      </c>
      <c r="O699" s="35">
        <v>47</v>
      </c>
      <c r="P699" s="35">
        <v>47</v>
      </c>
      <c r="Q699" s="38" t="str">
        <f t="shared" si="10"/>
        <v>Weekday</v>
      </c>
    </row>
    <row r="700" spans="1:17">
      <c r="A700" s="35">
        <v>699</v>
      </c>
      <c r="B700" s="36">
        <v>40575</v>
      </c>
      <c r="C700" s="35">
        <v>1</v>
      </c>
      <c r="D700" s="35">
        <v>0</v>
      </c>
      <c r="E700" s="35">
        <v>2</v>
      </c>
      <c r="F700" s="35">
        <v>11</v>
      </c>
      <c r="G700" s="35" t="b">
        <v>0</v>
      </c>
      <c r="H700" s="35">
        <v>2</v>
      </c>
      <c r="I700" s="35">
        <v>2</v>
      </c>
      <c r="J700" s="35">
        <v>0.18</v>
      </c>
      <c r="K700" s="35">
        <v>0.2424</v>
      </c>
      <c r="L700" s="35">
        <v>0.86</v>
      </c>
      <c r="M700" s="35">
        <v>0</v>
      </c>
      <c r="N700" s="35">
        <v>2</v>
      </c>
      <c r="O700" s="35">
        <v>49</v>
      </c>
      <c r="P700" s="35">
        <v>51</v>
      </c>
      <c r="Q700" s="38" t="str">
        <f t="shared" si="10"/>
        <v>Weekday</v>
      </c>
    </row>
    <row r="701" spans="1:17">
      <c r="A701" s="35">
        <v>700</v>
      </c>
      <c r="B701" s="36">
        <v>40575</v>
      </c>
      <c r="C701" s="35">
        <v>1</v>
      </c>
      <c r="D701" s="35">
        <v>0</v>
      </c>
      <c r="E701" s="35">
        <v>2</v>
      </c>
      <c r="F701" s="35">
        <v>12</v>
      </c>
      <c r="G701" s="35" t="b">
        <v>0</v>
      </c>
      <c r="H701" s="35">
        <v>2</v>
      </c>
      <c r="I701" s="35">
        <v>2</v>
      </c>
      <c r="J701" s="35">
        <v>0.2</v>
      </c>
      <c r="K701" s="35">
        <v>0.2576</v>
      </c>
      <c r="L701" s="35">
        <v>0.86</v>
      </c>
      <c r="M701" s="35">
        <v>0</v>
      </c>
      <c r="N701" s="35">
        <v>2</v>
      </c>
      <c r="O701" s="35">
        <v>53</v>
      </c>
      <c r="P701" s="35">
        <v>55</v>
      </c>
      <c r="Q701" s="38" t="str">
        <f t="shared" si="10"/>
        <v>Weekday</v>
      </c>
    </row>
    <row r="702" spans="1:17">
      <c r="A702" s="35">
        <v>701</v>
      </c>
      <c r="B702" s="36">
        <v>40575</v>
      </c>
      <c r="C702" s="35">
        <v>1</v>
      </c>
      <c r="D702" s="35">
        <v>0</v>
      </c>
      <c r="E702" s="35">
        <v>2</v>
      </c>
      <c r="F702" s="35">
        <v>13</v>
      </c>
      <c r="G702" s="35" t="b">
        <v>0</v>
      </c>
      <c r="H702" s="35">
        <v>2</v>
      </c>
      <c r="I702" s="35">
        <v>2</v>
      </c>
      <c r="J702" s="35">
        <v>0.2</v>
      </c>
      <c r="K702" s="35">
        <v>0.2576</v>
      </c>
      <c r="L702" s="35">
        <v>0.86</v>
      </c>
      <c r="M702" s="35">
        <v>0</v>
      </c>
      <c r="N702" s="35">
        <v>3</v>
      </c>
      <c r="O702" s="35">
        <v>49</v>
      </c>
      <c r="P702" s="35">
        <v>52</v>
      </c>
      <c r="Q702" s="38" t="str">
        <f t="shared" si="10"/>
        <v>Weekday</v>
      </c>
    </row>
    <row r="703" spans="1:17">
      <c r="A703" s="35">
        <v>702</v>
      </c>
      <c r="B703" s="36">
        <v>40575</v>
      </c>
      <c r="C703" s="35">
        <v>1</v>
      </c>
      <c r="D703" s="35">
        <v>0</v>
      </c>
      <c r="E703" s="35">
        <v>2</v>
      </c>
      <c r="F703" s="35">
        <v>14</v>
      </c>
      <c r="G703" s="35" t="b">
        <v>0</v>
      </c>
      <c r="H703" s="35">
        <v>2</v>
      </c>
      <c r="I703" s="35">
        <v>2</v>
      </c>
      <c r="J703" s="35">
        <v>0.22</v>
      </c>
      <c r="K703" s="35">
        <v>0.2576</v>
      </c>
      <c r="L703" s="35">
        <v>0.8</v>
      </c>
      <c r="M703" s="35">
        <v>8.9599999999999999E-2</v>
      </c>
      <c r="N703" s="35">
        <v>5</v>
      </c>
      <c r="O703" s="35">
        <v>49</v>
      </c>
      <c r="P703" s="35">
        <v>54</v>
      </c>
      <c r="Q703" s="38" t="str">
        <f t="shared" si="10"/>
        <v>Weekday</v>
      </c>
    </row>
    <row r="704" spans="1:17">
      <c r="A704" s="35">
        <v>703</v>
      </c>
      <c r="B704" s="36">
        <v>40575</v>
      </c>
      <c r="C704" s="35">
        <v>1</v>
      </c>
      <c r="D704" s="35">
        <v>0</v>
      </c>
      <c r="E704" s="35">
        <v>2</v>
      </c>
      <c r="F704" s="35">
        <v>15</v>
      </c>
      <c r="G704" s="35" t="b">
        <v>0</v>
      </c>
      <c r="H704" s="35">
        <v>2</v>
      </c>
      <c r="I704" s="35">
        <v>2</v>
      </c>
      <c r="J704" s="35">
        <v>0.24</v>
      </c>
      <c r="K704" s="35">
        <v>0.28789999999999999</v>
      </c>
      <c r="L704" s="35">
        <v>0.75</v>
      </c>
      <c r="M704" s="35">
        <v>0</v>
      </c>
      <c r="N704" s="35">
        <v>7</v>
      </c>
      <c r="O704" s="35">
        <v>45</v>
      </c>
      <c r="P704" s="35">
        <v>52</v>
      </c>
      <c r="Q704" s="38" t="str">
        <f t="shared" si="10"/>
        <v>Weekday</v>
      </c>
    </row>
    <row r="705" spans="1:17">
      <c r="A705" s="35">
        <v>704</v>
      </c>
      <c r="B705" s="36">
        <v>40575</v>
      </c>
      <c r="C705" s="35">
        <v>1</v>
      </c>
      <c r="D705" s="35">
        <v>0</v>
      </c>
      <c r="E705" s="35">
        <v>2</v>
      </c>
      <c r="F705" s="35">
        <v>16</v>
      </c>
      <c r="G705" s="35" t="b">
        <v>0</v>
      </c>
      <c r="H705" s="35">
        <v>2</v>
      </c>
      <c r="I705" s="35">
        <v>2</v>
      </c>
      <c r="J705" s="35">
        <v>0.24</v>
      </c>
      <c r="K705" s="35">
        <v>0.2424</v>
      </c>
      <c r="L705" s="35">
        <v>0.75</v>
      </c>
      <c r="M705" s="35">
        <v>0.1343</v>
      </c>
      <c r="N705" s="35">
        <v>3</v>
      </c>
      <c r="O705" s="35">
        <v>61</v>
      </c>
      <c r="P705" s="35">
        <v>64</v>
      </c>
      <c r="Q705" s="38" t="str">
        <f t="shared" si="10"/>
        <v>Weekday</v>
      </c>
    </row>
    <row r="706" spans="1:17">
      <c r="A706" s="35">
        <v>705</v>
      </c>
      <c r="B706" s="36">
        <v>40575</v>
      </c>
      <c r="C706" s="35">
        <v>1</v>
      </c>
      <c r="D706" s="35">
        <v>0</v>
      </c>
      <c r="E706" s="35">
        <v>2</v>
      </c>
      <c r="F706" s="35">
        <v>17</v>
      </c>
      <c r="G706" s="35" t="b">
        <v>0</v>
      </c>
      <c r="H706" s="35">
        <v>2</v>
      </c>
      <c r="I706" s="35">
        <v>2</v>
      </c>
      <c r="J706" s="35">
        <v>0.24</v>
      </c>
      <c r="K706" s="35">
        <v>0.28789999999999999</v>
      </c>
      <c r="L706" s="35">
        <v>0.75</v>
      </c>
      <c r="M706" s="35">
        <v>0</v>
      </c>
      <c r="N706" s="35">
        <v>4</v>
      </c>
      <c r="O706" s="35">
        <v>172</v>
      </c>
      <c r="P706" s="35">
        <v>176</v>
      </c>
      <c r="Q706" s="38" t="str">
        <f t="shared" ref="Q706:Q769" si="11">IF(H706&gt;=6,"Weekend","Weekday")</f>
        <v>Weekday</v>
      </c>
    </row>
    <row r="707" spans="1:17">
      <c r="A707" s="35">
        <v>706</v>
      </c>
      <c r="B707" s="36">
        <v>40575</v>
      </c>
      <c r="C707" s="35">
        <v>1</v>
      </c>
      <c r="D707" s="35">
        <v>0</v>
      </c>
      <c r="E707" s="35">
        <v>2</v>
      </c>
      <c r="F707" s="35">
        <v>18</v>
      </c>
      <c r="G707" s="35" t="b">
        <v>0</v>
      </c>
      <c r="H707" s="35">
        <v>2</v>
      </c>
      <c r="I707" s="35">
        <v>2</v>
      </c>
      <c r="J707" s="35">
        <v>0.24</v>
      </c>
      <c r="K707" s="35">
        <v>0.2576</v>
      </c>
      <c r="L707" s="35">
        <v>0.81</v>
      </c>
      <c r="M707" s="35">
        <v>0.1045</v>
      </c>
      <c r="N707" s="35">
        <v>3</v>
      </c>
      <c r="O707" s="35">
        <v>165</v>
      </c>
      <c r="P707" s="35">
        <v>168</v>
      </c>
      <c r="Q707" s="38" t="str">
        <f t="shared" si="11"/>
        <v>Weekday</v>
      </c>
    </row>
    <row r="708" spans="1:17">
      <c r="A708" s="35">
        <v>707</v>
      </c>
      <c r="B708" s="36">
        <v>40575</v>
      </c>
      <c r="C708" s="35">
        <v>1</v>
      </c>
      <c r="D708" s="35">
        <v>0</v>
      </c>
      <c r="E708" s="35">
        <v>2</v>
      </c>
      <c r="F708" s="35">
        <v>19</v>
      </c>
      <c r="G708" s="35" t="b">
        <v>0</v>
      </c>
      <c r="H708" s="35">
        <v>2</v>
      </c>
      <c r="I708" s="35">
        <v>2</v>
      </c>
      <c r="J708" s="35">
        <v>0.24</v>
      </c>
      <c r="K708" s="35">
        <v>0.2424</v>
      </c>
      <c r="L708" s="35">
        <v>0.81</v>
      </c>
      <c r="M708" s="35">
        <v>0.1343</v>
      </c>
      <c r="N708" s="35">
        <v>3</v>
      </c>
      <c r="O708" s="35">
        <v>105</v>
      </c>
      <c r="P708" s="35">
        <v>108</v>
      </c>
      <c r="Q708" s="38" t="str">
        <f t="shared" si="11"/>
        <v>Weekday</v>
      </c>
    </row>
    <row r="709" spans="1:17">
      <c r="A709" s="35">
        <v>708</v>
      </c>
      <c r="B709" s="36">
        <v>40575</v>
      </c>
      <c r="C709" s="35">
        <v>1</v>
      </c>
      <c r="D709" s="35">
        <v>0</v>
      </c>
      <c r="E709" s="35">
        <v>2</v>
      </c>
      <c r="F709" s="35">
        <v>20</v>
      </c>
      <c r="G709" s="35" t="b">
        <v>0</v>
      </c>
      <c r="H709" s="35">
        <v>2</v>
      </c>
      <c r="I709" s="35">
        <v>2</v>
      </c>
      <c r="J709" s="35">
        <v>0.22</v>
      </c>
      <c r="K709" s="35">
        <v>0.2273</v>
      </c>
      <c r="L709" s="35">
        <v>0.87</v>
      </c>
      <c r="M709" s="35">
        <v>0.1343</v>
      </c>
      <c r="N709" s="35">
        <v>5</v>
      </c>
      <c r="O709" s="35">
        <v>69</v>
      </c>
      <c r="P709" s="35">
        <v>74</v>
      </c>
      <c r="Q709" s="38" t="str">
        <f t="shared" si="11"/>
        <v>Weekday</v>
      </c>
    </row>
    <row r="710" spans="1:17">
      <c r="A710" s="35">
        <v>709</v>
      </c>
      <c r="B710" s="36">
        <v>40575</v>
      </c>
      <c r="C710" s="35">
        <v>1</v>
      </c>
      <c r="D710" s="35">
        <v>0</v>
      </c>
      <c r="E710" s="35">
        <v>2</v>
      </c>
      <c r="F710" s="35">
        <v>21</v>
      </c>
      <c r="G710" s="35" t="b">
        <v>0</v>
      </c>
      <c r="H710" s="35">
        <v>2</v>
      </c>
      <c r="I710" s="35">
        <v>2</v>
      </c>
      <c r="J710" s="35">
        <v>0.22</v>
      </c>
      <c r="K710" s="35">
        <v>0.2273</v>
      </c>
      <c r="L710" s="35">
        <v>0.87</v>
      </c>
      <c r="M710" s="35">
        <v>0.1343</v>
      </c>
      <c r="N710" s="35">
        <v>0</v>
      </c>
      <c r="O710" s="35">
        <v>64</v>
      </c>
      <c r="P710" s="35">
        <v>64</v>
      </c>
      <c r="Q710" s="38" t="str">
        <f t="shared" si="11"/>
        <v>Weekday</v>
      </c>
    </row>
    <row r="711" spans="1:17">
      <c r="A711" s="35">
        <v>710</v>
      </c>
      <c r="B711" s="36">
        <v>40575</v>
      </c>
      <c r="C711" s="35">
        <v>1</v>
      </c>
      <c r="D711" s="35">
        <v>0</v>
      </c>
      <c r="E711" s="35">
        <v>2</v>
      </c>
      <c r="F711" s="35">
        <v>22</v>
      </c>
      <c r="G711" s="35" t="b">
        <v>0</v>
      </c>
      <c r="H711" s="35">
        <v>2</v>
      </c>
      <c r="I711" s="35">
        <v>2</v>
      </c>
      <c r="J711" s="35">
        <v>0.22</v>
      </c>
      <c r="K711" s="35">
        <v>0.2576</v>
      </c>
      <c r="L711" s="35">
        <v>0.87</v>
      </c>
      <c r="M711" s="35">
        <v>8.9599999999999999E-2</v>
      </c>
      <c r="N711" s="35">
        <v>2</v>
      </c>
      <c r="O711" s="35">
        <v>34</v>
      </c>
      <c r="P711" s="35">
        <v>36</v>
      </c>
      <c r="Q711" s="38" t="str">
        <f t="shared" si="11"/>
        <v>Weekday</v>
      </c>
    </row>
    <row r="712" spans="1:17">
      <c r="A712" s="35">
        <v>711</v>
      </c>
      <c r="B712" s="36">
        <v>40575</v>
      </c>
      <c r="C712" s="35">
        <v>1</v>
      </c>
      <c r="D712" s="35">
        <v>0</v>
      </c>
      <c r="E712" s="35">
        <v>2</v>
      </c>
      <c r="F712" s="35">
        <v>23</v>
      </c>
      <c r="G712" s="35" t="b">
        <v>0</v>
      </c>
      <c r="H712" s="35">
        <v>2</v>
      </c>
      <c r="I712" s="35">
        <v>3</v>
      </c>
      <c r="J712" s="35">
        <v>0.2</v>
      </c>
      <c r="K712" s="35">
        <v>0.19700000000000001</v>
      </c>
      <c r="L712" s="35">
        <v>0.93</v>
      </c>
      <c r="M712" s="35">
        <v>0.19400000000000001</v>
      </c>
      <c r="N712" s="35">
        <v>1</v>
      </c>
      <c r="O712" s="35">
        <v>15</v>
      </c>
      <c r="P712" s="35">
        <v>16</v>
      </c>
      <c r="Q712" s="38" t="str">
        <f t="shared" si="11"/>
        <v>Weekday</v>
      </c>
    </row>
    <row r="713" spans="1:17">
      <c r="A713" s="35">
        <v>712</v>
      </c>
      <c r="B713" s="36">
        <v>40576</v>
      </c>
      <c r="C713" s="35">
        <v>1</v>
      </c>
      <c r="D713" s="35">
        <v>0</v>
      </c>
      <c r="E713" s="35">
        <v>2</v>
      </c>
      <c r="F713" s="35">
        <v>0</v>
      </c>
      <c r="G713" s="35" t="b">
        <v>0</v>
      </c>
      <c r="H713" s="35">
        <v>3</v>
      </c>
      <c r="I713" s="35">
        <v>3</v>
      </c>
      <c r="J713" s="35">
        <v>0.22</v>
      </c>
      <c r="K713" s="35">
        <v>0.2424</v>
      </c>
      <c r="L713" s="35">
        <v>0.93</v>
      </c>
      <c r="M713" s="35">
        <v>0.1045</v>
      </c>
      <c r="N713" s="35">
        <v>0</v>
      </c>
      <c r="O713" s="35">
        <v>2</v>
      </c>
      <c r="P713" s="35">
        <v>2</v>
      </c>
      <c r="Q713" s="38" t="str">
        <f t="shared" si="11"/>
        <v>Weekday</v>
      </c>
    </row>
    <row r="714" spans="1:17">
      <c r="A714" s="35">
        <v>713</v>
      </c>
      <c r="B714" s="36">
        <v>40576</v>
      </c>
      <c r="C714" s="35">
        <v>1</v>
      </c>
      <c r="D714" s="35">
        <v>0</v>
      </c>
      <c r="E714" s="35">
        <v>2</v>
      </c>
      <c r="F714" s="35">
        <v>1</v>
      </c>
      <c r="G714" s="35" t="b">
        <v>0</v>
      </c>
      <c r="H714" s="35">
        <v>3</v>
      </c>
      <c r="I714" s="35">
        <v>3</v>
      </c>
      <c r="J714" s="35">
        <v>0.22</v>
      </c>
      <c r="K714" s="35">
        <v>0.2273</v>
      </c>
      <c r="L714" s="35">
        <v>0.93</v>
      </c>
      <c r="M714" s="35">
        <v>0.19400000000000001</v>
      </c>
      <c r="N714" s="35">
        <v>0</v>
      </c>
      <c r="O714" s="35">
        <v>3</v>
      </c>
      <c r="P714" s="35">
        <v>3</v>
      </c>
      <c r="Q714" s="38" t="str">
        <f t="shared" si="11"/>
        <v>Weekday</v>
      </c>
    </row>
    <row r="715" spans="1:17">
      <c r="A715" s="35">
        <v>714</v>
      </c>
      <c r="B715" s="36">
        <v>40576</v>
      </c>
      <c r="C715" s="35">
        <v>1</v>
      </c>
      <c r="D715" s="35">
        <v>0</v>
      </c>
      <c r="E715" s="35">
        <v>2</v>
      </c>
      <c r="F715" s="35">
        <v>2</v>
      </c>
      <c r="G715" s="35" t="b">
        <v>0</v>
      </c>
      <c r="H715" s="35">
        <v>3</v>
      </c>
      <c r="I715" s="35">
        <v>3</v>
      </c>
      <c r="J715" s="35">
        <v>0.22</v>
      </c>
      <c r="K715" s="35">
        <v>0.2273</v>
      </c>
      <c r="L715" s="35">
        <v>0.93</v>
      </c>
      <c r="M715" s="35">
        <v>0.1343</v>
      </c>
      <c r="N715" s="35">
        <v>4</v>
      </c>
      <c r="O715" s="35">
        <v>0</v>
      </c>
      <c r="P715" s="35">
        <v>4</v>
      </c>
      <c r="Q715" s="38" t="str">
        <f t="shared" si="11"/>
        <v>Weekday</v>
      </c>
    </row>
    <row r="716" spans="1:17">
      <c r="A716" s="35">
        <v>715</v>
      </c>
      <c r="B716" s="36">
        <v>40576</v>
      </c>
      <c r="C716" s="35">
        <v>1</v>
      </c>
      <c r="D716" s="35">
        <v>0</v>
      </c>
      <c r="E716" s="35">
        <v>2</v>
      </c>
      <c r="F716" s="35">
        <v>3</v>
      </c>
      <c r="G716" s="35" t="b">
        <v>0</v>
      </c>
      <c r="H716" s="35">
        <v>3</v>
      </c>
      <c r="I716" s="35">
        <v>3</v>
      </c>
      <c r="J716" s="35">
        <v>0.22</v>
      </c>
      <c r="K716" s="35">
        <v>0.2273</v>
      </c>
      <c r="L716" s="35">
        <v>0.93</v>
      </c>
      <c r="M716" s="35">
        <v>0.1343</v>
      </c>
      <c r="N716" s="35">
        <v>0</v>
      </c>
      <c r="O716" s="35">
        <v>1</v>
      </c>
      <c r="P716" s="35">
        <v>1</v>
      </c>
      <c r="Q716" s="38" t="str">
        <f t="shared" si="11"/>
        <v>Weekday</v>
      </c>
    </row>
    <row r="717" spans="1:17">
      <c r="A717" s="35">
        <v>716</v>
      </c>
      <c r="B717" s="36">
        <v>40576</v>
      </c>
      <c r="C717" s="35">
        <v>1</v>
      </c>
      <c r="D717" s="35">
        <v>0</v>
      </c>
      <c r="E717" s="35">
        <v>2</v>
      </c>
      <c r="F717" s="35">
        <v>4</v>
      </c>
      <c r="G717" s="35" t="b">
        <v>0</v>
      </c>
      <c r="H717" s="35">
        <v>3</v>
      </c>
      <c r="I717" s="35">
        <v>3</v>
      </c>
      <c r="J717" s="35">
        <v>0.22</v>
      </c>
      <c r="K717" s="35">
        <v>0.21210000000000001</v>
      </c>
      <c r="L717" s="35">
        <v>0.93</v>
      </c>
      <c r="M717" s="35">
        <v>0.28360000000000002</v>
      </c>
      <c r="N717" s="35">
        <v>0</v>
      </c>
      <c r="O717" s="35">
        <v>1</v>
      </c>
      <c r="P717" s="35">
        <v>1</v>
      </c>
      <c r="Q717" s="38" t="str">
        <f t="shared" si="11"/>
        <v>Weekday</v>
      </c>
    </row>
    <row r="718" spans="1:17">
      <c r="A718" s="35">
        <v>717</v>
      </c>
      <c r="B718" s="36">
        <v>40576</v>
      </c>
      <c r="C718" s="35">
        <v>1</v>
      </c>
      <c r="D718" s="35">
        <v>0</v>
      </c>
      <c r="E718" s="35">
        <v>2</v>
      </c>
      <c r="F718" s="35">
        <v>5</v>
      </c>
      <c r="G718" s="35" t="b">
        <v>0</v>
      </c>
      <c r="H718" s="35">
        <v>3</v>
      </c>
      <c r="I718" s="35">
        <v>3</v>
      </c>
      <c r="J718" s="35">
        <v>0.22</v>
      </c>
      <c r="K718" s="35">
        <v>0.2424</v>
      </c>
      <c r="L718" s="35">
        <v>0.93</v>
      </c>
      <c r="M718" s="35">
        <v>0.1045</v>
      </c>
      <c r="N718" s="35">
        <v>0</v>
      </c>
      <c r="O718" s="35">
        <v>3</v>
      </c>
      <c r="P718" s="35">
        <v>3</v>
      </c>
      <c r="Q718" s="38" t="str">
        <f t="shared" si="11"/>
        <v>Weekday</v>
      </c>
    </row>
    <row r="719" spans="1:17">
      <c r="A719" s="35">
        <v>718</v>
      </c>
      <c r="B719" s="36">
        <v>40576</v>
      </c>
      <c r="C719" s="35">
        <v>1</v>
      </c>
      <c r="D719" s="35">
        <v>0</v>
      </c>
      <c r="E719" s="35">
        <v>2</v>
      </c>
      <c r="F719" s="35">
        <v>6</v>
      </c>
      <c r="G719" s="35" t="b">
        <v>0</v>
      </c>
      <c r="H719" s="35">
        <v>3</v>
      </c>
      <c r="I719" s="35">
        <v>3</v>
      </c>
      <c r="J719" s="35">
        <v>0.22</v>
      </c>
      <c r="K719" s="35">
        <v>0.2424</v>
      </c>
      <c r="L719" s="35">
        <v>0.93</v>
      </c>
      <c r="M719" s="35">
        <v>0.1045</v>
      </c>
      <c r="N719" s="35">
        <v>1</v>
      </c>
      <c r="O719" s="35">
        <v>17</v>
      </c>
      <c r="P719" s="35">
        <v>18</v>
      </c>
      <c r="Q719" s="38" t="str">
        <f t="shared" si="11"/>
        <v>Weekday</v>
      </c>
    </row>
    <row r="720" spans="1:17">
      <c r="A720" s="35">
        <v>719</v>
      </c>
      <c r="B720" s="36">
        <v>40576</v>
      </c>
      <c r="C720" s="35">
        <v>1</v>
      </c>
      <c r="D720" s="35">
        <v>0</v>
      </c>
      <c r="E720" s="35">
        <v>2</v>
      </c>
      <c r="F720" s="35">
        <v>7</v>
      </c>
      <c r="G720" s="35" t="b">
        <v>0</v>
      </c>
      <c r="H720" s="35">
        <v>3</v>
      </c>
      <c r="I720" s="35">
        <v>3</v>
      </c>
      <c r="J720" s="35">
        <v>0.22</v>
      </c>
      <c r="K720" s="35">
        <v>0.21210000000000001</v>
      </c>
      <c r="L720" s="35">
        <v>0.93</v>
      </c>
      <c r="M720" s="35">
        <v>0.22389999999999999</v>
      </c>
      <c r="N720" s="35">
        <v>1</v>
      </c>
      <c r="O720" s="35">
        <v>48</v>
      </c>
      <c r="P720" s="35">
        <v>49</v>
      </c>
      <c r="Q720" s="38" t="str">
        <f t="shared" si="11"/>
        <v>Weekday</v>
      </c>
    </row>
    <row r="721" spans="1:17">
      <c r="A721" s="35">
        <v>720</v>
      </c>
      <c r="B721" s="36">
        <v>40576</v>
      </c>
      <c r="C721" s="35">
        <v>1</v>
      </c>
      <c r="D721" s="35">
        <v>0</v>
      </c>
      <c r="E721" s="35">
        <v>2</v>
      </c>
      <c r="F721" s="35">
        <v>8</v>
      </c>
      <c r="G721" s="35" t="b">
        <v>0</v>
      </c>
      <c r="H721" s="35">
        <v>3</v>
      </c>
      <c r="I721" s="35">
        <v>3</v>
      </c>
      <c r="J721" s="35">
        <v>0.22</v>
      </c>
      <c r="K721" s="35">
        <v>0.21210000000000001</v>
      </c>
      <c r="L721" s="35">
        <v>0.93</v>
      </c>
      <c r="M721" s="35">
        <v>0.22389999999999999</v>
      </c>
      <c r="N721" s="35">
        <v>1</v>
      </c>
      <c r="O721" s="35">
        <v>154</v>
      </c>
      <c r="P721" s="35">
        <v>155</v>
      </c>
      <c r="Q721" s="38" t="str">
        <f t="shared" si="11"/>
        <v>Weekday</v>
      </c>
    </row>
    <row r="722" spans="1:17">
      <c r="A722" s="35">
        <v>721</v>
      </c>
      <c r="B722" s="36">
        <v>40576</v>
      </c>
      <c r="C722" s="35">
        <v>1</v>
      </c>
      <c r="D722" s="35">
        <v>0</v>
      </c>
      <c r="E722" s="35">
        <v>2</v>
      </c>
      <c r="F722" s="35">
        <v>9</v>
      </c>
      <c r="G722" s="35" t="b">
        <v>0</v>
      </c>
      <c r="H722" s="35">
        <v>3</v>
      </c>
      <c r="I722" s="35">
        <v>2</v>
      </c>
      <c r="J722" s="35">
        <v>0.24</v>
      </c>
      <c r="K722" s="35">
        <v>0.2576</v>
      </c>
      <c r="L722" s="35">
        <v>0.93</v>
      </c>
      <c r="M722" s="35">
        <v>8.9599999999999999E-2</v>
      </c>
      <c r="N722" s="35">
        <v>4</v>
      </c>
      <c r="O722" s="35">
        <v>119</v>
      </c>
      <c r="P722" s="35">
        <v>123</v>
      </c>
      <c r="Q722" s="38" t="str">
        <f t="shared" si="11"/>
        <v>Weekday</v>
      </c>
    </row>
    <row r="723" spans="1:17">
      <c r="A723" s="35">
        <v>722</v>
      </c>
      <c r="B723" s="36">
        <v>40576</v>
      </c>
      <c r="C723" s="35">
        <v>1</v>
      </c>
      <c r="D723" s="35">
        <v>0</v>
      </c>
      <c r="E723" s="35">
        <v>2</v>
      </c>
      <c r="F723" s="35">
        <v>10</v>
      </c>
      <c r="G723" s="35" t="b">
        <v>0</v>
      </c>
      <c r="H723" s="35">
        <v>3</v>
      </c>
      <c r="I723" s="35">
        <v>2</v>
      </c>
      <c r="J723" s="35">
        <v>0.22</v>
      </c>
      <c r="K723" s="35">
        <v>0.2727</v>
      </c>
      <c r="L723" s="35">
        <v>1</v>
      </c>
      <c r="M723" s="35">
        <v>0</v>
      </c>
      <c r="N723" s="35">
        <v>2</v>
      </c>
      <c r="O723" s="35">
        <v>59</v>
      </c>
      <c r="P723" s="35">
        <v>61</v>
      </c>
      <c r="Q723" s="38" t="str">
        <f t="shared" si="11"/>
        <v>Weekday</v>
      </c>
    </row>
    <row r="724" spans="1:17">
      <c r="A724" s="35">
        <v>723</v>
      </c>
      <c r="B724" s="36">
        <v>40576</v>
      </c>
      <c r="C724" s="35">
        <v>1</v>
      </c>
      <c r="D724" s="35">
        <v>0</v>
      </c>
      <c r="E724" s="35">
        <v>2</v>
      </c>
      <c r="F724" s="35">
        <v>11</v>
      </c>
      <c r="G724" s="35" t="b">
        <v>0</v>
      </c>
      <c r="H724" s="35">
        <v>3</v>
      </c>
      <c r="I724" s="35">
        <v>2</v>
      </c>
      <c r="J724" s="35">
        <v>0.24</v>
      </c>
      <c r="K724" s="35">
        <v>0.2273</v>
      </c>
      <c r="L724" s="35">
        <v>0.93</v>
      </c>
      <c r="M724" s="35">
        <v>0.19400000000000001</v>
      </c>
      <c r="N724" s="35">
        <v>5</v>
      </c>
      <c r="O724" s="35">
        <v>47</v>
      </c>
      <c r="P724" s="35">
        <v>52</v>
      </c>
      <c r="Q724" s="38" t="str">
        <f t="shared" si="11"/>
        <v>Weekday</v>
      </c>
    </row>
    <row r="725" spans="1:17">
      <c r="A725" s="35">
        <v>724</v>
      </c>
      <c r="B725" s="36">
        <v>40576</v>
      </c>
      <c r="C725" s="35">
        <v>1</v>
      </c>
      <c r="D725" s="35">
        <v>0</v>
      </c>
      <c r="E725" s="35">
        <v>2</v>
      </c>
      <c r="F725" s="35">
        <v>12</v>
      </c>
      <c r="G725" s="35" t="b">
        <v>0</v>
      </c>
      <c r="H725" s="35">
        <v>3</v>
      </c>
      <c r="I725" s="35">
        <v>2</v>
      </c>
      <c r="J725" s="35">
        <v>0.24</v>
      </c>
      <c r="K725" s="35">
        <v>0.2273</v>
      </c>
      <c r="L725" s="35">
        <v>0.93</v>
      </c>
      <c r="M725" s="35">
        <v>0.22389999999999999</v>
      </c>
      <c r="N725" s="35">
        <v>3</v>
      </c>
      <c r="O725" s="35">
        <v>61</v>
      </c>
      <c r="P725" s="35">
        <v>64</v>
      </c>
      <c r="Q725" s="38" t="str">
        <f t="shared" si="11"/>
        <v>Weekday</v>
      </c>
    </row>
    <row r="726" spans="1:17">
      <c r="A726" s="35">
        <v>725</v>
      </c>
      <c r="B726" s="36">
        <v>40576</v>
      </c>
      <c r="C726" s="35">
        <v>1</v>
      </c>
      <c r="D726" s="35">
        <v>0</v>
      </c>
      <c r="E726" s="35">
        <v>2</v>
      </c>
      <c r="F726" s="35">
        <v>13</v>
      </c>
      <c r="G726" s="35" t="b">
        <v>0</v>
      </c>
      <c r="H726" s="35">
        <v>3</v>
      </c>
      <c r="I726" s="35">
        <v>1</v>
      </c>
      <c r="J726" s="35">
        <v>0.34</v>
      </c>
      <c r="K726" s="35">
        <v>0.33329999999999999</v>
      </c>
      <c r="L726" s="35">
        <v>0.93</v>
      </c>
      <c r="M726" s="35">
        <v>0.16420000000000001</v>
      </c>
      <c r="N726" s="35">
        <v>1</v>
      </c>
      <c r="O726" s="35">
        <v>74</v>
      </c>
      <c r="P726" s="35">
        <v>75</v>
      </c>
      <c r="Q726" s="38" t="str">
        <f t="shared" si="11"/>
        <v>Weekday</v>
      </c>
    </row>
    <row r="727" spans="1:17">
      <c r="A727" s="35">
        <v>726</v>
      </c>
      <c r="B727" s="36">
        <v>40576</v>
      </c>
      <c r="C727" s="35">
        <v>1</v>
      </c>
      <c r="D727" s="35">
        <v>0</v>
      </c>
      <c r="E727" s="35">
        <v>2</v>
      </c>
      <c r="F727" s="35">
        <v>14</v>
      </c>
      <c r="G727" s="35" t="b">
        <v>0</v>
      </c>
      <c r="H727" s="35">
        <v>3</v>
      </c>
      <c r="I727" s="35">
        <v>1</v>
      </c>
      <c r="J727" s="35">
        <v>0.38</v>
      </c>
      <c r="K727" s="35">
        <v>0.39389999999999997</v>
      </c>
      <c r="L727" s="35">
        <v>0.82</v>
      </c>
      <c r="M727" s="35">
        <v>0.3881</v>
      </c>
      <c r="N727" s="35">
        <v>2</v>
      </c>
      <c r="O727" s="35">
        <v>61</v>
      </c>
      <c r="P727" s="35">
        <v>63</v>
      </c>
      <c r="Q727" s="38" t="str">
        <f t="shared" si="11"/>
        <v>Weekday</v>
      </c>
    </row>
    <row r="728" spans="1:17">
      <c r="A728" s="35">
        <v>727</v>
      </c>
      <c r="B728" s="36">
        <v>40576</v>
      </c>
      <c r="C728" s="35">
        <v>1</v>
      </c>
      <c r="D728" s="35">
        <v>0</v>
      </c>
      <c r="E728" s="35">
        <v>2</v>
      </c>
      <c r="F728" s="35">
        <v>15</v>
      </c>
      <c r="G728" s="35" t="b">
        <v>0</v>
      </c>
      <c r="H728" s="35">
        <v>3</v>
      </c>
      <c r="I728" s="35">
        <v>1</v>
      </c>
      <c r="J728" s="35">
        <v>0.38</v>
      </c>
      <c r="K728" s="35">
        <v>0.39389999999999997</v>
      </c>
      <c r="L728" s="35">
        <v>0.76</v>
      </c>
      <c r="M728" s="35">
        <v>0.32840000000000003</v>
      </c>
      <c r="N728" s="35">
        <v>10</v>
      </c>
      <c r="O728" s="35">
        <v>66</v>
      </c>
      <c r="P728" s="35">
        <v>76</v>
      </c>
      <c r="Q728" s="38" t="str">
        <f t="shared" si="11"/>
        <v>Weekday</v>
      </c>
    </row>
    <row r="729" spans="1:17">
      <c r="A729" s="35">
        <v>728</v>
      </c>
      <c r="B729" s="36">
        <v>40576</v>
      </c>
      <c r="C729" s="35">
        <v>1</v>
      </c>
      <c r="D729" s="35">
        <v>0</v>
      </c>
      <c r="E729" s="35">
        <v>2</v>
      </c>
      <c r="F729" s="35">
        <v>16</v>
      </c>
      <c r="G729" s="35" t="b">
        <v>0</v>
      </c>
      <c r="H729" s="35">
        <v>3</v>
      </c>
      <c r="I729" s="35">
        <v>1</v>
      </c>
      <c r="J729" s="35">
        <v>0.36</v>
      </c>
      <c r="K729" s="35">
        <v>0.33329999999999999</v>
      </c>
      <c r="L729" s="35">
        <v>0.71</v>
      </c>
      <c r="M729" s="35">
        <v>0.29849999999999999</v>
      </c>
      <c r="N729" s="35">
        <v>8</v>
      </c>
      <c r="O729" s="35">
        <v>95</v>
      </c>
      <c r="P729" s="35">
        <v>103</v>
      </c>
      <c r="Q729" s="38" t="str">
        <f t="shared" si="11"/>
        <v>Weekday</v>
      </c>
    </row>
    <row r="730" spans="1:17">
      <c r="A730" s="35">
        <v>729</v>
      </c>
      <c r="B730" s="36">
        <v>40576</v>
      </c>
      <c r="C730" s="35">
        <v>1</v>
      </c>
      <c r="D730" s="35">
        <v>0</v>
      </c>
      <c r="E730" s="35">
        <v>2</v>
      </c>
      <c r="F730" s="35">
        <v>17</v>
      </c>
      <c r="G730" s="35" t="b">
        <v>0</v>
      </c>
      <c r="H730" s="35">
        <v>3</v>
      </c>
      <c r="I730" s="35">
        <v>1</v>
      </c>
      <c r="J730" s="35">
        <v>0.36</v>
      </c>
      <c r="K730" s="35">
        <v>0.31819999999999998</v>
      </c>
      <c r="L730" s="35">
        <v>0.53</v>
      </c>
      <c r="M730" s="35">
        <v>0.52239999999999998</v>
      </c>
      <c r="N730" s="35">
        <v>7</v>
      </c>
      <c r="O730" s="35">
        <v>183</v>
      </c>
      <c r="P730" s="35">
        <v>190</v>
      </c>
      <c r="Q730" s="38" t="str">
        <f t="shared" si="11"/>
        <v>Weekday</v>
      </c>
    </row>
    <row r="731" spans="1:17">
      <c r="A731" s="35">
        <v>730</v>
      </c>
      <c r="B731" s="36">
        <v>40576</v>
      </c>
      <c r="C731" s="35">
        <v>1</v>
      </c>
      <c r="D731" s="35">
        <v>0</v>
      </c>
      <c r="E731" s="35">
        <v>2</v>
      </c>
      <c r="F731" s="35">
        <v>18</v>
      </c>
      <c r="G731" s="35" t="b">
        <v>0</v>
      </c>
      <c r="H731" s="35">
        <v>3</v>
      </c>
      <c r="I731" s="35">
        <v>1</v>
      </c>
      <c r="J731" s="35">
        <v>0.34</v>
      </c>
      <c r="K731" s="35">
        <v>0.28789999999999999</v>
      </c>
      <c r="L731" s="35">
        <v>0.42</v>
      </c>
      <c r="M731" s="35">
        <v>0.55220000000000002</v>
      </c>
      <c r="N731" s="35">
        <v>7</v>
      </c>
      <c r="O731" s="35">
        <v>175</v>
      </c>
      <c r="P731" s="35">
        <v>182</v>
      </c>
      <c r="Q731" s="38" t="str">
        <f t="shared" si="11"/>
        <v>Weekday</v>
      </c>
    </row>
    <row r="732" spans="1:17">
      <c r="A732" s="35">
        <v>731</v>
      </c>
      <c r="B732" s="36">
        <v>40576</v>
      </c>
      <c r="C732" s="35">
        <v>1</v>
      </c>
      <c r="D732" s="35">
        <v>0</v>
      </c>
      <c r="E732" s="35">
        <v>2</v>
      </c>
      <c r="F732" s="35">
        <v>19</v>
      </c>
      <c r="G732" s="35" t="b">
        <v>0</v>
      </c>
      <c r="H732" s="35">
        <v>3</v>
      </c>
      <c r="I732" s="35">
        <v>1</v>
      </c>
      <c r="J732" s="35">
        <v>0.28000000000000003</v>
      </c>
      <c r="K732" s="35">
        <v>0.2424</v>
      </c>
      <c r="L732" s="35">
        <v>0.45</v>
      </c>
      <c r="M732" s="35">
        <v>0.49249999999999999</v>
      </c>
      <c r="N732" s="35">
        <v>3</v>
      </c>
      <c r="O732" s="35">
        <v>88</v>
      </c>
      <c r="P732" s="35">
        <v>91</v>
      </c>
      <c r="Q732" s="38" t="str">
        <f t="shared" si="11"/>
        <v>Weekday</v>
      </c>
    </row>
    <row r="733" spans="1:17">
      <c r="A733" s="35">
        <v>732</v>
      </c>
      <c r="B733" s="36">
        <v>40576</v>
      </c>
      <c r="C733" s="35">
        <v>1</v>
      </c>
      <c r="D733" s="35">
        <v>0</v>
      </c>
      <c r="E733" s="35">
        <v>2</v>
      </c>
      <c r="F733" s="35">
        <v>20</v>
      </c>
      <c r="G733" s="35" t="b">
        <v>0</v>
      </c>
      <c r="H733" s="35">
        <v>3</v>
      </c>
      <c r="I733" s="35">
        <v>1</v>
      </c>
      <c r="J733" s="35">
        <v>0.24</v>
      </c>
      <c r="K733" s="35">
        <v>0.19700000000000001</v>
      </c>
      <c r="L733" s="35">
        <v>0.48</v>
      </c>
      <c r="M733" s="35">
        <v>0.55220000000000002</v>
      </c>
      <c r="N733" s="35">
        <v>4</v>
      </c>
      <c r="O733" s="35">
        <v>71</v>
      </c>
      <c r="P733" s="35">
        <v>75</v>
      </c>
      <c r="Q733" s="38" t="str">
        <f t="shared" si="11"/>
        <v>Weekday</v>
      </c>
    </row>
    <row r="734" spans="1:17">
      <c r="A734" s="35">
        <v>733</v>
      </c>
      <c r="B734" s="36">
        <v>40576</v>
      </c>
      <c r="C734" s="35">
        <v>1</v>
      </c>
      <c r="D734" s="35">
        <v>0</v>
      </c>
      <c r="E734" s="35">
        <v>2</v>
      </c>
      <c r="F734" s="35">
        <v>21</v>
      </c>
      <c r="G734" s="35" t="b">
        <v>0</v>
      </c>
      <c r="H734" s="35">
        <v>3</v>
      </c>
      <c r="I734" s="35">
        <v>1</v>
      </c>
      <c r="J734" s="35">
        <v>0.22</v>
      </c>
      <c r="K734" s="35">
        <v>0.19700000000000001</v>
      </c>
      <c r="L734" s="35">
        <v>0.47</v>
      </c>
      <c r="M734" s="35">
        <v>0.32840000000000003</v>
      </c>
      <c r="N734" s="35">
        <v>1</v>
      </c>
      <c r="O734" s="35">
        <v>62</v>
      </c>
      <c r="P734" s="35">
        <v>63</v>
      </c>
      <c r="Q734" s="38" t="str">
        <f t="shared" si="11"/>
        <v>Weekday</v>
      </c>
    </row>
    <row r="735" spans="1:17">
      <c r="A735" s="35">
        <v>734</v>
      </c>
      <c r="B735" s="36">
        <v>40576</v>
      </c>
      <c r="C735" s="35">
        <v>1</v>
      </c>
      <c r="D735" s="35">
        <v>0</v>
      </c>
      <c r="E735" s="35">
        <v>2</v>
      </c>
      <c r="F735" s="35">
        <v>22</v>
      </c>
      <c r="G735" s="35" t="b">
        <v>0</v>
      </c>
      <c r="H735" s="35">
        <v>3</v>
      </c>
      <c r="I735" s="35">
        <v>1</v>
      </c>
      <c r="J735" s="35">
        <v>0.22</v>
      </c>
      <c r="K735" s="35">
        <v>0.21210000000000001</v>
      </c>
      <c r="L735" s="35">
        <v>0.44</v>
      </c>
      <c r="M735" s="35">
        <v>0.25369999999999998</v>
      </c>
      <c r="N735" s="35">
        <v>5</v>
      </c>
      <c r="O735" s="35">
        <v>35</v>
      </c>
      <c r="P735" s="35">
        <v>40</v>
      </c>
      <c r="Q735" s="38" t="str">
        <f t="shared" si="11"/>
        <v>Weekday</v>
      </c>
    </row>
    <row r="736" spans="1:17">
      <c r="A736" s="35">
        <v>735</v>
      </c>
      <c r="B736" s="36">
        <v>40576</v>
      </c>
      <c r="C736" s="35">
        <v>1</v>
      </c>
      <c r="D736" s="35">
        <v>0</v>
      </c>
      <c r="E736" s="35">
        <v>2</v>
      </c>
      <c r="F736" s="35">
        <v>23</v>
      </c>
      <c r="G736" s="35" t="b">
        <v>0</v>
      </c>
      <c r="H736" s="35">
        <v>3</v>
      </c>
      <c r="I736" s="35">
        <v>1</v>
      </c>
      <c r="J736" s="35">
        <v>0.2</v>
      </c>
      <c r="K736" s="35">
        <v>0.16669999999999999</v>
      </c>
      <c r="L736" s="35">
        <v>0.44</v>
      </c>
      <c r="M736" s="35">
        <v>0.44779999999999998</v>
      </c>
      <c r="N736" s="35">
        <v>3</v>
      </c>
      <c r="O736" s="35">
        <v>29</v>
      </c>
      <c r="P736" s="35">
        <v>32</v>
      </c>
      <c r="Q736" s="38" t="str">
        <f t="shared" si="11"/>
        <v>Weekday</v>
      </c>
    </row>
    <row r="737" spans="1:17">
      <c r="A737" s="35">
        <v>736</v>
      </c>
      <c r="B737" s="36">
        <v>40577</v>
      </c>
      <c r="C737" s="35">
        <v>1</v>
      </c>
      <c r="D737" s="35">
        <v>0</v>
      </c>
      <c r="E737" s="35">
        <v>2</v>
      </c>
      <c r="F737" s="35">
        <v>0</v>
      </c>
      <c r="G737" s="35" t="b">
        <v>0</v>
      </c>
      <c r="H737" s="35">
        <v>4</v>
      </c>
      <c r="I737" s="35">
        <v>1</v>
      </c>
      <c r="J737" s="35">
        <v>0.2</v>
      </c>
      <c r="K737" s="35">
        <v>0.16669999999999999</v>
      </c>
      <c r="L737" s="35">
        <v>0.4</v>
      </c>
      <c r="M737" s="35">
        <v>0.44779999999999998</v>
      </c>
      <c r="N737" s="35">
        <v>1</v>
      </c>
      <c r="O737" s="35">
        <v>11</v>
      </c>
      <c r="P737" s="35">
        <v>12</v>
      </c>
      <c r="Q737" s="38" t="str">
        <f t="shared" si="11"/>
        <v>Weekday</v>
      </c>
    </row>
    <row r="738" spans="1:17">
      <c r="A738" s="35">
        <v>737</v>
      </c>
      <c r="B738" s="36">
        <v>40577</v>
      </c>
      <c r="C738" s="35">
        <v>1</v>
      </c>
      <c r="D738" s="35">
        <v>0</v>
      </c>
      <c r="E738" s="35">
        <v>2</v>
      </c>
      <c r="F738" s="35">
        <v>1</v>
      </c>
      <c r="G738" s="35" t="b">
        <v>0</v>
      </c>
      <c r="H738" s="35">
        <v>4</v>
      </c>
      <c r="I738" s="35">
        <v>1</v>
      </c>
      <c r="J738" s="35">
        <v>0.2</v>
      </c>
      <c r="K738" s="35">
        <v>0.1515</v>
      </c>
      <c r="L738" s="35">
        <v>0.44</v>
      </c>
      <c r="M738" s="35">
        <v>0.52239999999999998</v>
      </c>
      <c r="N738" s="35">
        <v>0</v>
      </c>
      <c r="O738" s="35">
        <v>5</v>
      </c>
      <c r="P738" s="35">
        <v>5</v>
      </c>
      <c r="Q738" s="38" t="str">
        <f t="shared" si="11"/>
        <v>Weekday</v>
      </c>
    </row>
    <row r="739" spans="1:17">
      <c r="A739" s="35">
        <v>738</v>
      </c>
      <c r="B739" s="36">
        <v>40577</v>
      </c>
      <c r="C739" s="35">
        <v>1</v>
      </c>
      <c r="D739" s="35">
        <v>0</v>
      </c>
      <c r="E739" s="35">
        <v>2</v>
      </c>
      <c r="F739" s="35">
        <v>2</v>
      </c>
      <c r="G739" s="35" t="b">
        <v>0</v>
      </c>
      <c r="H739" s="35">
        <v>4</v>
      </c>
      <c r="I739" s="35">
        <v>1</v>
      </c>
      <c r="J739" s="35">
        <v>0.18</v>
      </c>
      <c r="K739" s="35">
        <v>0.16669999999999999</v>
      </c>
      <c r="L739" s="35">
        <v>0.43</v>
      </c>
      <c r="M739" s="35">
        <v>0.25369999999999998</v>
      </c>
      <c r="N739" s="35">
        <v>0</v>
      </c>
      <c r="O739" s="35">
        <v>2</v>
      </c>
      <c r="P739" s="35">
        <v>2</v>
      </c>
      <c r="Q739" s="38" t="str">
        <f t="shared" si="11"/>
        <v>Weekday</v>
      </c>
    </row>
    <row r="740" spans="1:17">
      <c r="A740" s="35">
        <v>739</v>
      </c>
      <c r="B740" s="36">
        <v>40577</v>
      </c>
      <c r="C740" s="35">
        <v>1</v>
      </c>
      <c r="D740" s="35">
        <v>0</v>
      </c>
      <c r="E740" s="35">
        <v>2</v>
      </c>
      <c r="F740" s="35">
        <v>3</v>
      </c>
      <c r="G740" s="35" t="b">
        <v>0</v>
      </c>
      <c r="H740" s="35">
        <v>4</v>
      </c>
      <c r="I740" s="35">
        <v>1</v>
      </c>
      <c r="J740" s="35">
        <v>0.18</v>
      </c>
      <c r="K740" s="35">
        <v>0.16669999999999999</v>
      </c>
      <c r="L740" s="35">
        <v>0.43</v>
      </c>
      <c r="M740" s="35">
        <v>0.25369999999999998</v>
      </c>
      <c r="N740" s="35">
        <v>0</v>
      </c>
      <c r="O740" s="35">
        <v>1</v>
      </c>
      <c r="P740" s="35">
        <v>1</v>
      </c>
      <c r="Q740" s="38" t="str">
        <f t="shared" si="11"/>
        <v>Weekday</v>
      </c>
    </row>
    <row r="741" spans="1:17">
      <c r="A741" s="35">
        <v>740</v>
      </c>
      <c r="B741" s="36">
        <v>40577</v>
      </c>
      <c r="C741" s="35">
        <v>1</v>
      </c>
      <c r="D741" s="35">
        <v>0</v>
      </c>
      <c r="E741" s="35">
        <v>2</v>
      </c>
      <c r="F741" s="35">
        <v>5</v>
      </c>
      <c r="G741" s="35" t="b">
        <v>0</v>
      </c>
      <c r="H741" s="35">
        <v>4</v>
      </c>
      <c r="I741" s="35">
        <v>1</v>
      </c>
      <c r="J741" s="35">
        <v>0.16</v>
      </c>
      <c r="K741" s="35">
        <v>0.13639999999999999</v>
      </c>
      <c r="L741" s="35">
        <v>0.5</v>
      </c>
      <c r="M741" s="35">
        <v>0.29849999999999999</v>
      </c>
      <c r="N741" s="35">
        <v>0</v>
      </c>
      <c r="O741" s="35">
        <v>2</v>
      </c>
      <c r="P741" s="35">
        <v>2</v>
      </c>
      <c r="Q741" s="38" t="str">
        <f t="shared" si="11"/>
        <v>Weekday</v>
      </c>
    </row>
    <row r="742" spans="1:17">
      <c r="A742" s="35">
        <v>741</v>
      </c>
      <c r="B742" s="36">
        <v>40577</v>
      </c>
      <c r="C742" s="35">
        <v>1</v>
      </c>
      <c r="D742" s="35">
        <v>0</v>
      </c>
      <c r="E742" s="35">
        <v>2</v>
      </c>
      <c r="F742" s="35">
        <v>6</v>
      </c>
      <c r="G742" s="35" t="b">
        <v>0</v>
      </c>
      <c r="H742" s="35">
        <v>4</v>
      </c>
      <c r="I742" s="35">
        <v>1</v>
      </c>
      <c r="J742" s="35">
        <v>0.16</v>
      </c>
      <c r="K742" s="35">
        <v>0.13639999999999999</v>
      </c>
      <c r="L742" s="35">
        <v>0.43</v>
      </c>
      <c r="M742" s="35">
        <v>0.35820000000000002</v>
      </c>
      <c r="N742" s="35">
        <v>0</v>
      </c>
      <c r="O742" s="35">
        <v>39</v>
      </c>
      <c r="P742" s="35">
        <v>39</v>
      </c>
      <c r="Q742" s="38" t="str">
        <f t="shared" si="11"/>
        <v>Weekday</v>
      </c>
    </row>
    <row r="743" spans="1:17">
      <c r="A743" s="35">
        <v>742</v>
      </c>
      <c r="B743" s="36">
        <v>40577</v>
      </c>
      <c r="C743" s="35">
        <v>1</v>
      </c>
      <c r="D743" s="35">
        <v>0</v>
      </c>
      <c r="E743" s="35">
        <v>2</v>
      </c>
      <c r="F743" s="35">
        <v>7</v>
      </c>
      <c r="G743" s="35" t="b">
        <v>0</v>
      </c>
      <c r="H743" s="35">
        <v>4</v>
      </c>
      <c r="I743" s="35">
        <v>1</v>
      </c>
      <c r="J743" s="35">
        <v>0.14000000000000001</v>
      </c>
      <c r="K743" s="35">
        <v>0.1212</v>
      </c>
      <c r="L743" s="35">
        <v>0.5</v>
      </c>
      <c r="M743" s="35">
        <v>0.32840000000000003</v>
      </c>
      <c r="N743" s="35">
        <v>1</v>
      </c>
      <c r="O743" s="35">
        <v>86</v>
      </c>
      <c r="P743" s="35">
        <v>87</v>
      </c>
      <c r="Q743" s="38" t="str">
        <f t="shared" si="11"/>
        <v>Weekday</v>
      </c>
    </row>
    <row r="744" spans="1:17">
      <c r="A744" s="35">
        <v>743</v>
      </c>
      <c r="B744" s="36">
        <v>40577</v>
      </c>
      <c r="C744" s="35">
        <v>1</v>
      </c>
      <c r="D744" s="35">
        <v>0</v>
      </c>
      <c r="E744" s="35">
        <v>2</v>
      </c>
      <c r="F744" s="35">
        <v>8</v>
      </c>
      <c r="G744" s="35" t="b">
        <v>0</v>
      </c>
      <c r="H744" s="35">
        <v>4</v>
      </c>
      <c r="I744" s="35">
        <v>1</v>
      </c>
      <c r="J744" s="35">
        <v>0.14000000000000001</v>
      </c>
      <c r="K744" s="35">
        <v>0.1212</v>
      </c>
      <c r="L744" s="35">
        <v>0.5</v>
      </c>
      <c r="M744" s="35">
        <v>0.35820000000000002</v>
      </c>
      <c r="N744" s="35">
        <v>4</v>
      </c>
      <c r="O744" s="35">
        <v>184</v>
      </c>
      <c r="P744" s="35">
        <v>188</v>
      </c>
      <c r="Q744" s="38" t="str">
        <f t="shared" si="11"/>
        <v>Weekday</v>
      </c>
    </row>
    <row r="745" spans="1:17">
      <c r="A745" s="35">
        <v>744</v>
      </c>
      <c r="B745" s="36">
        <v>40577</v>
      </c>
      <c r="C745" s="35">
        <v>1</v>
      </c>
      <c r="D745" s="35">
        <v>0</v>
      </c>
      <c r="E745" s="35">
        <v>2</v>
      </c>
      <c r="F745" s="35">
        <v>9</v>
      </c>
      <c r="G745" s="35" t="b">
        <v>0</v>
      </c>
      <c r="H745" s="35">
        <v>4</v>
      </c>
      <c r="I745" s="35">
        <v>1</v>
      </c>
      <c r="J745" s="35">
        <v>0.16</v>
      </c>
      <c r="K745" s="35">
        <v>0.13639999999999999</v>
      </c>
      <c r="L745" s="35">
        <v>0.47</v>
      </c>
      <c r="M745" s="35">
        <v>0.29849999999999999</v>
      </c>
      <c r="N745" s="35">
        <v>6</v>
      </c>
      <c r="O745" s="35">
        <v>127</v>
      </c>
      <c r="P745" s="35">
        <v>133</v>
      </c>
      <c r="Q745" s="38" t="str">
        <f t="shared" si="11"/>
        <v>Weekday</v>
      </c>
    </row>
    <row r="746" spans="1:17">
      <c r="A746" s="35">
        <v>745</v>
      </c>
      <c r="B746" s="36">
        <v>40577</v>
      </c>
      <c r="C746" s="35">
        <v>1</v>
      </c>
      <c r="D746" s="35">
        <v>0</v>
      </c>
      <c r="E746" s="35">
        <v>2</v>
      </c>
      <c r="F746" s="35">
        <v>10</v>
      </c>
      <c r="G746" s="35" t="b">
        <v>0</v>
      </c>
      <c r="H746" s="35">
        <v>4</v>
      </c>
      <c r="I746" s="35">
        <v>1</v>
      </c>
      <c r="J746" s="35">
        <v>0.18</v>
      </c>
      <c r="K746" s="35">
        <v>0.1515</v>
      </c>
      <c r="L746" s="35">
        <v>0.43</v>
      </c>
      <c r="M746" s="35">
        <v>0.32840000000000003</v>
      </c>
      <c r="N746" s="35">
        <v>2</v>
      </c>
      <c r="O746" s="35">
        <v>50</v>
      </c>
      <c r="P746" s="35">
        <v>52</v>
      </c>
      <c r="Q746" s="38" t="str">
        <f t="shared" si="11"/>
        <v>Weekday</v>
      </c>
    </row>
    <row r="747" spans="1:17">
      <c r="A747" s="35">
        <v>746</v>
      </c>
      <c r="B747" s="36">
        <v>40577</v>
      </c>
      <c r="C747" s="35">
        <v>1</v>
      </c>
      <c r="D747" s="35">
        <v>0</v>
      </c>
      <c r="E747" s="35">
        <v>2</v>
      </c>
      <c r="F747" s="35">
        <v>11</v>
      </c>
      <c r="G747" s="35" t="b">
        <v>0</v>
      </c>
      <c r="H747" s="35">
        <v>4</v>
      </c>
      <c r="I747" s="35">
        <v>1</v>
      </c>
      <c r="J747" s="35">
        <v>0.18</v>
      </c>
      <c r="K747" s="35">
        <v>0.13639999999999999</v>
      </c>
      <c r="L747" s="35">
        <v>0.43</v>
      </c>
      <c r="M747" s="35">
        <v>0.44779999999999998</v>
      </c>
      <c r="N747" s="35">
        <v>9</v>
      </c>
      <c r="O747" s="35">
        <v>55</v>
      </c>
      <c r="P747" s="35">
        <v>64</v>
      </c>
      <c r="Q747" s="38" t="str">
        <f t="shared" si="11"/>
        <v>Weekday</v>
      </c>
    </row>
    <row r="748" spans="1:17">
      <c r="A748" s="35">
        <v>747</v>
      </c>
      <c r="B748" s="36">
        <v>40577</v>
      </c>
      <c r="C748" s="35">
        <v>1</v>
      </c>
      <c r="D748" s="35">
        <v>0</v>
      </c>
      <c r="E748" s="35">
        <v>2</v>
      </c>
      <c r="F748" s="35">
        <v>12</v>
      </c>
      <c r="G748" s="35" t="b">
        <v>0</v>
      </c>
      <c r="H748" s="35">
        <v>4</v>
      </c>
      <c r="I748" s="35">
        <v>1</v>
      </c>
      <c r="J748" s="35">
        <v>0.2</v>
      </c>
      <c r="K748" s="35">
        <v>0.18179999999999999</v>
      </c>
      <c r="L748" s="35">
        <v>0.4</v>
      </c>
      <c r="M748" s="35">
        <v>0.35820000000000002</v>
      </c>
      <c r="N748" s="35">
        <v>2</v>
      </c>
      <c r="O748" s="35">
        <v>67</v>
      </c>
      <c r="P748" s="35">
        <v>69</v>
      </c>
      <c r="Q748" s="38" t="str">
        <f t="shared" si="11"/>
        <v>Weekday</v>
      </c>
    </row>
    <row r="749" spans="1:17">
      <c r="A749" s="35">
        <v>748</v>
      </c>
      <c r="B749" s="36">
        <v>40577</v>
      </c>
      <c r="C749" s="35">
        <v>1</v>
      </c>
      <c r="D749" s="35">
        <v>0</v>
      </c>
      <c r="E749" s="35">
        <v>2</v>
      </c>
      <c r="F749" s="35">
        <v>13</v>
      </c>
      <c r="G749" s="35" t="b">
        <v>0</v>
      </c>
      <c r="H749" s="35">
        <v>4</v>
      </c>
      <c r="I749" s="35">
        <v>1</v>
      </c>
      <c r="J749" s="35">
        <v>0.2</v>
      </c>
      <c r="K749" s="35">
        <v>0.16669999999999999</v>
      </c>
      <c r="L749" s="35">
        <v>0.4</v>
      </c>
      <c r="M749" s="35">
        <v>0.41789999999999999</v>
      </c>
      <c r="N749" s="35">
        <v>4</v>
      </c>
      <c r="O749" s="35">
        <v>47</v>
      </c>
      <c r="P749" s="35">
        <v>51</v>
      </c>
      <c r="Q749" s="38" t="str">
        <f t="shared" si="11"/>
        <v>Weekday</v>
      </c>
    </row>
    <row r="750" spans="1:17">
      <c r="A750" s="35">
        <v>749</v>
      </c>
      <c r="B750" s="36">
        <v>40577</v>
      </c>
      <c r="C750" s="35">
        <v>1</v>
      </c>
      <c r="D750" s="35">
        <v>0</v>
      </c>
      <c r="E750" s="35">
        <v>2</v>
      </c>
      <c r="F750" s="35">
        <v>14</v>
      </c>
      <c r="G750" s="35" t="b">
        <v>0</v>
      </c>
      <c r="H750" s="35">
        <v>4</v>
      </c>
      <c r="I750" s="35">
        <v>1</v>
      </c>
      <c r="J750" s="35">
        <v>0.22</v>
      </c>
      <c r="K750" s="35">
        <v>0.19700000000000001</v>
      </c>
      <c r="L750" s="35">
        <v>0.37</v>
      </c>
      <c r="M750" s="35">
        <v>0.3881</v>
      </c>
      <c r="N750" s="35">
        <v>4</v>
      </c>
      <c r="O750" s="35">
        <v>43</v>
      </c>
      <c r="P750" s="35">
        <v>47</v>
      </c>
      <c r="Q750" s="38" t="str">
        <f t="shared" si="11"/>
        <v>Weekday</v>
      </c>
    </row>
    <row r="751" spans="1:17">
      <c r="A751" s="35">
        <v>750</v>
      </c>
      <c r="B751" s="36">
        <v>40577</v>
      </c>
      <c r="C751" s="35">
        <v>1</v>
      </c>
      <c r="D751" s="35">
        <v>0</v>
      </c>
      <c r="E751" s="35">
        <v>2</v>
      </c>
      <c r="F751" s="35">
        <v>15</v>
      </c>
      <c r="G751" s="35" t="b">
        <v>0</v>
      </c>
      <c r="H751" s="35">
        <v>4</v>
      </c>
      <c r="I751" s="35">
        <v>1</v>
      </c>
      <c r="J751" s="35">
        <v>0.22</v>
      </c>
      <c r="K751" s="35">
        <v>0.19700000000000001</v>
      </c>
      <c r="L751" s="35">
        <v>0.37</v>
      </c>
      <c r="M751" s="35">
        <v>0.32840000000000003</v>
      </c>
      <c r="N751" s="35">
        <v>4</v>
      </c>
      <c r="O751" s="35">
        <v>56</v>
      </c>
      <c r="P751" s="35">
        <v>60</v>
      </c>
      <c r="Q751" s="38" t="str">
        <f t="shared" si="11"/>
        <v>Weekday</v>
      </c>
    </row>
    <row r="752" spans="1:17">
      <c r="A752" s="35">
        <v>751</v>
      </c>
      <c r="B752" s="36">
        <v>40577</v>
      </c>
      <c r="C752" s="35">
        <v>1</v>
      </c>
      <c r="D752" s="35">
        <v>0</v>
      </c>
      <c r="E752" s="35">
        <v>2</v>
      </c>
      <c r="F752" s="35">
        <v>16</v>
      </c>
      <c r="G752" s="35" t="b">
        <v>0</v>
      </c>
      <c r="H752" s="35">
        <v>4</v>
      </c>
      <c r="I752" s="35">
        <v>1</v>
      </c>
      <c r="J752" s="35">
        <v>0.22</v>
      </c>
      <c r="K752" s="35">
        <v>0.21210000000000001</v>
      </c>
      <c r="L752" s="35">
        <v>0.37</v>
      </c>
      <c r="M752" s="35">
        <v>0.25369999999999998</v>
      </c>
      <c r="N752" s="35">
        <v>5</v>
      </c>
      <c r="O752" s="35">
        <v>73</v>
      </c>
      <c r="P752" s="35">
        <v>78</v>
      </c>
      <c r="Q752" s="38" t="str">
        <f t="shared" si="11"/>
        <v>Weekday</v>
      </c>
    </row>
    <row r="753" spans="1:17">
      <c r="A753" s="35">
        <v>752</v>
      </c>
      <c r="B753" s="36">
        <v>40577</v>
      </c>
      <c r="C753" s="35">
        <v>1</v>
      </c>
      <c r="D753" s="35">
        <v>0</v>
      </c>
      <c r="E753" s="35">
        <v>2</v>
      </c>
      <c r="F753" s="35">
        <v>17</v>
      </c>
      <c r="G753" s="35" t="b">
        <v>0</v>
      </c>
      <c r="H753" s="35">
        <v>4</v>
      </c>
      <c r="I753" s="35">
        <v>1</v>
      </c>
      <c r="J753" s="35">
        <v>0.2</v>
      </c>
      <c r="K753" s="35">
        <v>0.19700000000000001</v>
      </c>
      <c r="L753" s="35">
        <v>0.4</v>
      </c>
      <c r="M753" s="35">
        <v>0.19400000000000001</v>
      </c>
      <c r="N753" s="35">
        <v>5</v>
      </c>
      <c r="O753" s="35">
        <v>170</v>
      </c>
      <c r="P753" s="35">
        <v>175</v>
      </c>
      <c r="Q753" s="38" t="str">
        <f t="shared" si="11"/>
        <v>Weekday</v>
      </c>
    </row>
    <row r="754" spans="1:17">
      <c r="A754" s="35">
        <v>753</v>
      </c>
      <c r="B754" s="36">
        <v>40577</v>
      </c>
      <c r="C754" s="35">
        <v>1</v>
      </c>
      <c r="D754" s="35">
        <v>0</v>
      </c>
      <c r="E754" s="35">
        <v>2</v>
      </c>
      <c r="F754" s="35">
        <v>18</v>
      </c>
      <c r="G754" s="35" t="b">
        <v>0</v>
      </c>
      <c r="H754" s="35">
        <v>4</v>
      </c>
      <c r="I754" s="35">
        <v>1</v>
      </c>
      <c r="J754" s="35">
        <v>0.2</v>
      </c>
      <c r="K754" s="35">
        <v>0.21210000000000001</v>
      </c>
      <c r="L754" s="35">
        <v>0.4</v>
      </c>
      <c r="M754" s="35">
        <v>0.16420000000000001</v>
      </c>
      <c r="N754" s="35">
        <v>2</v>
      </c>
      <c r="O754" s="35">
        <v>145</v>
      </c>
      <c r="P754" s="35">
        <v>147</v>
      </c>
      <c r="Q754" s="38" t="str">
        <f t="shared" si="11"/>
        <v>Weekday</v>
      </c>
    </row>
    <row r="755" spans="1:17">
      <c r="A755" s="35">
        <v>754</v>
      </c>
      <c r="B755" s="36">
        <v>40577</v>
      </c>
      <c r="C755" s="35">
        <v>1</v>
      </c>
      <c r="D755" s="35">
        <v>0</v>
      </c>
      <c r="E755" s="35">
        <v>2</v>
      </c>
      <c r="F755" s="35">
        <v>19</v>
      </c>
      <c r="G755" s="35" t="b">
        <v>0</v>
      </c>
      <c r="H755" s="35">
        <v>4</v>
      </c>
      <c r="I755" s="35">
        <v>1</v>
      </c>
      <c r="J755" s="35">
        <v>0.2</v>
      </c>
      <c r="K755" s="35">
        <v>0.2576</v>
      </c>
      <c r="L755" s="35">
        <v>0.4</v>
      </c>
      <c r="M755" s="35">
        <v>0</v>
      </c>
      <c r="N755" s="35">
        <v>4</v>
      </c>
      <c r="O755" s="35">
        <v>92</v>
      </c>
      <c r="P755" s="35">
        <v>96</v>
      </c>
      <c r="Q755" s="38" t="str">
        <f t="shared" si="11"/>
        <v>Weekday</v>
      </c>
    </row>
    <row r="756" spans="1:17">
      <c r="A756" s="35">
        <v>755</v>
      </c>
      <c r="B756" s="36">
        <v>40577</v>
      </c>
      <c r="C756" s="35">
        <v>1</v>
      </c>
      <c r="D756" s="35">
        <v>0</v>
      </c>
      <c r="E756" s="35">
        <v>2</v>
      </c>
      <c r="F756" s="35">
        <v>20</v>
      </c>
      <c r="G756" s="35" t="b">
        <v>0</v>
      </c>
      <c r="H756" s="35">
        <v>4</v>
      </c>
      <c r="I756" s="35">
        <v>1</v>
      </c>
      <c r="J756" s="35">
        <v>0.2</v>
      </c>
      <c r="K756" s="35">
        <v>0.2273</v>
      </c>
      <c r="L756" s="35">
        <v>0.47</v>
      </c>
      <c r="M756" s="35">
        <v>8.9599999999999999E-2</v>
      </c>
      <c r="N756" s="35">
        <v>1</v>
      </c>
      <c r="O756" s="35">
        <v>108</v>
      </c>
      <c r="P756" s="35">
        <v>109</v>
      </c>
      <c r="Q756" s="38" t="str">
        <f t="shared" si="11"/>
        <v>Weekday</v>
      </c>
    </row>
    <row r="757" spans="1:17">
      <c r="A757" s="35">
        <v>756</v>
      </c>
      <c r="B757" s="36">
        <v>40577</v>
      </c>
      <c r="C757" s="35">
        <v>1</v>
      </c>
      <c r="D757" s="35">
        <v>0</v>
      </c>
      <c r="E757" s="35">
        <v>2</v>
      </c>
      <c r="F757" s="35">
        <v>21</v>
      </c>
      <c r="G757" s="35" t="b">
        <v>0</v>
      </c>
      <c r="H757" s="35">
        <v>4</v>
      </c>
      <c r="I757" s="35">
        <v>1</v>
      </c>
      <c r="J757" s="35">
        <v>0.18</v>
      </c>
      <c r="K757" s="35">
        <v>0.21210000000000001</v>
      </c>
      <c r="L757" s="35">
        <v>0.55000000000000004</v>
      </c>
      <c r="M757" s="35">
        <v>0.1045</v>
      </c>
      <c r="N757" s="35">
        <v>1</v>
      </c>
      <c r="O757" s="35">
        <v>53</v>
      </c>
      <c r="P757" s="35">
        <v>54</v>
      </c>
      <c r="Q757" s="38" t="str">
        <f t="shared" si="11"/>
        <v>Weekday</v>
      </c>
    </row>
    <row r="758" spans="1:17">
      <c r="A758" s="35">
        <v>757</v>
      </c>
      <c r="B758" s="36">
        <v>40577</v>
      </c>
      <c r="C758" s="35">
        <v>1</v>
      </c>
      <c r="D758" s="35">
        <v>0</v>
      </c>
      <c r="E758" s="35">
        <v>2</v>
      </c>
      <c r="F758" s="35">
        <v>22</v>
      </c>
      <c r="G758" s="35" t="b">
        <v>0</v>
      </c>
      <c r="H758" s="35">
        <v>4</v>
      </c>
      <c r="I758" s="35">
        <v>1</v>
      </c>
      <c r="J758" s="35">
        <v>0.18</v>
      </c>
      <c r="K758" s="35">
        <v>0.21210000000000001</v>
      </c>
      <c r="L758" s="35">
        <v>0.51</v>
      </c>
      <c r="M758" s="35">
        <v>8.9599999999999999E-2</v>
      </c>
      <c r="N758" s="35">
        <v>2</v>
      </c>
      <c r="O758" s="35">
        <v>39</v>
      </c>
      <c r="P758" s="35">
        <v>41</v>
      </c>
      <c r="Q758" s="38" t="str">
        <f t="shared" si="11"/>
        <v>Weekday</v>
      </c>
    </row>
    <row r="759" spans="1:17">
      <c r="A759" s="35">
        <v>758</v>
      </c>
      <c r="B759" s="36">
        <v>40577</v>
      </c>
      <c r="C759" s="35">
        <v>1</v>
      </c>
      <c r="D759" s="35">
        <v>0</v>
      </c>
      <c r="E759" s="35">
        <v>2</v>
      </c>
      <c r="F759" s="35">
        <v>23</v>
      </c>
      <c r="G759" s="35" t="b">
        <v>0</v>
      </c>
      <c r="H759" s="35">
        <v>4</v>
      </c>
      <c r="I759" s="35">
        <v>1</v>
      </c>
      <c r="J759" s="35">
        <v>0.2</v>
      </c>
      <c r="K759" s="35">
        <v>0.2273</v>
      </c>
      <c r="L759" s="35">
        <v>0.47</v>
      </c>
      <c r="M759" s="35">
        <v>0.1045</v>
      </c>
      <c r="N759" s="35">
        <v>4</v>
      </c>
      <c r="O759" s="35">
        <v>34</v>
      </c>
      <c r="P759" s="35">
        <v>38</v>
      </c>
      <c r="Q759" s="38" t="str">
        <f t="shared" si="11"/>
        <v>Weekday</v>
      </c>
    </row>
    <row r="760" spans="1:17">
      <c r="A760" s="35">
        <v>759</v>
      </c>
      <c r="B760" s="36">
        <v>40578</v>
      </c>
      <c r="C760" s="35">
        <v>1</v>
      </c>
      <c r="D760" s="35">
        <v>0</v>
      </c>
      <c r="E760" s="35">
        <v>2</v>
      </c>
      <c r="F760" s="35">
        <v>0</v>
      </c>
      <c r="G760" s="35" t="b">
        <v>0</v>
      </c>
      <c r="H760" s="35">
        <v>5</v>
      </c>
      <c r="I760" s="35">
        <v>2</v>
      </c>
      <c r="J760" s="35">
        <v>0.2</v>
      </c>
      <c r="K760" s="35">
        <v>0.2576</v>
      </c>
      <c r="L760" s="35">
        <v>0.44</v>
      </c>
      <c r="M760" s="35">
        <v>0</v>
      </c>
      <c r="N760" s="35">
        <v>3</v>
      </c>
      <c r="O760" s="35">
        <v>10</v>
      </c>
      <c r="P760" s="35">
        <v>13</v>
      </c>
      <c r="Q760" s="38" t="str">
        <f t="shared" si="11"/>
        <v>Weekday</v>
      </c>
    </row>
    <row r="761" spans="1:17">
      <c r="A761" s="35">
        <v>760</v>
      </c>
      <c r="B761" s="36">
        <v>40578</v>
      </c>
      <c r="C761" s="35">
        <v>1</v>
      </c>
      <c r="D761" s="35">
        <v>0</v>
      </c>
      <c r="E761" s="35">
        <v>2</v>
      </c>
      <c r="F761" s="35">
        <v>1</v>
      </c>
      <c r="G761" s="35" t="b">
        <v>0</v>
      </c>
      <c r="H761" s="35">
        <v>5</v>
      </c>
      <c r="I761" s="35">
        <v>2</v>
      </c>
      <c r="J761" s="35">
        <v>0.16</v>
      </c>
      <c r="K761" s="35">
        <v>0.2273</v>
      </c>
      <c r="L761" s="35">
        <v>0.59</v>
      </c>
      <c r="M761" s="35">
        <v>0</v>
      </c>
      <c r="N761" s="35">
        <v>0</v>
      </c>
      <c r="O761" s="35">
        <v>7</v>
      </c>
      <c r="P761" s="35">
        <v>7</v>
      </c>
      <c r="Q761" s="38" t="str">
        <f t="shared" si="11"/>
        <v>Weekday</v>
      </c>
    </row>
    <row r="762" spans="1:17">
      <c r="A762" s="35">
        <v>761</v>
      </c>
      <c r="B762" s="36">
        <v>40578</v>
      </c>
      <c r="C762" s="35">
        <v>1</v>
      </c>
      <c r="D762" s="35">
        <v>0</v>
      </c>
      <c r="E762" s="35">
        <v>2</v>
      </c>
      <c r="F762" s="35">
        <v>2</v>
      </c>
      <c r="G762" s="35" t="b">
        <v>0</v>
      </c>
      <c r="H762" s="35">
        <v>5</v>
      </c>
      <c r="I762" s="35">
        <v>2</v>
      </c>
      <c r="J762" s="35">
        <v>0.14000000000000001</v>
      </c>
      <c r="K762" s="35">
        <v>0.16669999999999999</v>
      </c>
      <c r="L762" s="35">
        <v>0.63</v>
      </c>
      <c r="M762" s="35">
        <v>0.1045</v>
      </c>
      <c r="N762" s="35">
        <v>0</v>
      </c>
      <c r="O762" s="35">
        <v>1</v>
      </c>
      <c r="P762" s="35">
        <v>1</v>
      </c>
      <c r="Q762" s="38" t="str">
        <f t="shared" si="11"/>
        <v>Weekday</v>
      </c>
    </row>
    <row r="763" spans="1:17">
      <c r="A763" s="35">
        <v>762</v>
      </c>
      <c r="B763" s="36">
        <v>40578</v>
      </c>
      <c r="C763" s="35">
        <v>1</v>
      </c>
      <c r="D763" s="35">
        <v>0</v>
      </c>
      <c r="E763" s="35">
        <v>2</v>
      </c>
      <c r="F763" s="35">
        <v>3</v>
      </c>
      <c r="G763" s="35" t="b">
        <v>0</v>
      </c>
      <c r="H763" s="35">
        <v>5</v>
      </c>
      <c r="I763" s="35">
        <v>2</v>
      </c>
      <c r="J763" s="35">
        <v>0.14000000000000001</v>
      </c>
      <c r="K763" s="35">
        <v>0.16669999999999999</v>
      </c>
      <c r="L763" s="35">
        <v>0.63</v>
      </c>
      <c r="M763" s="35">
        <v>0.1045</v>
      </c>
      <c r="N763" s="35">
        <v>0</v>
      </c>
      <c r="O763" s="35">
        <v>1</v>
      </c>
      <c r="P763" s="35">
        <v>1</v>
      </c>
      <c r="Q763" s="38" t="str">
        <f t="shared" si="11"/>
        <v>Weekday</v>
      </c>
    </row>
    <row r="764" spans="1:17">
      <c r="A764" s="35">
        <v>763</v>
      </c>
      <c r="B764" s="36">
        <v>40578</v>
      </c>
      <c r="C764" s="35">
        <v>1</v>
      </c>
      <c r="D764" s="35">
        <v>0</v>
      </c>
      <c r="E764" s="35">
        <v>2</v>
      </c>
      <c r="F764" s="35">
        <v>5</v>
      </c>
      <c r="G764" s="35" t="b">
        <v>0</v>
      </c>
      <c r="H764" s="35">
        <v>5</v>
      </c>
      <c r="I764" s="35">
        <v>2</v>
      </c>
      <c r="J764" s="35">
        <v>0.14000000000000001</v>
      </c>
      <c r="K764" s="35">
        <v>0.1515</v>
      </c>
      <c r="L764" s="35">
        <v>0.63</v>
      </c>
      <c r="M764" s="35">
        <v>0.1343</v>
      </c>
      <c r="N764" s="35">
        <v>0</v>
      </c>
      <c r="O764" s="35">
        <v>7</v>
      </c>
      <c r="P764" s="35">
        <v>7</v>
      </c>
      <c r="Q764" s="38" t="str">
        <f t="shared" si="11"/>
        <v>Weekday</v>
      </c>
    </row>
    <row r="765" spans="1:17">
      <c r="A765" s="35">
        <v>764</v>
      </c>
      <c r="B765" s="36">
        <v>40578</v>
      </c>
      <c r="C765" s="35">
        <v>1</v>
      </c>
      <c r="D765" s="35">
        <v>0</v>
      </c>
      <c r="E765" s="35">
        <v>2</v>
      </c>
      <c r="F765" s="35">
        <v>6</v>
      </c>
      <c r="G765" s="35" t="b">
        <v>0</v>
      </c>
      <c r="H765" s="35">
        <v>5</v>
      </c>
      <c r="I765" s="35">
        <v>2</v>
      </c>
      <c r="J765" s="35">
        <v>0.16</v>
      </c>
      <c r="K765" s="35">
        <v>0.2273</v>
      </c>
      <c r="L765" s="35">
        <v>0.55000000000000004</v>
      </c>
      <c r="M765" s="35">
        <v>0</v>
      </c>
      <c r="N765" s="35">
        <v>2</v>
      </c>
      <c r="O765" s="35">
        <v>26</v>
      </c>
      <c r="P765" s="35">
        <v>28</v>
      </c>
      <c r="Q765" s="38" t="str">
        <f t="shared" si="11"/>
        <v>Weekday</v>
      </c>
    </row>
    <row r="766" spans="1:17">
      <c r="A766" s="35">
        <v>765</v>
      </c>
      <c r="B766" s="36">
        <v>40578</v>
      </c>
      <c r="C766" s="35">
        <v>1</v>
      </c>
      <c r="D766" s="35">
        <v>0</v>
      </c>
      <c r="E766" s="35">
        <v>2</v>
      </c>
      <c r="F766" s="35">
        <v>7</v>
      </c>
      <c r="G766" s="35" t="b">
        <v>0</v>
      </c>
      <c r="H766" s="35">
        <v>5</v>
      </c>
      <c r="I766" s="35">
        <v>1</v>
      </c>
      <c r="J766" s="35">
        <v>0.14000000000000001</v>
      </c>
      <c r="K766" s="35">
        <v>0.21210000000000001</v>
      </c>
      <c r="L766" s="35">
        <v>0.59</v>
      </c>
      <c r="M766" s="35">
        <v>0</v>
      </c>
      <c r="N766" s="35">
        <v>0</v>
      </c>
      <c r="O766" s="35">
        <v>87</v>
      </c>
      <c r="P766" s="35">
        <v>87</v>
      </c>
      <c r="Q766" s="38" t="str">
        <f t="shared" si="11"/>
        <v>Weekday</v>
      </c>
    </row>
    <row r="767" spans="1:17">
      <c r="A767" s="35">
        <v>766</v>
      </c>
      <c r="B767" s="36">
        <v>40578</v>
      </c>
      <c r="C767" s="35">
        <v>1</v>
      </c>
      <c r="D767" s="35">
        <v>0</v>
      </c>
      <c r="E767" s="35">
        <v>2</v>
      </c>
      <c r="F767" s="35">
        <v>8</v>
      </c>
      <c r="G767" s="35" t="b">
        <v>0</v>
      </c>
      <c r="H767" s="35">
        <v>5</v>
      </c>
      <c r="I767" s="35">
        <v>1</v>
      </c>
      <c r="J767" s="35">
        <v>0.14000000000000001</v>
      </c>
      <c r="K767" s="35">
        <v>0.1515</v>
      </c>
      <c r="L767" s="35">
        <v>0.74</v>
      </c>
      <c r="M767" s="35">
        <v>0.1343</v>
      </c>
      <c r="N767" s="35">
        <v>3</v>
      </c>
      <c r="O767" s="35">
        <v>217</v>
      </c>
      <c r="P767" s="35">
        <v>220</v>
      </c>
      <c r="Q767" s="38" t="str">
        <f t="shared" si="11"/>
        <v>Weekday</v>
      </c>
    </row>
    <row r="768" spans="1:17">
      <c r="A768" s="35">
        <v>767</v>
      </c>
      <c r="B768" s="36">
        <v>40578</v>
      </c>
      <c r="C768" s="35">
        <v>1</v>
      </c>
      <c r="D768" s="35">
        <v>0</v>
      </c>
      <c r="E768" s="35">
        <v>2</v>
      </c>
      <c r="F768" s="35">
        <v>9</v>
      </c>
      <c r="G768" s="35" t="b">
        <v>0</v>
      </c>
      <c r="H768" s="35">
        <v>5</v>
      </c>
      <c r="I768" s="35">
        <v>2</v>
      </c>
      <c r="J768" s="35">
        <v>0.16</v>
      </c>
      <c r="K768" s="35">
        <v>0.18179999999999999</v>
      </c>
      <c r="L768" s="35">
        <v>0.8</v>
      </c>
      <c r="M768" s="35">
        <v>0.1343</v>
      </c>
      <c r="N768" s="35">
        <v>3</v>
      </c>
      <c r="O768" s="35">
        <v>124</v>
      </c>
      <c r="P768" s="35">
        <v>127</v>
      </c>
      <c r="Q768" s="38" t="str">
        <f t="shared" si="11"/>
        <v>Weekday</v>
      </c>
    </row>
    <row r="769" spans="1:17">
      <c r="A769" s="35">
        <v>768</v>
      </c>
      <c r="B769" s="36">
        <v>40578</v>
      </c>
      <c r="C769" s="35">
        <v>1</v>
      </c>
      <c r="D769" s="35">
        <v>0</v>
      </c>
      <c r="E769" s="35">
        <v>2</v>
      </c>
      <c r="F769" s="35">
        <v>10</v>
      </c>
      <c r="G769" s="35" t="b">
        <v>0</v>
      </c>
      <c r="H769" s="35">
        <v>5</v>
      </c>
      <c r="I769" s="35">
        <v>2</v>
      </c>
      <c r="J769" s="35">
        <v>0.2</v>
      </c>
      <c r="K769" s="35">
        <v>0.21210000000000001</v>
      </c>
      <c r="L769" s="35">
        <v>0.51</v>
      </c>
      <c r="M769" s="35">
        <v>0.1343</v>
      </c>
      <c r="N769" s="35">
        <v>5</v>
      </c>
      <c r="O769" s="35">
        <v>46</v>
      </c>
      <c r="P769" s="35">
        <v>51</v>
      </c>
      <c r="Q769" s="38" t="str">
        <f t="shared" si="11"/>
        <v>Weekday</v>
      </c>
    </row>
    <row r="770" spans="1:17">
      <c r="A770" s="35">
        <v>769</v>
      </c>
      <c r="B770" s="36">
        <v>40578</v>
      </c>
      <c r="C770" s="35">
        <v>1</v>
      </c>
      <c r="D770" s="35">
        <v>0</v>
      </c>
      <c r="E770" s="35">
        <v>2</v>
      </c>
      <c r="F770" s="35">
        <v>11</v>
      </c>
      <c r="G770" s="35" t="b">
        <v>0</v>
      </c>
      <c r="H770" s="35">
        <v>5</v>
      </c>
      <c r="I770" s="35">
        <v>1</v>
      </c>
      <c r="J770" s="35">
        <v>0.22</v>
      </c>
      <c r="K770" s="35">
        <v>0.2273</v>
      </c>
      <c r="L770" s="35">
        <v>0.51</v>
      </c>
      <c r="M770" s="35">
        <v>0.16420000000000001</v>
      </c>
      <c r="N770" s="35">
        <v>3</v>
      </c>
      <c r="O770" s="35">
        <v>61</v>
      </c>
      <c r="P770" s="35">
        <v>64</v>
      </c>
      <c r="Q770" s="38" t="str">
        <f t="shared" ref="Q770:Q833" si="12">IF(H770&gt;=6,"Weekend","Weekday")</f>
        <v>Weekday</v>
      </c>
    </row>
    <row r="771" spans="1:17">
      <c r="A771" s="35">
        <v>770</v>
      </c>
      <c r="B771" s="36">
        <v>40578</v>
      </c>
      <c r="C771" s="35">
        <v>1</v>
      </c>
      <c r="D771" s="35">
        <v>0</v>
      </c>
      <c r="E771" s="35">
        <v>2</v>
      </c>
      <c r="F771" s="35">
        <v>12</v>
      </c>
      <c r="G771" s="35" t="b">
        <v>0</v>
      </c>
      <c r="H771" s="35">
        <v>5</v>
      </c>
      <c r="I771" s="35">
        <v>2</v>
      </c>
      <c r="J771" s="35">
        <v>0.24</v>
      </c>
      <c r="K771" s="35">
        <v>0.2424</v>
      </c>
      <c r="L771" s="35">
        <v>0.48</v>
      </c>
      <c r="M771" s="35">
        <v>0.16420000000000001</v>
      </c>
      <c r="N771" s="35">
        <v>8</v>
      </c>
      <c r="O771" s="35">
        <v>78</v>
      </c>
      <c r="P771" s="35">
        <v>86</v>
      </c>
      <c r="Q771" s="38" t="str">
        <f t="shared" si="12"/>
        <v>Weekday</v>
      </c>
    </row>
    <row r="772" spans="1:17">
      <c r="A772" s="35">
        <v>771</v>
      </c>
      <c r="B772" s="36">
        <v>40578</v>
      </c>
      <c r="C772" s="35">
        <v>1</v>
      </c>
      <c r="D772" s="35">
        <v>0</v>
      </c>
      <c r="E772" s="35">
        <v>2</v>
      </c>
      <c r="F772" s="35">
        <v>13</v>
      </c>
      <c r="G772" s="35" t="b">
        <v>0</v>
      </c>
      <c r="H772" s="35">
        <v>5</v>
      </c>
      <c r="I772" s="35">
        <v>2</v>
      </c>
      <c r="J772" s="35">
        <v>0.26</v>
      </c>
      <c r="K772" s="35">
        <v>0.2576</v>
      </c>
      <c r="L772" s="35">
        <v>0.5</v>
      </c>
      <c r="M772" s="35">
        <v>0.22389999999999999</v>
      </c>
      <c r="N772" s="35">
        <v>9</v>
      </c>
      <c r="O772" s="35">
        <v>73</v>
      </c>
      <c r="P772" s="35">
        <v>82</v>
      </c>
      <c r="Q772" s="38" t="str">
        <f t="shared" si="12"/>
        <v>Weekday</v>
      </c>
    </row>
    <row r="773" spans="1:17">
      <c r="A773" s="35">
        <v>772</v>
      </c>
      <c r="B773" s="36">
        <v>40578</v>
      </c>
      <c r="C773" s="35">
        <v>1</v>
      </c>
      <c r="D773" s="35">
        <v>0</v>
      </c>
      <c r="E773" s="35">
        <v>2</v>
      </c>
      <c r="F773" s="35">
        <v>14</v>
      </c>
      <c r="G773" s="35" t="b">
        <v>0</v>
      </c>
      <c r="H773" s="35">
        <v>5</v>
      </c>
      <c r="I773" s="35">
        <v>2</v>
      </c>
      <c r="J773" s="35">
        <v>0.28000000000000003</v>
      </c>
      <c r="K773" s="35">
        <v>0.2727</v>
      </c>
      <c r="L773" s="35">
        <v>0.45</v>
      </c>
      <c r="M773" s="35">
        <v>0.16420000000000001</v>
      </c>
      <c r="N773" s="35">
        <v>15</v>
      </c>
      <c r="O773" s="35">
        <v>76</v>
      </c>
      <c r="P773" s="35">
        <v>91</v>
      </c>
      <c r="Q773" s="38" t="str">
        <f t="shared" si="12"/>
        <v>Weekday</v>
      </c>
    </row>
    <row r="774" spans="1:17">
      <c r="A774" s="35">
        <v>773</v>
      </c>
      <c r="B774" s="36">
        <v>40578</v>
      </c>
      <c r="C774" s="35">
        <v>1</v>
      </c>
      <c r="D774" s="35">
        <v>0</v>
      </c>
      <c r="E774" s="35">
        <v>2</v>
      </c>
      <c r="F774" s="35">
        <v>15</v>
      </c>
      <c r="G774" s="35" t="b">
        <v>0</v>
      </c>
      <c r="H774" s="35">
        <v>5</v>
      </c>
      <c r="I774" s="35">
        <v>2</v>
      </c>
      <c r="J774" s="35">
        <v>0.28000000000000003</v>
      </c>
      <c r="K774" s="35">
        <v>0.2727</v>
      </c>
      <c r="L774" s="35">
        <v>0.48</v>
      </c>
      <c r="M774" s="35">
        <v>0.25369999999999998</v>
      </c>
      <c r="N774" s="35">
        <v>9</v>
      </c>
      <c r="O774" s="35">
        <v>81</v>
      </c>
      <c r="P774" s="35">
        <v>90</v>
      </c>
      <c r="Q774" s="38" t="str">
        <f t="shared" si="12"/>
        <v>Weekday</v>
      </c>
    </row>
    <row r="775" spans="1:17">
      <c r="A775" s="35">
        <v>774</v>
      </c>
      <c r="B775" s="36">
        <v>40578</v>
      </c>
      <c r="C775" s="35">
        <v>1</v>
      </c>
      <c r="D775" s="35">
        <v>0</v>
      </c>
      <c r="E775" s="35">
        <v>2</v>
      </c>
      <c r="F775" s="35">
        <v>16</v>
      </c>
      <c r="G775" s="35" t="b">
        <v>0</v>
      </c>
      <c r="H775" s="35">
        <v>5</v>
      </c>
      <c r="I775" s="35">
        <v>2</v>
      </c>
      <c r="J775" s="35">
        <v>0.3</v>
      </c>
      <c r="K775" s="35">
        <v>0.28789999999999999</v>
      </c>
      <c r="L775" s="35">
        <v>0.42</v>
      </c>
      <c r="M775" s="35">
        <v>0.22389999999999999</v>
      </c>
      <c r="N775" s="35">
        <v>8</v>
      </c>
      <c r="O775" s="35">
        <v>91</v>
      </c>
      <c r="P775" s="35">
        <v>99</v>
      </c>
      <c r="Q775" s="38" t="str">
        <f t="shared" si="12"/>
        <v>Weekday</v>
      </c>
    </row>
    <row r="776" spans="1:17">
      <c r="A776" s="35">
        <v>775</v>
      </c>
      <c r="B776" s="36">
        <v>40578</v>
      </c>
      <c r="C776" s="35">
        <v>1</v>
      </c>
      <c r="D776" s="35">
        <v>0</v>
      </c>
      <c r="E776" s="35">
        <v>2</v>
      </c>
      <c r="F776" s="35">
        <v>17</v>
      </c>
      <c r="G776" s="35" t="b">
        <v>0</v>
      </c>
      <c r="H776" s="35">
        <v>5</v>
      </c>
      <c r="I776" s="35">
        <v>2</v>
      </c>
      <c r="J776" s="35">
        <v>0.26</v>
      </c>
      <c r="K776" s="35">
        <v>0.2727</v>
      </c>
      <c r="L776" s="35">
        <v>0.56000000000000005</v>
      </c>
      <c r="M776" s="35">
        <v>0.1343</v>
      </c>
      <c r="N776" s="35">
        <v>10</v>
      </c>
      <c r="O776" s="35">
        <v>195</v>
      </c>
      <c r="P776" s="35">
        <v>205</v>
      </c>
      <c r="Q776" s="38" t="str">
        <f t="shared" si="12"/>
        <v>Weekday</v>
      </c>
    </row>
    <row r="777" spans="1:17">
      <c r="A777" s="35">
        <v>776</v>
      </c>
      <c r="B777" s="36">
        <v>40578</v>
      </c>
      <c r="C777" s="35">
        <v>1</v>
      </c>
      <c r="D777" s="35">
        <v>0</v>
      </c>
      <c r="E777" s="35">
        <v>2</v>
      </c>
      <c r="F777" s="35">
        <v>18</v>
      </c>
      <c r="G777" s="35" t="b">
        <v>0</v>
      </c>
      <c r="H777" s="35">
        <v>5</v>
      </c>
      <c r="I777" s="35">
        <v>2</v>
      </c>
      <c r="J777" s="35">
        <v>0.24</v>
      </c>
      <c r="K777" s="35">
        <v>0.2576</v>
      </c>
      <c r="L777" s="35">
        <v>0.6</v>
      </c>
      <c r="M777" s="35">
        <v>0.1045</v>
      </c>
      <c r="N777" s="35">
        <v>3</v>
      </c>
      <c r="O777" s="35">
        <v>152</v>
      </c>
      <c r="P777" s="35">
        <v>155</v>
      </c>
      <c r="Q777" s="38" t="str">
        <f t="shared" si="12"/>
        <v>Weekday</v>
      </c>
    </row>
    <row r="778" spans="1:17">
      <c r="A778" s="35">
        <v>777</v>
      </c>
      <c r="B778" s="36">
        <v>40578</v>
      </c>
      <c r="C778" s="35">
        <v>1</v>
      </c>
      <c r="D778" s="35">
        <v>0</v>
      </c>
      <c r="E778" s="35">
        <v>2</v>
      </c>
      <c r="F778" s="35">
        <v>19</v>
      </c>
      <c r="G778" s="35" t="b">
        <v>0</v>
      </c>
      <c r="H778" s="35">
        <v>5</v>
      </c>
      <c r="I778" s="35">
        <v>2</v>
      </c>
      <c r="J778" s="35">
        <v>0.24</v>
      </c>
      <c r="K778" s="35">
        <v>0.2424</v>
      </c>
      <c r="L778" s="35">
        <v>0.65</v>
      </c>
      <c r="M778" s="35">
        <v>0.1343</v>
      </c>
      <c r="N778" s="35">
        <v>1</v>
      </c>
      <c r="O778" s="35">
        <v>102</v>
      </c>
      <c r="P778" s="35">
        <v>103</v>
      </c>
      <c r="Q778" s="38" t="str">
        <f t="shared" si="12"/>
        <v>Weekday</v>
      </c>
    </row>
    <row r="779" spans="1:17">
      <c r="A779" s="35">
        <v>778</v>
      </c>
      <c r="B779" s="36">
        <v>40578</v>
      </c>
      <c r="C779" s="35">
        <v>1</v>
      </c>
      <c r="D779" s="35">
        <v>0</v>
      </c>
      <c r="E779" s="35">
        <v>2</v>
      </c>
      <c r="F779" s="35">
        <v>20</v>
      </c>
      <c r="G779" s="35" t="b">
        <v>0</v>
      </c>
      <c r="H779" s="35">
        <v>5</v>
      </c>
      <c r="I779" s="35">
        <v>2</v>
      </c>
      <c r="J779" s="35">
        <v>0.24</v>
      </c>
      <c r="K779" s="35">
        <v>0.2424</v>
      </c>
      <c r="L779" s="35">
        <v>0.65</v>
      </c>
      <c r="M779" s="35">
        <v>0.16420000000000001</v>
      </c>
      <c r="N779" s="35">
        <v>2</v>
      </c>
      <c r="O779" s="35">
        <v>69</v>
      </c>
      <c r="P779" s="35">
        <v>71</v>
      </c>
      <c r="Q779" s="38" t="str">
        <f t="shared" si="12"/>
        <v>Weekday</v>
      </c>
    </row>
    <row r="780" spans="1:17">
      <c r="A780" s="35">
        <v>779</v>
      </c>
      <c r="B780" s="36">
        <v>40578</v>
      </c>
      <c r="C780" s="35">
        <v>1</v>
      </c>
      <c r="D780" s="35">
        <v>0</v>
      </c>
      <c r="E780" s="35">
        <v>2</v>
      </c>
      <c r="F780" s="35">
        <v>21</v>
      </c>
      <c r="G780" s="35" t="b">
        <v>0</v>
      </c>
      <c r="H780" s="35">
        <v>5</v>
      </c>
      <c r="I780" s="35">
        <v>2</v>
      </c>
      <c r="J780" s="35">
        <v>0.24</v>
      </c>
      <c r="K780" s="35">
        <v>0.2424</v>
      </c>
      <c r="L780" s="35">
        <v>0.7</v>
      </c>
      <c r="M780" s="35">
        <v>0.16420000000000001</v>
      </c>
      <c r="N780" s="35">
        <v>2</v>
      </c>
      <c r="O780" s="35">
        <v>41</v>
      </c>
      <c r="P780" s="35">
        <v>43</v>
      </c>
      <c r="Q780" s="38" t="str">
        <f t="shared" si="12"/>
        <v>Weekday</v>
      </c>
    </row>
    <row r="781" spans="1:17">
      <c r="A781" s="35">
        <v>780</v>
      </c>
      <c r="B781" s="36">
        <v>40578</v>
      </c>
      <c r="C781" s="35">
        <v>1</v>
      </c>
      <c r="D781" s="35">
        <v>0</v>
      </c>
      <c r="E781" s="35">
        <v>2</v>
      </c>
      <c r="F781" s="35">
        <v>22</v>
      </c>
      <c r="G781" s="35" t="b">
        <v>0</v>
      </c>
      <c r="H781" s="35">
        <v>5</v>
      </c>
      <c r="I781" s="35">
        <v>2</v>
      </c>
      <c r="J781" s="35">
        <v>0.24</v>
      </c>
      <c r="K781" s="35">
        <v>0.2424</v>
      </c>
      <c r="L781" s="35">
        <v>0.65</v>
      </c>
      <c r="M781" s="35">
        <v>0.16420000000000001</v>
      </c>
      <c r="N781" s="35">
        <v>1</v>
      </c>
      <c r="O781" s="35">
        <v>45</v>
      </c>
      <c r="P781" s="35">
        <v>46</v>
      </c>
      <c r="Q781" s="38" t="str">
        <f t="shared" si="12"/>
        <v>Weekday</v>
      </c>
    </row>
    <row r="782" spans="1:17">
      <c r="A782" s="35">
        <v>781</v>
      </c>
      <c r="B782" s="36">
        <v>40578</v>
      </c>
      <c r="C782" s="35">
        <v>1</v>
      </c>
      <c r="D782" s="35">
        <v>0</v>
      </c>
      <c r="E782" s="35">
        <v>2</v>
      </c>
      <c r="F782" s="35">
        <v>23</v>
      </c>
      <c r="G782" s="35" t="b">
        <v>0</v>
      </c>
      <c r="H782" s="35">
        <v>5</v>
      </c>
      <c r="I782" s="35">
        <v>2</v>
      </c>
      <c r="J782" s="35">
        <v>0.24</v>
      </c>
      <c r="K782" s="35">
        <v>0.2424</v>
      </c>
      <c r="L782" s="35">
        <v>0.7</v>
      </c>
      <c r="M782" s="35">
        <v>0.1343</v>
      </c>
      <c r="N782" s="35">
        <v>1</v>
      </c>
      <c r="O782" s="35">
        <v>30</v>
      </c>
      <c r="P782" s="35">
        <v>31</v>
      </c>
      <c r="Q782" s="38" t="str">
        <f t="shared" si="12"/>
        <v>Weekday</v>
      </c>
    </row>
    <row r="783" spans="1:17">
      <c r="A783" s="35">
        <v>782</v>
      </c>
      <c r="B783" s="36">
        <v>40579</v>
      </c>
      <c r="C783" s="35">
        <v>1</v>
      </c>
      <c r="D783" s="35">
        <v>0</v>
      </c>
      <c r="E783" s="35">
        <v>2</v>
      </c>
      <c r="F783" s="35">
        <v>0</v>
      </c>
      <c r="G783" s="35" t="b">
        <v>0</v>
      </c>
      <c r="H783" s="35">
        <v>6</v>
      </c>
      <c r="I783" s="35">
        <v>2</v>
      </c>
      <c r="J783" s="35">
        <v>0.24</v>
      </c>
      <c r="K783" s="35">
        <v>0.2424</v>
      </c>
      <c r="L783" s="35">
        <v>0.7</v>
      </c>
      <c r="M783" s="35">
        <v>0.16420000000000001</v>
      </c>
      <c r="N783" s="35">
        <v>3</v>
      </c>
      <c r="O783" s="35">
        <v>36</v>
      </c>
      <c r="P783" s="35">
        <v>39</v>
      </c>
      <c r="Q783" s="38" t="str">
        <f t="shared" si="12"/>
        <v>Weekend</v>
      </c>
    </row>
    <row r="784" spans="1:17">
      <c r="A784" s="35">
        <v>783</v>
      </c>
      <c r="B784" s="36">
        <v>40579</v>
      </c>
      <c r="C784" s="35">
        <v>1</v>
      </c>
      <c r="D784" s="35">
        <v>0</v>
      </c>
      <c r="E784" s="35">
        <v>2</v>
      </c>
      <c r="F784" s="35">
        <v>1</v>
      </c>
      <c r="G784" s="35" t="b">
        <v>0</v>
      </c>
      <c r="H784" s="35">
        <v>6</v>
      </c>
      <c r="I784" s="35">
        <v>2</v>
      </c>
      <c r="J784" s="35">
        <v>0.24</v>
      </c>
      <c r="K784" s="35">
        <v>0.2424</v>
      </c>
      <c r="L784" s="35">
        <v>0.65</v>
      </c>
      <c r="M784" s="35">
        <v>0.16420000000000001</v>
      </c>
      <c r="N784" s="35">
        <v>1</v>
      </c>
      <c r="O784" s="35">
        <v>17</v>
      </c>
      <c r="P784" s="35">
        <v>18</v>
      </c>
      <c r="Q784" s="38" t="str">
        <f t="shared" si="12"/>
        <v>Weekend</v>
      </c>
    </row>
    <row r="785" spans="1:17">
      <c r="A785" s="35">
        <v>784</v>
      </c>
      <c r="B785" s="36">
        <v>40579</v>
      </c>
      <c r="C785" s="35">
        <v>1</v>
      </c>
      <c r="D785" s="35">
        <v>0</v>
      </c>
      <c r="E785" s="35">
        <v>2</v>
      </c>
      <c r="F785" s="35">
        <v>2</v>
      </c>
      <c r="G785" s="35" t="b">
        <v>0</v>
      </c>
      <c r="H785" s="35">
        <v>6</v>
      </c>
      <c r="I785" s="35">
        <v>2</v>
      </c>
      <c r="J785" s="35">
        <v>0.24</v>
      </c>
      <c r="K785" s="35">
        <v>0.2424</v>
      </c>
      <c r="L785" s="35">
        <v>0.75</v>
      </c>
      <c r="M785" s="35">
        <v>0.16420000000000001</v>
      </c>
      <c r="N785" s="35">
        <v>5</v>
      </c>
      <c r="O785" s="35">
        <v>12</v>
      </c>
      <c r="P785" s="35">
        <v>17</v>
      </c>
      <c r="Q785" s="38" t="str">
        <f t="shared" si="12"/>
        <v>Weekend</v>
      </c>
    </row>
    <row r="786" spans="1:17">
      <c r="A786" s="35">
        <v>785</v>
      </c>
      <c r="B786" s="36">
        <v>40579</v>
      </c>
      <c r="C786" s="35">
        <v>1</v>
      </c>
      <c r="D786" s="35">
        <v>0</v>
      </c>
      <c r="E786" s="35">
        <v>2</v>
      </c>
      <c r="F786" s="35">
        <v>3</v>
      </c>
      <c r="G786" s="35" t="b">
        <v>0</v>
      </c>
      <c r="H786" s="35">
        <v>6</v>
      </c>
      <c r="I786" s="35">
        <v>2</v>
      </c>
      <c r="J786" s="35">
        <v>0.24</v>
      </c>
      <c r="K786" s="35">
        <v>0.2424</v>
      </c>
      <c r="L786" s="35">
        <v>0.75</v>
      </c>
      <c r="M786" s="35">
        <v>0.16420000000000001</v>
      </c>
      <c r="N786" s="35">
        <v>1</v>
      </c>
      <c r="O786" s="35">
        <v>10</v>
      </c>
      <c r="P786" s="35">
        <v>11</v>
      </c>
      <c r="Q786" s="38" t="str">
        <f t="shared" si="12"/>
        <v>Weekend</v>
      </c>
    </row>
    <row r="787" spans="1:17">
      <c r="A787" s="35">
        <v>786</v>
      </c>
      <c r="B787" s="36">
        <v>40579</v>
      </c>
      <c r="C787" s="35">
        <v>1</v>
      </c>
      <c r="D787" s="35">
        <v>0</v>
      </c>
      <c r="E787" s="35">
        <v>2</v>
      </c>
      <c r="F787" s="35">
        <v>4</v>
      </c>
      <c r="G787" s="35" t="b">
        <v>0</v>
      </c>
      <c r="H787" s="35">
        <v>6</v>
      </c>
      <c r="I787" s="35">
        <v>3</v>
      </c>
      <c r="J787" s="35">
        <v>0.22</v>
      </c>
      <c r="K787" s="35">
        <v>0.2273</v>
      </c>
      <c r="L787" s="35">
        <v>0.93</v>
      </c>
      <c r="M787" s="35">
        <v>0.1343</v>
      </c>
      <c r="N787" s="35">
        <v>0</v>
      </c>
      <c r="O787" s="35">
        <v>8</v>
      </c>
      <c r="P787" s="35">
        <v>8</v>
      </c>
      <c r="Q787" s="38" t="str">
        <f t="shared" si="12"/>
        <v>Weekend</v>
      </c>
    </row>
    <row r="788" spans="1:17">
      <c r="A788" s="35">
        <v>787</v>
      </c>
      <c r="B788" s="36">
        <v>40579</v>
      </c>
      <c r="C788" s="35">
        <v>1</v>
      </c>
      <c r="D788" s="35">
        <v>0</v>
      </c>
      <c r="E788" s="35">
        <v>2</v>
      </c>
      <c r="F788" s="35">
        <v>5</v>
      </c>
      <c r="G788" s="35" t="b">
        <v>0</v>
      </c>
      <c r="H788" s="35">
        <v>6</v>
      </c>
      <c r="I788" s="35">
        <v>3</v>
      </c>
      <c r="J788" s="35">
        <v>0.2</v>
      </c>
      <c r="K788" s="35">
        <v>0.2273</v>
      </c>
      <c r="L788" s="35">
        <v>1</v>
      </c>
      <c r="M788" s="35">
        <v>8.9599999999999999E-2</v>
      </c>
      <c r="N788" s="35">
        <v>0</v>
      </c>
      <c r="O788" s="35">
        <v>9</v>
      </c>
      <c r="P788" s="35">
        <v>9</v>
      </c>
      <c r="Q788" s="38" t="str">
        <f t="shared" si="12"/>
        <v>Weekend</v>
      </c>
    </row>
    <row r="789" spans="1:17">
      <c r="A789" s="35">
        <v>788</v>
      </c>
      <c r="B789" s="36">
        <v>40579</v>
      </c>
      <c r="C789" s="35">
        <v>1</v>
      </c>
      <c r="D789" s="35">
        <v>0</v>
      </c>
      <c r="E789" s="35">
        <v>2</v>
      </c>
      <c r="F789" s="35">
        <v>6</v>
      </c>
      <c r="G789" s="35" t="b">
        <v>0</v>
      </c>
      <c r="H789" s="35">
        <v>6</v>
      </c>
      <c r="I789" s="35">
        <v>3</v>
      </c>
      <c r="J789" s="35">
        <v>0.2</v>
      </c>
      <c r="K789" s="35">
        <v>0.2576</v>
      </c>
      <c r="L789" s="35">
        <v>1</v>
      </c>
      <c r="M789" s="35">
        <v>0</v>
      </c>
      <c r="N789" s="35">
        <v>0</v>
      </c>
      <c r="O789" s="35">
        <v>4</v>
      </c>
      <c r="P789" s="35">
        <v>4</v>
      </c>
      <c r="Q789" s="38" t="str">
        <f t="shared" si="12"/>
        <v>Weekend</v>
      </c>
    </row>
    <row r="790" spans="1:17">
      <c r="A790" s="35">
        <v>789</v>
      </c>
      <c r="B790" s="36">
        <v>40579</v>
      </c>
      <c r="C790" s="35">
        <v>1</v>
      </c>
      <c r="D790" s="35">
        <v>0</v>
      </c>
      <c r="E790" s="35">
        <v>2</v>
      </c>
      <c r="F790" s="35">
        <v>7</v>
      </c>
      <c r="G790" s="35" t="b">
        <v>0</v>
      </c>
      <c r="H790" s="35">
        <v>6</v>
      </c>
      <c r="I790" s="35">
        <v>3</v>
      </c>
      <c r="J790" s="35">
        <v>0.22</v>
      </c>
      <c r="K790" s="35">
        <v>0.2576</v>
      </c>
      <c r="L790" s="35">
        <v>0.93</v>
      </c>
      <c r="M790" s="35">
        <v>8.9599999999999999E-2</v>
      </c>
      <c r="N790" s="35">
        <v>0</v>
      </c>
      <c r="O790" s="35">
        <v>4</v>
      </c>
      <c r="P790" s="35">
        <v>4</v>
      </c>
      <c r="Q790" s="38" t="str">
        <f t="shared" si="12"/>
        <v>Weekend</v>
      </c>
    </row>
    <row r="791" spans="1:17">
      <c r="A791" s="35">
        <v>790</v>
      </c>
      <c r="B791" s="36">
        <v>40579</v>
      </c>
      <c r="C791" s="35">
        <v>1</v>
      </c>
      <c r="D791" s="35">
        <v>0</v>
      </c>
      <c r="E791" s="35">
        <v>2</v>
      </c>
      <c r="F791" s="35">
        <v>8</v>
      </c>
      <c r="G791" s="35" t="b">
        <v>0</v>
      </c>
      <c r="H791" s="35">
        <v>6</v>
      </c>
      <c r="I791" s="35">
        <v>3</v>
      </c>
      <c r="J791" s="35">
        <v>0.2</v>
      </c>
      <c r="K791" s="35">
        <v>0.2273</v>
      </c>
      <c r="L791" s="35">
        <v>1</v>
      </c>
      <c r="M791" s="35">
        <v>8.9599999999999999E-2</v>
      </c>
      <c r="N791" s="35">
        <v>0</v>
      </c>
      <c r="O791" s="35">
        <v>10</v>
      </c>
      <c r="P791" s="35">
        <v>10</v>
      </c>
      <c r="Q791" s="38" t="str">
        <f t="shared" si="12"/>
        <v>Weekend</v>
      </c>
    </row>
    <row r="792" spans="1:17">
      <c r="A792" s="35">
        <v>791</v>
      </c>
      <c r="B792" s="36">
        <v>40579</v>
      </c>
      <c r="C792" s="35">
        <v>1</v>
      </c>
      <c r="D792" s="35">
        <v>0</v>
      </c>
      <c r="E792" s="35">
        <v>2</v>
      </c>
      <c r="F792" s="35">
        <v>9</v>
      </c>
      <c r="G792" s="35" t="b">
        <v>0</v>
      </c>
      <c r="H792" s="35">
        <v>6</v>
      </c>
      <c r="I792" s="35">
        <v>3</v>
      </c>
      <c r="J792" s="35">
        <v>0.2</v>
      </c>
      <c r="K792" s="35">
        <v>0.2273</v>
      </c>
      <c r="L792" s="35">
        <v>1</v>
      </c>
      <c r="M792" s="35">
        <v>8.9599999999999999E-2</v>
      </c>
      <c r="N792" s="35">
        <v>3</v>
      </c>
      <c r="O792" s="35">
        <v>17</v>
      </c>
      <c r="P792" s="35">
        <v>20</v>
      </c>
      <c r="Q792" s="38" t="str">
        <f t="shared" si="12"/>
        <v>Weekend</v>
      </c>
    </row>
    <row r="793" spans="1:17">
      <c r="A793" s="35">
        <v>792</v>
      </c>
      <c r="B793" s="36">
        <v>40579</v>
      </c>
      <c r="C793" s="35">
        <v>1</v>
      </c>
      <c r="D793" s="35">
        <v>0</v>
      </c>
      <c r="E793" s="35">
        <v>2</v>
      </c>
      <c r="F793" s="35">
        <v>10</v>
      </c>
      <c r="G793" s="35" t="b">
        <v>0</v>
      </c>
      <c r="H793" s="35">
        <v>6</v>
      </c>
      <c r="I793" s="35">
        <v>3</v>
      </c>
      <c r="J793" s="35">
        <v>0.2</v>
      </c>
      <c r="K793" s="35">
        <v>0.21210000000000001</v>
      </c>
      <c r="L793" s="35">
        <v>1</v>
      </c>
      <c r="M793" s="35">
        <v>0.1343</v>
      </c>
      <c r="N793" s="35">
        <v>3</v>
      </c>
      <c r="O793" s="35">
        <v>31</v>
      </c>
      <c r="P793" s="35">
        <v>34</v>
      </c>
      <c r="Q793" s="38" t="str">
        <f t="shared" si="12"/>
        <v>Weekend</v>
      </c>
    </row>
    <row r="794" spans="1:17">
      <c r="A794" s="35">
        <v>793</v>
      </c>
      <c r="B794" s="36">
        <v>40579</v>
      </c>
      <c r="C794" s="35">
        <v>1</v>
      </c>
      <c r="D794" s="35">
        <v>0</v>
      </c>
      <c r="E794" s="35">
        <v>2</v>
      </c>
      <c r="F794" s="35">
        <v>11</v>
      </c>
      <c r="G794" s="35" t="b">
        <v>0</v>
      </c>
      <c r="H794" s="35">
        <v>6</v>
      </c>
      <c r="I794" s="35">
        <v>3</v>
      </c>
      <c r="J794" s="35">
        <v>0.22</v>
      </c>
      <c r="K794" s="35">
        <v>0.2273</v>
      </c>
      <c r="L794" s="35">
        <v>1</v>
      </c>
      <c r="M794" s="35">
        <v>0.1343</v>
      </c>
      <c r="N794" s="35">
        <v>1</v>
      </c>
      <c r="O794" s="35">
        <v>46</v>
      </c>
      <c r="P794" s="35">
        <v>47</v>
      </c>
      <c r="Q794" s="38" t="str">
        <f t="shared" si="12"/>
        <v>Weekend</v>
      </c>
    </row>
    <row r="795" spans="1:17">
      <c r="A795" s="35">
        <v>794</v>
      </c>
      <c r="B795" s="36">
        <v>40579</v>
      </c>
      <c r="C795" s="35">
        <v>1</v>
      </c>
      <c r="D795" s="35">
        <v>0</v>
      </c>
      <c r="E795" s="35">
        <v>2</v>
      </c>
      <c r="F795" s="35">
        <v>12</v>
      </c>
      <c r="G795" s="35" t="b">
        <v>0</v>
      </c>
      <c r="H795" s="35">
        <v>6</v>
      </c>
      <c r="I795" s="35">
        <v>3</v>
      </c>
      <c r="J795" s="35">
        <v>0.22</v>
      </c>
      <c r="K795" s="35">
        <v>0.2273</v>
      </c>
      <c r="L795" s="35">
        <v>1</v>
      </c>
      <c r="M795" s="35">
        <v>0.16420000000000001</v>
      </c>
      <c r="N795" s="35">
        <v>10</v>
      </c>
      <c r="O795" s="35">
        <v>42</v>
      </c>
      <c r="P795" s="35">
        <v>52</v>
      </c>
      <c r="Q795" s="38" t="str">
        <f t="shared" si="12"/>
        <v>Weekend</v>
      </c>
    </row>
    <row r="796" spans="1:17">
      <c r="A796" s="35">
        <v>795</v>
      </c>
      <c r="B796" s="36">
        <v>40579</v>
      </c>
      <c r="C796" s="35">
        <v>1</v>
      </c>
      <c r="D796" s="35">
        <v>0</v>
      </c>
      <c r="E796" s="35">
        <v>2</v>
      </c>
      <c r="F796" s="35">
        <v>13</v>
      </c>
      <c r="G796" s="35" t="b">
        <v>0</v>
      </c>
      <c r="H796" s="35">
        <v>6</v>
      </c>
      <c r="I796" s="35">
        <v>3</v>
      </c>
      <c r="J796" s="35">
        <v>0.22</v>
      </c>
      <c r="K796" s="35">
        <v>0.2273</v>
      </c>
      <c r="L796" s="35">
        <v>1</v>
      </c>
      <c r="M796" s="35">
        <v>0.16420000000000001</v>
      </c>
      <c r="N796" s="35">
        <v>10</v>
      </c>
      <c r="O796" s="35">
        <v>62</v>
      </c>
      <c r="P796" s="35">
        <v>72</v>
      </c>
      <c r="Q796" s="38" t="str">
        <f t="shared" si="12"/>
        <v>Weekend</v>
      </c>
    </row>
    <row r="797" spans="1:17">
      <c r="A797" s="35">
        <v>796</v>
      </c>
      <c r="B797" s="36">
        <v>40579</v>
      </c>
      <c r="C797" s="35">
        <v>1</v>
      </c>
      <c r="D797" s="35">
        <v>0</v>
      </c>
      <c r="E797" s="35">
        <v>2</v>
      </c>
      <c r="F797" s="35">
        <v>14</v>
      </c>
      <c r="G797" s="35" t="b">
        <v>0</v>
      </c>
      <c r="H797" s="35">
        <v>6</v>
      </c>
      <c r="I797" s="35">
        <v>3</v>
      </c>
      <c r="J797" s="35">
        <v>0.22</v>
      </c>
      <c r="K797" s="35">
        <v>0.2727</v>
      </c>
      <c r="L797" s="35">
        <v>1</v>
      </c>
      <c r="M797" s="35">
        <v>0</v>
      </c>
      <c r="N797" s="35">
        <v>5</v>
      </c>
      <c r="O797" s="35">
        <v>50</v>
      </c>
      <c r="P797" s="35">
        <v>55</v>
      </c>
      <c r="Q797" s="38" t="str">
        <f t="shared" si="12"/>
        <v>Weekend</v>
      </c>
    </row>
    <row r="798" spans="1:17">
      <c r="A798" s="35">
        <v>797</v>
      </c>
      <c r="B798" s="36">
        <v>40579</v>
      </c>
      <c r="C798" s="35">
        <v>1</v>
      </c>
      <c r="D798" s="35">
        <v>0</v>
      </c>
      <c r="E798" s="35">
        <v>2</v>
      </c>
      <c r="F798" s="35">
        <v>15</v>
      </c>
      <c r="G798" s="35" t="b">
        <v>0</v>
      </c>
      <c r="H798" s="35">
        <v>6</v>
      </c>
      <c r="I798" s="35">
        <v>3</v>
      </c>
      <c r="J798" s="35">
        <v>0.22</v>
      </c>
      <c r="K798" s="35">
        <v>0.2727</v>
      </c>
      <c r="L798" s="35">
        <v>1</v>
      </c>
      <c r="M798" s="35">
        <v>0</v>
      </c>
      <c r="N798" s="35">
        <v>11</v>
      </c>
      <c r="O798" s="35">
        <v>49</v>
      </c>
      <c r="P798" s="35">
        <v>60</v>
      </c>
      <c r="Q798" s="38" t="str">
        <f t="shared" si="12"/>
        <v>Weekend</v>
      </c>
    </row>
    <row r="799" spans="1:17">
      <c r="A799" s="35">
        <v>798</v>
      </c>
      <c r="B799" s="36">
        <v>40579</v>
      </c>
      <c r="C799" s="35">
        <v>1</v>
      </c>
      <c r="D799" s="35">
        <v>0</v>
      </c>
      <c r="E799" s="35">
        <v>2</v>
      </c>
      <c r="F799" s="35">
        <v>16</v>
      </c>
      <c r="G799" s="35" t="b">
        <v>0</v>
      </c>
      <c r="H799" s="35">
        <v>6</v>
      </c>
      <c r="I799" s="35">
        <v>3</v>
      </c>
      <c r="J799" s="35">
        <v>0.22</v>
      </c>
      <c r="K799" s="35">
        <v>0.2273</v>
      </c>
      <c r="L799" s="35">
        <v>1</v>
      </c>
      <c r="M799" s="35">
        <v>0.1343</v>
      </c>
      <c r="N799" s="35">
        <v>8</v>
      </c>
      <c r="O799" s="35">
        <v>63</v>
      </c>
      <c r="P799" s="35">
        <v>71</v>
      </c>
      <c r="Q799" s="38" t="str">
        <f t="shared" si="12"/>
        <v>Weekend</v>
      </c>
    </row>
    <row r="800" spans="1:17">
      <c r="A800" s="35">
        <v>799</v>
      </c>
      <c r="B800" s="36">
        <v>40579</v>
      </c>
      <c r="C800" s="35">
        <v>1</v>
      </c>
      <c r="D800" s="35">
        <v>0</v>
      </c>
      <c r="E800" s="35">
        <v>2</v>
      </c>
      <c r="F800" s="35">
        <v>17</v>
      </c>
      <c r="G800" s="35" t="b">
        <v>0</v>
      </c>
      <c r="H800" s="35">
        <v>6</v>
      </c>
      <c r="I800" s="35">
        <v>2</v>
      </c>
      <c r="J800" s="35">
        <v>0.24</v>
      </c>
      <c r="K800" s="35">
        <v>0.21210000000000001</v>
      </c>
      <c r="L800" s="35">
        <v>1</v>
      </c>
      <c r="M800" s="35">
        <v>0.28360000000000002</v>
      </c>
      <c r="N800" s="35">
        <v>14</v>
      </c>
      <c r="O800" s="35">
        <v>64</v>
      </c>
      <c r="P800" s="35">
        <v>78</v>
      </c>
      <c r="Q800" s="38" t="str">
        <f t="shared" si="12"/>
        <v>Weekend</v>
      </c>
    </row>
    <row r="801" spans="1:17">
      <c r="A801" s="35">
        <v>800</v>
      </c>
      <c r="B801" s="36">
        <v>40579</v>
      </c>
      <c r="C801" s="35">
        <v>1</v>
      </c>
      <c r="D801" s="35">
        <v>0</v>
      </c>
      <c r="E801" s="35">
        <v>2</v>
      </c>
      <c r="F801" s="35">
        <v>18</v>
      </c>
      <c r="G801" s="35" t="b">
        <v>0</v>
      </c>
      <c r="H801" s="35">
        <v>6</v>
      </c>
      <c r="I801" s="35">
        <v>2</v>
      </c>
      <c r="J801" s="35">
        <v>0.28000000000000003</v>
      </c>
      <c r="K801" s="35">
        <v>0.2424</v>
      </c>
      <c r="L801" s="35">
        <v>0.93</v>
      </c>
      <c r="M801" s="35">
        <v>0.44779999999999998</v>
      </c>
      <c r="N801" s="35">
        <v>2</v>
      </c>
      <c r="O801" s="35">
        <v>81</v>
      </c>
      <c r="P801" s="35">
        <v>83</v>
      </c>
      <c r="Q801" s="38" t="str">
        <f t="shared" si="12"/>
        <v>Weekend</v>
      </c>
    </row>
    <row r="802" spans="1:17">
      <c r="A802" s="35">
        <v>801</v>
      </c>
      <c r="B802" s="36">
        <v>40579</v>
      </c>
      <c r="C802" s="35">
        <v>1</v>
      </c>
      <c r="D802" s="35">
        <v>0</v>
      </c>
      <c r="E802" s="35">
        <v>2</v>
      </c>
      <c r="F802" s="35">
        <v>19</v>
      </c>
      <c r="G802" s="35" t="b">
        <v>0</v>
      </c>
      <c r="H802" s="35">
        <v>6</v>
      </c>
      <c r="I802" s="35">
        <v>2</v>
      </c>
      <c r="J802" s="35">
        <v>0.28000000000000003</v>
      </c>
      <c r="K802" s="35">
        <v>0.2424</v>
      </c>
      <c r="L802" s="35">
        <v>0.93</v>
      </c>
      <c r="M802" s="35">
        <v>0.44779999999999998</v>
      </c>
      <c r="N802" s="35">
        <v>6</v>
      </c>
      <c r="O802" s="35">
        <v>78</v>
      </c>
      <c r="P802" s="35">
        <v>84</v>
      </c>
      <c r="Q802" s="38" t="str">
        <f t="shared" si="12"/>
        <v>Weekend</v>
      </c>
    </row>
    <row r="803" spans="1:17">
      <c r="A803" s="35">
        <v>802</v>
      </c>
      <c r="B803" s="36">
        <v>40579</v>
      </c>
      <c r="C803" s="35">
        <v>1</v>
      </c>
      <c r="D803" s="35">
        <v>0</v>
      </c>
      <c r="E803" s="35">
        <v>2</v>
      </c>
      <c r="F803" s="35">
        <v>20</v>
      </c>
      <c r="G803" s="35" t="b">
        <v>0</v>
      </c>
      <c r="H803" s="35">
        <v>6</v>
      </c>
      <c r="I803" s="35">
        <v>1</v>
      </c>
      <c r="J803" s="35">
        <v>0.3</v>
      </c>
      <c r="K803" s="35">
        <v>0.28789999999999999</v>
      </c>
      <c r="L803" s="35">
        <v>0.87</v>
      </c>
      <c r="M803" s="35">
        <v>0.25369999999999998</v>
      </c>
      <c r="N803" s="35">
        <v>5</v>
      </c>
      <c r="O803" s="35">
        <v>64</v>
      </c>
      <c r="P803" s="35">
        <v>69</v>
      </c>
      <c r="Q803" s="38" t="str">
        <f t="shared" si="12"/>
        <v>Weekend</v>
      </c>
    </row>
    <row r="804" spans="1:17">
      <c r="A804" s="35">
        <v>803</v>
      </c>
      <c r="B804" s="36">
        <v>40579</v>
      </c>
      <c r="C804" s="35">
        <v>1</v>
      </c>
      <c r="D804" s="35">
        <v>0</v>
      </c>
      <c r="E804" s="35">
        <v>2</v>
      </c>
      <c r="F804" s="35">
        <v>21</v>
      </c>
      <c r="G804" s="35" t="b">
        <v>0</v>
      </c>
      <c r="H804" s="35">
        <v>6</v>
      </c>
      <c r="I804" s="35">
        <v>1</v>
      </c>
      <c r="J804" s="35">
        <v>0.26</v>
      </c>
      <c r="K804" s="35">
        <v>0.2576</v>
      </c>
      <c r="L804" s="35">
        <v>1</v>
      </c>
      <c r="M804" s="35">
        <v>0.19400000000000001</v>
      </c>
      <c r="N804" s="35">
        <v>3</v>
      </c>
      <c r="O804" s="35">
        <v>53</v>
      </c>
      <c r="P804" s="35">
        <v>56</v>
      </c>
      <c r="Q804" s="38" t="str">
        <f t="shared" si="12"/>
        <v>Weekend</v>
      </c>
    </row>
    <row r="805" spans="1:17">
      <c r="A805" s="35">
        <v>804</v>
      </c>
      <c r="B805" s="36">
        <v>40579</v>
      </c>
      <c r="C805" s="35">
        <v>1</v>
      </c>
      <c r="D805" s="35">
        <v>0</v>
      </c>
      <c r="E805" s="35">
        <v>2</v>
      </c>
      <c r="F805" s="35">
        <v>22</v>
      </c>
      <c r="G805" s="35" t="b">
        <v>0</v>
      </c>
      <c r="H805" s="35">
        <v>6</v>
      </c>
      <c r="I805" s="35">
        <v>1</v>
      </c>
      <c r="J805" s="35">
        <v>0.26</v>
      </c>
      <c r="K805" s="35">
        <v>0.2727</v>
      </c>
      <c r="L805" s="35">
        <v>0.93</v>
      </c>
      <c r="M805" s="35">
        <v>0.1343</v>
      </c>
      <c r="N805" s="35">
        <v>2</v>
      </c>
      <c r="O805" s="35">
        <v>43</v>
      </c>
      <c r="P805" s="35">
        <v>45</v>
      </c>
      <c r="Q805" s="38" t="str">
        <f t="shared" si="12"/>
        <v>Weekend</v>
      </c>
    </row>
    <row r="806" spans="1:17">
      <c r="A806" s="35">
        <v>805</v>
      </c>
      <c r="B806" s="36">
        <v>40579</v>
      </c>
      <c r="C806" s="35">
        <v>1</v>
      </c>
      <c r="D806" s="35">
        <v>0</v>
      </c>
      <c r="E806" s="35">
        <v>2</v>
      </c>
      <c r="F806" s="35">
        <v>23</v>
      </c>
      <c r="G806" s="35" t="b">
        <v>0</v>
      </c>
      <c r="H806" s="35">
        <v>6</v>
      </c>
      <c r="I806" s="35">
        <v>1</v>
      </c>
      <c r="J806" s="35">
        <v>0.26</v>
      </c>
      <c r="K806" s="35">
        <v>0.2576</v>
      </c>
      <c r="L806" s="35">
        <v>0.93</v>
      </c>
      <c r="M806" s="35">
        <v>0.22389999999999999</v>
      </c>
      <c r="N806" s="35">
        <v>7</v>
      </c>
      <c r="O806" s="35">
        <v>52</v>
      </c>
      <c r="P806" s="35">
        <v>59</v>
      </c>
      <c r="Q806" s="38" t="str">
        <f t="shared" si="12"/>
        <v>Weekend</v>
      </c>
    </row>
    <row r="807" spans="1:17">
      <c r="A807" s="35">
        <v>806</v>
      </c>
      <c r="B807" s="36">
        <v>40580</v>
      </c>
      <c r="C807" s="35">
        <v>1</v>
      </c>
      <c r="D807" s="35">
        <v>0</v>
      </c>
      <c r="E807" s="35">
        <v>2</v>
      </c>
      <c r="F807" s="35">
        <v>0</v>
      </c>
      <c r="G807" s="35" t="b">
        <v>0</v>
      </c>
      <c r="H807" s="35">
        <v>0</v>
      </c>
      <c r="I807" s="35">
        <v>1</v>
      </c>
      <c r="J807" s="35">
        <v>0.26</v>
      </c>
      <c r="K807" s="35">
        <v>0.2576</v>
      </c>
      <c r="L807" s="35">
        <v>0.7</v>
      </c>
      <c r="M807" s="35">
        <v>0.19400000000000001</v>
      </c>
      <c r="N807" s="35">
        <v>2</v>
      </c>
      <c r="O807" s="35">
        <v>37</v>
      </c>
      <c r="P807" s="35">
        <v>39</v>
      </c>
      <c r="Q807" s="38" t="str">
        <f t="shared" si="12"/>
        <v>Weekday</v>
      </c>
    </row>
    <row r="808" spans="1:17">
      <c r="A808" s="35">
        <v>807</v>
      </c>
      <c r="B808" s="36">
        <v>40580</v>
      </c>
      <c r="C808" s="35">
        <v>1</v>
      </c>
      <c r="D808" s="35">
        <v>0</v>
      </c>
      <c r="E808" s="35">
        <v>2</v>
      </c>
      <c r="F808" s="35">
        <v>1</v>
      </c>
      <c r="G808" s="35" t="b">
        <v>0</v>
      </c>
      <c r="H808" s="35">
        <v>0</v>
      </c>
      <c r="I808" s="35">
        <v>1</v>
      </c>
      <c r="J808" s="35">
        <v>0.26</v>
      </c>
      <c r="K808" s="35">
        <v>0.2273</v>
      </c>
      <c r="L808" s="35">
        <v>0.65</v>
      </c>
      <c r="M808" s="35">
        <v>0.41789999999999999</v>
      </c>
      <c r="N808" s="35">
        <v>4</v>
      </c>
      <c r="O808" s="35">
        <v>40</v>
      </c>
      <c r="P808" s="35">
        <v>44</v>
      </c>
      <c r="Q808" s="38" t="str">
        <f t="shared" si="12"/>
        <v>Weekday</v>
      </c>
    </row>
    <row r="809" spans="1:17">
      <c r="A809" s="35">
        <v>808</v>
      </c>
      <c r="B809" s="36">
        <v>40580</v>
      </c>
      <c r="C809" s="35">
        <v>1</v>
      </c>
      <c r="D809" s="35">
        <v>0</v>
      </c>
      <c r="E809" s="35">
        <v>2</v>
      </c>
      <c r="F809" s="35">
        <v>2</v>
      </c>
      <c r="G809" s="35" t="b">
        <v>0</v>
      </c>
      <c r="H809" s="35">
        <v>0</v>
      </c>
      <c r="I809" s="35">
        <v>1</v>
      </c>
      <c r="J809" s="35">
        <v>0.26</v>
      </c>
      <c r="K809" s="35">
        <v>0.2273</v>
      </c>
      <c r="L809" s="35">
        <v>0.6</v>
      </c>
      <c r="M809" s="35">
        <v>0.32840000000000003</v>
      </c>
      <c r="N809" s="35">
        <v>0</v>
      </c>
      <c r="O809" s="35">
        <v>20</v>
      </c>
      <c r="P809" s="35">
        <v>20</v>
      </c>
      <c r="Q809" s="38" t="str">
        <f t="shared" si="12"/>
        <v>Weekday</v>
      </c>
    </row>
    <row r="810" spans="1:17">
      <c r="A810" s="35">
        <v>809</v>
      </c>
      <c r="B810" s="36">
        <v>40580</v>
      </c>
      <c r="C810" s="35">
        <v>1</v>
      </c>
      <c r="D810" s="35">
        <v>0</v>
      </c>
      <c r="E810" s="35">
        <v>2</v>
      </c>
      <c r="F810" s="35">
        <v>3</v>
      </c>
      <c r="G810" s="35" t="b">
        <v>0</v>
      </c>
      <c r="H810" s="35">
        <v>0</v>
      </c>
      <c r="I810" s="35">
        <v>1</v>
      </c>
      <c r="J810" s="35">
        <v>0.26</v>
      </c>
      <c r="K810" s="35">
        <v>0.28789999999999999</v>
      </c>
      <c r="L810" s="35">
        <v>0.6</v>
      </c>
      <c r="M810" s="35">
        <v>8.9599999999999999E-2</v>
      </c>
      <c r="N810" s="35">
        <v>3</v>
      </c>
      <c r="O810" s="35">
        <v>10</v>
      </c>
      <c r="P810" s="35">
        <v>13</v>
      </c>
      <c r="Q810" s="38" t="str">
        <f t="shared" si="12"/>
        <v>Weekday</v>
      </c>
    </row>
    <row r="811" spans="1:17">
      <c r="A811" s="35">
        <v>810</v>
      </c>
      <c r="B811" s="36">
        <v>40580</v>
      </c>
      <c r="C811" s="35">
        <v>1</v>
      </c>
      <c r="D811" s="35">
        <v>0</v>
      </c>
      <c r="E811" s="35">
        <v>2</v>
      </c>
      <c r="F811" s="35">
        <v>4</v>
      </c>
      <c r="G811" s="35" t="b">
        <v>0</v>
      </c>
      <c r="H811" s="35">
        <v>0</v>
      </c>
      <c r="I811" s="35">
        <v>1</v>
      </c>
      <c r="J811" s="35">
        <v>0.26</v>
      </c>
      <c r="K811" s="35">
        <v>0.2273</v>
      </c>
      <c r="L811" s="35">
        <v>0.6</v>
      </c>
      <c r="M811" s="35">
        <v>0.35820000000000002</v>
      </c>
      <c r="N811" s="35">
        <v>0</v>
      </c>
      <c r="O811" s="35">
        <v>2</v>
      </c>
      <c r="P811" s="35">
        <v>2</v>
      </c>
      <c r="Q811" s="38" t="str">
        <f t="shared" si="12"/>
        <v>Weekday</v>
      </c>
    </row>
    <row r="812" spans="1:17">
      <c r="A812" s="35">
        <v>811</v>
      </c>
      <c r="B812" s="36">
        <v>40580</v>
      </c>
      <c r="C812" s="35">
        <v>1</v>
      </c>
      <c r="D812" s="35">
        <v>0</v>
      </c>
      <c r="E812" s="35">
        <v>2</v>
      </c>
      <c r="F812" s="35">
        <v>5</v>
      </c>
      <c r="G812" s="35" t="b">
        <v>0</v>
      </c>
      <c r="H812" s="35">
        <v>0</v>
      </c>
      <c r="I812" s="35">
        <v>1</v>
      </c>
      <c r="J812" s="35">
        <v>0.26</v>
      </c>
      <c r="K812" s="35">
        <v>0.2576</v>
      </c>
      <c r="L812" s="35">
        <v>0.6</v>
      </c>
      <c r="M812" s="35">
        <v>0.22389999999999999</v>
      </c>
      <c r="N812" s="35">
        <v>0</v>
      </c>
      <c r="O812" s="35">
        <v>1</v>
      </c>
      <c r="P812" s="35">
        <v>1</v>
      </c>
      <c r="Q812" s="38" t="str">
        <f t="shared" si="12"/>
        <v>Weekday</v>
      </c>
    </row>
    <row r="813" spans="1:17">
      <c r="A813" s="35">
        <v>812</v>
      </c>
      <c r="B813" s="36">
        <v>40580</v>
      </c>
      <c r="C813" s="35">
        <v>1</v>
      </c>
      <c r="D813" s="35">
        <v>0</v>
      </c>
      <c r="E813" s="35">
        <v>2</v>
      </c>
      <c r="F813" s="35">
        <v>6</v>
      </c>
      <c r="G813" s="35" t="b">
        <v>0</v>
      </c>
      <c r="H813" s="35">
        <v>0</v>
      </c>
      <c r="I813" s="35">
        <v>1</v>
      </c>
      <c r="J813" s="35">
        <v>0.26</v>
      </c>
      <c r="K813" s="35">
        <v>0.2576</v>
      </c>
      <c r="L813" s="35">
        <v>0.6</v>
      </c>
      <c r="M813" s="35">
        <v>0.22389999999999999</v>
      </c>
      <c r="N813" s="35">
        <v>0</v>
      </c>
      <c r="O813" s="35">
        <v>1</v>
      </c>
      <c r="P813" s="35">
        <v>1</v>
      </c>
      <c r="Q813" s="38" t="str">
        <f t="shared" si="12"/>
        <v>Weekday</v>
      </c>
    </row>
    <row r="814" spans="1:17">
      <c r="A814" s="35">
        <v>813</v>
      </c>
      <c r="B814" s="36">
        <v>40580</v>
      </c>
      <c r="C814" s="35">
        <v>1</v>
      </c>
      <c r="D814" s="35">
        <v>0</v>
      </c>
      <c r="E814" s="35">
        <v>2</v>
      </c>
      <c r="F814" s="35">
        <v>7</v>
      </c>
      <c r="G814" s="35" t="b">
        <v>0</v>
      </c>
      <c r="H814" s="35">
        <v>0</v>
      </c>
      <c r="I814" s="35">
        <v>1</v>
      </c>
      <c r="J814" s="35">
        <v>0.24</v>
      </c>
      <c r="K814" s="35">
        <v>0.2424</v>
      </c>
      <c r="L814" s="35">
        <v>0.65</v>
      </c>
      <c r="M814" s="35">
        <v>0.16420000000000001</v>
      </c>
      <c r="N814" s="35">
        <v>0</v>
      </c>
      <c r="O814" s="35">
        <v>8</v>
      </c>
      <c r="P814" s="35">
        <v>8</v>
      </c>
      <c r="Q814" s="38" t="str">
        <f t="shared" si="12"/>
        <v>Weekday</v>
      </c>
    </row>
    <row r="815" spans="1:17">
      <c r="A815" s="35">
        <v>814</v>
      </c>
      <c r="B815" s="36">
        <v>40580</v>
      </c>
      <c r="C815" s="35">
        <v>1</v>
      </c>
      <c r="D815" s="35">
        <v>0</v>
      </c>
      <c r="E815" s="35">
        <v>2</v>
      </c>
      <c r="F815" s="35">
        <v>8</v>
      </c>
      <c r="G815" s="35" t="b">
        <v>0</v>
      </c>
      <c r="H815" s="35">
        <v>0</v>
      </c>
      <c r="I815" s="35">
        <v>1</v>
      </c>
      <c r="J815" s="35">
        <v>0.24</v>
      </c>
      <c r="K815" s="35">
        <v>0.2576</v>
      </c>
      <c r="L815" s="35">
        <v>0.65</v>
      </c>
      <c r="M815" s="35">
        <v>0.1045</v>
      </c>
      <c r="N815" s="35">
        <v>2</v>
      </c>
      <c r="O815" s="35">
        <v>21</v>
      </c>
      <c r="P815" s="35">
        <v>23</v>
      </c>
      <c r="Q815" s="38" t="str">
        <f t="shared" si="12"/>
        <v>Weekday</v>
      </c>
    </row>
    <row r="816" spans="1:17">
      <c r="A816" s="35">
        <v>815</v>
      </c>
      <c r="B816" s="36">
        <v>40580</v>
      </c>
      <c r="C816" s="35">
        <v>1</v>
      </c>
      <c r="D816" s="35">
        <v>0</v>
      </c>
      <c r="E816" s="35">
        <v>2</v>
      </c>
      <c r="F816" s="35">
        <v>9</v>
      </c>
      <c r="G816" s="35" t="b">
        <v>0</v>
      </c>
      <c r="H816" s="35">
        <v>0</v>
      </c>
      <c r="I816" s="35">
        <v>1</v>
      </c>
      <c r="J816" s="35">
        <v>0.28000000000000003</v>
      </c>
      <c r="K816" s="35">
        <v>0.28789999999999999</v>
      </c>
      <c r="L816" s="35">
        <v>0.56000000000000005</v>
      </c>
      <c r="M816" s="35">
        <v>0.1045</v>
      </c>
      <c r="N816" s="35">
        <v>7</v>
      </c>
      <c r="O816" s="35">
        <v>38</v>
      </c>
      <c r="P816" s="35">
        <v>45</v>
      </c>
      <c r="Q816" s="38" t="str">
        <f t="shared" si="12"/>
        <v>Weekday</v>
      </c>
    </row>
    <row r="817" spans="1:17">
      <c r="A817" s="35">
        <v>816</v>
      </c>
      <c r="B817" s="36">
        <v>40580</v>
      </c>
      <c r="C817" s="35">
        <v>1</v>
      </c>
      <c r="D817" s="35">
        <v>0</v>
      </c>
      <c r="E817" s="35">
        <v>2</v>
      </c>
      <c r="F817" s="35">
        <v>10</v>
      </c>
      <c r="G817" s="35" t="b">
        <v>0</v>
      </c>
      <c r="H817" s="35">
        <v>0</v>
      </c>
      <c r="I817" s="35">
        <v>1</v>
      </c>
      <c r="J817" s="35">
        <v>0.3</v>
      </c>
      <c r="K817" s="35">
        <v>0.28789999999999999</v>
      </c>
      <c r="L817" s="35">
        <v>0.52</v>
      </c>
      <c r="M817" s="35">
        <v>0.25369999999999998</v>
      </c>
      <c r="N817" s="35">
        <v>15</v>
      </c>
      <c r="O817" s="35">
        <v>74</v>
      </c>
      <c r="P817" s="35">
        <v>89</v>
      </c>
      <c r="Q817" s="38" t="str">
        <f t="shared" si="12"/>
        <v>Weekday</v>
      </c>
    </row>
    <row r="818" spans="1:17">
      <c r="A818" s="35">
        <v>817</v>
      </c>
      <c r="B818" s="36">
        <v>40580</v>
      </c>
      <c r="C818" s="35">
        <v>1</v>
      </c>
      <c r="D818" s="35">
        <v>0</v>
      </c>
      <c r="E818" s="35">
        <v>2</v>
      </c>
      <c r="F818" s="35">
        <v>11</v>
      </c>
      <c r="G818" s="35" t="b">
        <v>0</v>
      </c>
      <c r="H818" s="35">
        <v>0</v>
      </c>
      <c r="I818" s="35">
        <v>1</v>
      </c>
      <c r="J818" s="35">
        <v>0.32</v>
      </c>
      <c r="K818" s="35">
        <v>0.30299999999999999</v>
      </c>
      <c r="L818" s="35">
        <v>0.49</v>
      </c>
      <c r="M818" s="35">
        <v>0.25369999999999998</v>
      </c>
      <c r="N818" s="35">
        <v>28</v>
      </c>
      <c r="O818" s="35">
        <v>89</v>
      </c>
      <c r="P818" s="35">
        <v>117</v>
      </c>
      <c r="Q818" s="38" t="str">
        <f t="shared" si="12"/>
        <v>Weekday</v>
      </c>
    </row>
    <row r="819" spans="1:17">
      <c r="A819" s="35">
        <v>818</v>
      </c>
      <c r="B819" s="36">
        <v>40580</v>
      </c>
      <c r="C819" s="35">
        <v>1</v>
      </c>
      <c r="D819" s="35">
        <v>0</v>
      </c>
      <c r="E819" s="35">
        <v>2</v>
      </c>
      <c r="F819" s="35">
        <v>12</v>
      </c>
      <c r="G819" s="35" t="b">
        <v>0</v>
      </c>
      <c r="H819" s="35">
        <v>0</v>
      </c>
      <c r="I819" s="35">
        <v>1</v>
      </c>
      <c r="J819" s="35">
        <v>0.34</v>
      </c>
      <c r="K819" s="35">
        <v>0.33329999999999999</v>
      </c>
      <c r="L819" s="35">
        <v>0.46</v>
      </c>
      <c r="M819" s="35">
        <v>0</v>
      </c>
      <c r="N819" s="35">
        <v>48</v>
      </c>
      <c r="O819" s="35">
        <v>126</v>
      </c>
      <c r="P819" s="35">
        <v>174</v>
      </c>
      <c r="Q819" s="38" t="str">
        <f t="shared" si="12"/>
        <v>Weekday</v>
      </c>
    </row>
    <row r="820" spans="1:17">
      <c r="A820" s="35">
        <v>819</v>
      </c>
      <c r="B820" s="36">
        <v>40580</v>
      </c>
      <c r="C820" s="35">
        <v>1</v>
      </c>
      <c r="D820" s="35">
        <v>0</v>
      </c>
      <c r="E820" s="35">
        <v>2</v>
      </c>
      <c r="F820" s="35">
        <v>13</v>
      </c>
      <c r="G820" s="35" t="b">
        <v>0</v>
      </c>
      <c r="H820" s="35">
        <v>0</v>
      </c>
      <c r="I820" s="35">
        <v>1</v>
      </c>
      <c r="J820" s="35">
        <v>0.34</v>
      </c>
      <c r="K820" s="35">
        <v>0.36359999999999998</v>
      </c>
      <c r="L820" s="35">
        <v>0.46</v>
      </c>
      <c r="M820" s="35">
        <v>0</v>
      </c>
      <c r="N820" s="35">
        <v>47</v>
      </c>
      <c r="O820" s="35">
        <v>135</v>
      </c>
      <c r="P820" s="35">
        <v>182</v>
      </c>
      <c r="Q820" s="38" t="str">
        <f t="shared" si="12"/>
        <v>Weekday</v>
      </c>
    </row>
    <row r="821" spans="1:17">
      <c r="A821" s="35">
        <v>820</v>
      </c>
      <c r="B821" s="36">
        <v>40580</v>
      </c>
      <c r="C821" s="35">
        <v>1</v>
      </c>
      <c r="D821" s="35">
        <v>0</v>
      </c>
      <c r="E821" s="35">
        <v>2</v>
      </c>
      <c r="F821" s="35">
        <v>14</v>
      </c>
      <c r="G821" s="35" t="b">
        <v>0</v>
      </c>
      <c r="H821" s="35">
        <v>0</v>
      </c>
      <c r="I821" s="35">
        <v>1</v>
      </c>
      <c r="J821" s="35">
        <v>0.34</v>
      </c>
      <c r="K821" s="35">
        <v>0.34849999999999998</v>
      </c>
      <c r="L821" s="35">
        <v>0.46</v>
      </c>
      <c r="M821" s="35">
        <v>8.9599999999999999E-2</v>
      </c>
      <c r="N821" s="35">
        <v>47</v>
      </c>
      <c r="O821" s="35">
        <v>114</v>
      </c>
      <c r="P821" s="35">
        <v>161</v>
      </c>
      <c r="Q821" s="38" t="str">
        <f t="shared" si="12"/>
        <v>Weekday</v>
      </c>
    </row>
    <row r="822" spans="1:17">
      <c r="A822" s="35">
        <v>821</v>
      </c>
      <c r="B822" s="36">
        <v>40580</v>
      </c>
      <c r="C822" s="35">
        <v>1</v>
      </c>
      <c r="D822" s="35">
        <v>0</v>
      </c>
      <c r="E822" s="35">
        <v>2</v>
      </c>
      <c r="F822" s="35">
        <v>15</v>
      </c>
      <c r="G822" s="35" t="b">
        <v>0</v>
      </c>
      <c r="H822" s="35">
        <v>0</v>
      </c>
      <c r="I822" s="35">
        <v>1</v>
      </c>
      <c r="J822" s="35">
        <v>0.34</v>
      </c>
      <c r="K822" s="35">
        <v>0.34849999999999998</v>
      </c>
      <c r="L822" s="35">
        <v>0.46</v>
      </c>
      <c r="M822" s="35">
        <v>8.9599999999999999E-2</v>
      </c>
      <c r="N822" s="35">
        <v>52</v>
      </c>
      <c r="O822" s="35">
        <v>130</v>
      </c>
      <c r="P822" s="35">
        <v>182</v>
      </c>
      <c r="Q822" s="38" t="str">
        <f t="shared" si="12"/>
        <v>Weekday</v>
      </c>
    </row>
    <row r="823" spans="1:17">
      <c r="A823" s="35">
        <v>822</v>
      </c>
      <c r="B823" s="36">
        <v>40580</v>
      </c>
      <c r="C823" s="35">
        <v>1</v>
      </c>
      <c r="D823" s="35">
        <v>0</v>
      </c>
      <c r="E823" s="35">
        <v>2</v>
      </c>
      <c r="F823" s="35">
        <v>16</v>
      </c>
      <c r="G823" s="35" t="b">
        <v>0</v>
      </c>
      <c r="H823" s="35">
        <v>0</v>
      </c>
      <c r="I823" s="35">
        <v>1</v>
      </c>
      <c r="J823" s="35">
        <v>0.34</v>
      </c>
      <c r="K823" s="35">
        <v>0.34849999999999998</v>
      </c>
      <c r="L823" s="35">
        <v>0.49</v>
      </c>
      <c r="M823" s="35">
        <v>0.1045</v>
      </c>
      <c r="N823" s="35">
        <v>42</v>
      </c>
      <c r="O823" s="35">
        <v>115</v>
      </c>
      <c r="P823" s="35">
        <v>157</v>
      </c>
      <c r="Q823" s="38" t="str">
        <f t="shared" si="12"/>
        <v>Weekday</v>
      </c>
    </row>
    <row r="824" spans="1:17">
      <c r="A824" s="35">
        <v>823</v>
      </c>
      <c r="B824" s="36">
        <v>40580</v>
      </c>
      <c r="C824" s="35">
        <v>1</v>
      </c>
      <c r="D824" s="35">
        <v>0</v>
      </c>
      <c r="E824" s="35">
        <v>2</v>
      </c>
      <c r="F824" s="35">
        <v>17</v>
      </c>
      <c r="G824" s="35" t="b">
        <v>0</v>
      </c>
      <c r="H824" s="35">
        <v>0</v>
      </c>
      <c r="I824" s="35">
        <v>1</v>
      </c>
      <c r="J824" s="35">
        <v>0.34</v>
      </c>
      <c r="K824" s="35">
        <v>0.36359999999999998</v>
      </c>
      <c r="L824" s="35">
        <v>0.46</v>
      </c>
      <c r="M824" s="35">
        <v>0</v>
      </c>
      <c r="N824" s="35">
        <v>24</v>
      </c>
      <c r="O824" s="35">
        <v>97</v>
      </c>
      <c r="P824" s="35">
        <v>121</v>
      </c>
      <c r="Q824" s="38" t="str">
        <f t="shared" si="12"/>
        <v>Weekday</v>
      </c>
    </row>
    <row r="825" spans="1:17">
      <c r="A825" s="35">
        <v>824</v>
      </c>
      <c r="B825" s="36">
        <v>40580</v>
      </c>
      <c r="C825" s="35">
        <v>1</v>
      </c>
      <c r="D825" s="35">
        <v>0</v>
      </c>
      <c r="E825" s="35">
        <v>2</v>
      </c>
      <c r="F825" s="35">
        <v>18</v>
      </c>
      <c r="G825" s="35" t="b">
        <v>0</v>
      </c>
      <c r="H825" s="35">
        <v>0</v>
      </c>
      <c r="I825" s="35">
        <v>1</v>
      </c>
      <c r="J825" s="35">
        <v>0.3</v>
      </c>
      <c r="K825" s="35">
        <v>0.30299999999999999</v>
      </c>
      <c r="L825" s="35">
        <v>0.56000000000000005</v>
      </c>
      <c r="M825" s="35">
        <v>0.16420000000000001</v>
      </c>
      <c r="N825" s="35">
        <v>13</v>
      </c>
      <c r="O825" s="35">
        <v>65</v>
      </c>
      <c r="P825" s="35">
        <v>78</v>
      </c>
      <c r="Q825" s="38" t="str">
        <f t="shared" si="12"/>
        <v>Weekday</v>
      </c>
    </row>
    <row r="826" spans="1:17">
      <c r="A826" s="35">
        <v>825</v>
      </c>
      <c r="B826" s="36">
        <v>40580</v>
      </c>
      <c r="C826" s="35">
        <v>1</v>
      </c>
      <c r="D826" s="35">
        <v>0</v>
      </c>
      <c r="E826" s="35">
        <v>2</v>
      </c>
      <c r="F826" s="35">
        <v>19</v>
      </c>
      <c r="G826" s="35" t="b">
        <v>0</v>
      </c>
      <c r="H826" s="35">
        <v>0</v>
      </c>
      <c r="I826" s="35">
        <v>1</v>
      </c>
      <c r="J826" s="35">
        <v>0.28000000000000003</v>
      </c>
      <c r="K826" s="35">
        <v>0.28789999999999999</v>
      </c>
      <c r="L826" s="35">
        <v>0.61</v>
      </c>
      <c r="M826" s="35">
        <v>0.1343</v>
      </c>
      <c r="N826" s="35">
        <v>1</v>
      </c>
      <c r="O826" s="35">
        <v>20</v>
      </c>
      <c r="P826" s="35">
        <v>21</v>
      </c>
      <c r="Q826" s="38" t="str">
        <f t="shared" si="12"/>
        <v>Weekday</v>
      </c>
    </row>
    <row r="827" spans="1:17">
      <c r="A827" s="35">
        <v>826</v>
      </c>
      <c r="B827" s="36">
        <v>40580</v>
      </c>
      <c r="C827" s="35">
        <v>1</v>
      </c>
      <c r="D827" s="35">
        <v>0</v>
      </c>
      <c r="E827" s="35">
        <v>2</v>
      </c>
      <c r="F827" s="35">
        <v>20</v>
      </c>
      <c r="G827" s="35" t="b">
        <v>0</v>
      </c>
      <c r="H827" s="35">
        <v>0</v>
      </c>
      <c r="I827" s="35">
        <v>1</v>
      </c>
      <c r="J827" s="35">
        <v>0.28000000000000003</v>
      </c>
      <c r="K827" s="35">
        <v>0.28789999999999999</v>
      </c>
      <c r="L827" s="35">
        <v>0.61</v>
      </c>
      <c r="M827" s="35">
        <v>0.1045</v>
      </c>
      <c r="N827" s="35">
        <v>5</v>
      </c>
      <c r="O827" s="35">
        <v>21</v>
      </c>
      <c r="P827" s="35">
        <v>26</v>
      </c>
      <c r="Q827" s="38" t="str">
        <f t="shared" si="12"/>
        <v>Weekday</v>
      </c>
    </row>
    <row r="828" spans="1:17">
      <c r="A828" s="35">
        <v>827</v>
      </c>
      <c r="B828" s="36">
        <v>40580</v>
      </c>
      <c r="C828" s="35">
        <v>1</v>
      </c>
      <c r="D828" s="35">
        <v>0</v>
      </c>
      <c r="E828" s="35">
        <v>2</v>
      </c>
      <c r="F828" s="35">
        <v>21</v>
      </c>
      <c r="G828" s="35" t="b">
        <v>0</v>
      </c>
      <c r="H828" s="35">
        <v>0</v>
      </c>
      <c r="I828" s="35">
        <v>1</v>
      </c>
      <c r="J828" s="35">
        <v>0.26</v>
      </c>
      <c r="K828" s="35">
        <v>0.30299999999999999</v>
      </c>
      <c r="L828" s="35">
        <v>0.6</v>
      </c>
      <c r="M828" s="35">
        <v>0</v>
      </c>
      <c r="N828" s="35">
        <v>5</v>
      </c>
      <c r="O828" s="35">
        <v>22</v>
      </c>
      <c r="P828" s="35">
        <v>27</v>
      </c>
      <c r="Q828" s="38" t="str">
        <f t="shared" si="12"/>
        <v>Weekday</v>
      </c>
    </row>
    <row r="829" spans="1:17">
      <c r="A829" s="35">
        <v>828</v>
      </c>
      <c r="B829" s="36">
        <v>40580</v>
      </c>
      <c r="C829" s="35">
        <v>1</v>
      </c>
      <c r="D829" s="35">
        <v>0</v>
      </c>
      <c r="E829" s="35">
        <v>2</v>
      </c>
      <c r="F829" s="35">
        <v>22</v>
      </c>
      <c r="G829" s="35" t="b">
        <v>0</v>
      </c>
      <c r="H829" s="35">
        <v>0</v>
      </c>
      <c r="I829" s="35">
        <v>1</v>
      </c>
      <c r="J829" s="35">
        <v>0.26</v>
      </c>
      <c r="K829" s="35">
        <v>0.30299999999999999</v>
      </c>
      <c r="L829" s="35">
        <v>0.6</v>
      </c>
      <c r="M829" s="35">
        <v>0</v>
      </c>
      <c r="N829" s="35">
        <v>5</v>
      </c>
      <c r="O829" s="35">
        <v>57</v>
      </c>
      <c r="P829" s="35">
        <v>62</v>
      </c>
      <c r="Q829" s="38" t="str">
        <f t="shared" si="12"/>
        <v>Weekday</v>
      </c>
    </row>
    <row r="830" spans="1:17">
      <c r="A830" s="35">
        <v>829</v>
      </c>
      <c r="B830" s="36">
        <v>40580</v>
      </c>
      <c r="C830" s="35">
        <v>1</v>
      </c>
      <c r="D830" s="35">
        <v>0</v>
      </c>
      <c r="E830" s="35">
        <v>2</v>
      </c>
      <c r="F830" s="35">
        <v>23</v>
      </c>
      <c r="G830" s="35" t="b">
        <v>0</v>
      </c>
      <c r="H830" s="35">
        <v>0</v>
      </c>
      <c r="I830" s="35">
        <v>1</v>
      </c>
      <c r="J830" s="35">
        <v>0.24</v>
      </c>
      <c r="K830" s="35">
        <v>0.28789999999999999</v>
      </c>
      <c r="L830" s="35">
        <v>0.65</v>
      </c>
      <c r="M830" s="35">
        <v>0</v>
      </c>
      <c r="N830" s="35">
        <v>4</v>
      </c>
      <c r="O830" s="35">
        <v>26</v>
      </c>
      <c r="P830" s="35">
        <v>30</v>
      </c>
      <c r="Q830" s="38" t="str">
        <f t="shared" si="12"/>
        <v>Weekday</v>
      </c>
    </row>
    <row r="831" spans="1:17">
      <c r="A831" s="35">
        <v>830</v>
      </c>
      <c r="B831" s="36">
        <v>40581</v>
      </c>
      <c r="C831" s="35">
        <v>1</v>
      </c>
      <c r="D831" s="35">
        <v>0</v>
      </c>
      <c r="E831" s="35">
        <v>2</v>
      </c>
      <c r="F831" s="35">
        <v>0</v>
      </c>
      <c r="G831" s="35" t="b">
        <v>0</v>
      </c>
      <c r="H831" s="35">
        <v>1</v>
      </c>
      <c r="I831" s="35">
        <v>1</v>
      </c>
      <c r="J831" s="35">
        <v>0.24</v>
      </c>
      <c r="K831" s="35">
        <v>0.28789999999999999</v>
      </c>
      <c r="L831" s="35">
        <v>0.65</v>
      </c>
      <c r="M831" s="35">
        <v>0</v>
      </c>
      <c r="N831" s="35">
        <v>1</v>
      </c>
      <c r="O831" s="35">
        <v>14</v>
      </c>
      <c r="P831" s="35">
        <v>15</v>
      </c>
      <c r="Q831" s="38" t="str">
        <f t="shared" si="12"/>
        <v>Weekday</v>
      </c>
    </row>
    <row r="832" spans="1:17">
      <c r="A832" s="35">
        <v>831</v>
      </c>
      <c r="B832" s="36">
        <v>40581</v>
      </c>
      <c r="C832" s="35">
        <v>1</v>
      </c>
      <c r="D832" s="35">
        <v>0</v>
      </c>
      <c r="E832" s="35">
        <v>2</v>
      </c>
      <c r="F832" s="35">
        <v>1</v>
      </c>
      <c r="G832" s="35" t="b">
        <v>0</v>
      </c>
      <c r="H832" s="35">
        <v>1</v>
      </c>
      <c r="I832" s="35">
        <v>1</v>
      </c>
      <c r="J832" s="35">
        <v>0.22</v>
      </c>
      <c r="K832" s="35">
        <v>0.2727</v>
      </c>
      <c r="L832" s="35">
        <v>0.75</v>
      </c>
      <c r="M832" s="35">
        <v>0</v>
      </c>
      <c r="N832" s="35">
        <v>1</v>
      </c>
      <c r="O832" s="35">
        <v>4</v>
      </c>
      <c r="P832" s="35">
        <v>5</v>
      </c>
      <c r="Q832" s="38" t="str">
        <f t="shared" si="12"/>
        <v>Weekday</v>
      </c>
    </row>
    <row r="833" spans="1:17">
      <c r="A833" s="35">
        <v>832</v>
      </c>
      <c r="B833" s="36">
        <v>40581</v>
      </c>
      <c r="C833" s="35">
        <v>1</v>
      </c>
      <c r="D833" s="35">
        <v>0</v>
      </c>
      <c r="E833" s="35">
        <v>2</v>
      </c>
      <c r="F833" s="35">
        <v>2</v>
      </c>
      <c r="G833" s="35" t="b">
        <v>0</v>
      </c>
      <c r="H833" s="35">
        <v>1</v>
      </c>
      <c r="I833" s="35">
        <v>1</v>
      </c>
      <c r="J833" s="35">
        <v>0.2</v>
      </c>
      <c r="K833" s="35">
        <v>0.2576</v>
      </c>
      <c r="L833" s="35">
        <v>0.8</v>
      </c>
      <c r="M833" s="35">
        <v>0</v>
      </c>
      <c r="N833" s="35">
        <v>0</v>
      </c>
      <c r="O833" s="35">
        <v>3</v>
      </c>
      <c r="P833" s="35">
        <v>3</v>
      </c>
      <c r="Q833" s="38" t="str">
        <f t="shared" si="12"/>
        <v>Weekday</v>
      </c>
    </row>
    <row r="834" spans="1:17">
      <c r="A834" s="35">
        <v>833</v>
      </c>
      <c r="B834" s="36">
        <v>40581</v>
      </c>
      <c r="C834" s="35">
        <v>1</v>
      </c>
      <c r="D834" s="35">
        <v>0</v>
      </c>
      <c r="E834" s="35">
        <v>2</v>
      </c>
      <c r="F834" s="35">
        <v>3</v>
      </c>
      <c r="G834" s="35" t="b">
        <v>0</v>
      </c>
      <c r="H834" s="35">
        <v>1</v>
      </c>
      <c r="I834" s="35">
        <v>1</v>
      </c>
      <c r="J834" s="35">
        <v>0.2</v>
      </c>
      <c r="K834" s="35">
        <v>0.2576</v>
      </c>
      <c r="L834" s="35">
        <v>0.86</v>
      </c>
      <c r="M834" s="35">
        <v>0</v>
      </c>
      <c r="N834" s="35">
        <v>0</v>
      </c>
      <c r="O834" s="35">
        <v>1</v>
      </c>
      <c r="P834" s="35">
        <v>1</v>
      </c>
      <c r="Q834" s="38" t="str">
        <f t="shared" ref="Q834:Q897" si="13">IF(H834&gt;=6,"Weekend","Weekday")</f>
        <v>Weekday</v>
      </c>
    </row>
    <row r="835" spans="1:17">
      <c r="A835" s="35">
        <v>834</v>
      </c>
      <c r="B835" s="36">
        <v>40581</v>
      </c>
      <c r="C835" s="35">
        <v>1</v>
      </c>
      <c r="D835" s="35">
        <v>0</v>
      </c>
      <c r="E835" s="35">
        <v>2</v>
      </c>
      <c r="F835" s="35">
        <v>4</v>
      </c>
      <c r="G835" s="35" t="b">
        <v>0</v>
      </c>
      <c r="H835" s="35">
        <v>1</v>
      </c>
      <c r="I835" s="35">
        <v>1</v>
      </c>
      <c r="J835" s="35">
        <v>0.2</v>
      </c>
      <c r="K835" s="35">
        <v>0.2576</v>
      </c>
      <c r="L835" s="35">
        <v>0.86</v>
      </c>
      <c r="M835" s="35">
        <v>0</v>
      </c>
      <c r="N835" s="35">
        <v>1</v>
      </c>
      <c r="O835" s="35">
        <v>1</v>
      </c>
      <c r="P835" s="35">
        <v>2</v>
      </c>
      <c r="Q835" s="38" t="str">
        <f t="shared" si="13"/>
        <v>Weekday</v>
      </c>
    </row>
    <row r="836" spans="1:17">
      <c r="A836" s="35">
        <v>835</v>
      </c>
      <c r="B836" s="36">
        <v>40581</v>
      </c>
      <c r="C836" s="35">
        <v>1</v>
      </c>
      <c r="D836" s="35">
        <v>0</v>
      </c>
      <c r="E836" s="35">
        <v>2</v>
      </c>
      <c r="F836" s="35">
        <v>5</v>
      </c>
      <c r="G836" s="35" t="b">
        <v>0</v>
      </c>
      <c r="H836" s="35">
        <v>1</v>
      </c>
      <c r="I836" s="35">
        <v>1</v>
      </c>
      <c r="J836" s="35">
        <v>0.2</v>
      </c>
      <c r="K836" s="35">
        <v>0.2576</v>
      </c>
      <c r="L836" s="35">
        <v>0.86</v>
      </c>
      <c r="M836" s="35">
        <v>0</v>
      </c>
      <c r="N836" s="35">
        <v>1</v>
      </c>
      <c r="O836" s="35">
        <v>9</v>
      </c>
      <c r="P836" s="35">
        <v>10</v>
      </c>
      <c r="Q836" s="38" t="str">
        <f t="shared" si="13"/>
        <v>Weekday</v>
      </c>
    </row>
    <row r="837" spans="1:17">
      <c r="A837" s="35">
        <v>836</v>
      </c>
      <c r="B837" s="36">
        <v>40581</v>
      </c>
      <c r="C837" s="35">
        <v>1</v>
      </c>
      <c r="D837" s="35">
        <v>0</v>
      </c>
      <c r="E837" s="35">
        <v>2</v>
      </c>
      <c r="F837" s="35">
        <v>6</v>
      </c>
      <c r="G837" s="35" t="b">
        <v>0</v>
      </c>
      <c r="H837" s="35">
        <v>1</v>
      </c>
      <c r="I837" s="35">
        <v>1</v>
      </c>
      <c r="J837" s="35">
        <v>0.18</v>
      </c>
      <c r="K837" s="35">
        <v>0.2424</v>
      </c>
      <c r="L837" s="35">
        <v>0.93</v>
      </c>
      <c r="M837" s="35">
        <v>0</v>
      </c>
      <c r="N837" s="35">
        <v>1</v>
      </c>
      <c r="O837" s="35">
        <v>29</v>
      </c>
      <c r="P837" s="35">
        <v>30</v>
      </c>
      <c r="Q837" s="38" t="str">
        <f t="shared" si="13"/>
        <v>Weekday</v>
      </c>
    </row>
    <row r="838" spans="1:17">
      <c r="A838" s="35">
        <v>837</v>
      </c>
      <c r="B838" s="36">
        <v>40581</v>
      </c>
      <c r="C838" s="35">
        <v>1</v>
      </c>
      <c r="D838" s="35">
        <v>0</v>
      </c>
      <c r="E838" s="35">
        <v>2</v>
      </c>
      <c r="F838" s="35">
        <v>7</v>
      </c>
      <c r="G838" s="35" t="b">
        <v>0</v>
      </c>
      <c r="H838" s="35">
        <v>1</v>
      </c>
      <c r="I838" s="35">
        <v>1</v>
      </c>
      <c r="J838" s="35">
        <v>0.18</v>
      </c>
      <c r="K838" s="35">
        <v>0.2424</v>
      </c>
      <c r="L838" s="35">
        <v>0.86</v>
      </c>
      <c r="M838" s="35">
        <v>0</v>
      </c>
      <c r="N838" s="35">
        <v>6</v>
      </c>
      <c r="O838" s="35">
        <v>89</v>
      </c>
      <c r="P838" s="35">
        <v>95</v>
      </c>
      <c r="Q838" s="38" t="str">
        <f t="shared" si="13"/>
        <v>Weekday</v>
      </c>
    </row>
    <row r="839" spans="1:17">
      <c r="A839" s="35">
        <v>838</v>
      </c>
      <c r="B839" s="36">
        <v>40581</v>
      </c>
      <c r="C839" s="35">
        <v>1</v>
      </c>
      <c r="D839" s="35">
        <v>0</v>
      </c>
      <c r="E839" s="35">
        <v>2</v>
      </c>
      <c r="F839" s="35">
        <v>8</v>
      </c>
      <c r="G839" s="35" t="b">
        <v>0</v>
      </c>
      <c r="H839" s="35">
        <v>1</v>
      </c>
      <c r="I839" s="35">
        <v>2</v>
      </c>
      <c r="J839" s="35">
        <v>0.16</v>
      </c>
      <c r="K839" s="35">
        <v>0.2273</v>
      </c>
      <c r="L839" s="35">
        <v>1</v>
      </c>
      <c r="M839" s="35">
        <v>0</v>
      </c>
      <c r="N839" s="35">
        <v>7</v>
      </c>
      <c r="O839" s="35">
        <v>223</v>
      </c>
      <c r="P839" s="35">
        <v>230</v>
      </c>
      <c r="Q839" s="38" t="str">
        <f t="shared" si="13"/>
        <v>Weekday</v>
      </c>
    </row>
    <row r="840" spans="1:17">
      <c r="A840" s="35">
        <v>839</v>
      </c>
      <c r="B840" s="36">
        <v>40581</v>
      </c>
      <c r="C840" s="35">
        <v>1</v>
      </c>
      <c r="D840" s="35">
        <v>0</v>
      </c>
      <c r="E840" s="35">
        <v>2</v>
      </c>
      <c r="F840" s="35">
        <v>9</v>
      </c>
      <c r="G840" s="35" t="b">
        <v>0</v>
      </c>
      <c r="H840" s="35">
        <v>1</v>
      </c>
      <c r="I840" s="35">
        <v>1</v>
      </c>
      <c r="J840" s="35">
        <v>0.22</v>
      </c>
      <c r="K840" s="35">
        <v>0.2727</v>
      </c>
      <c r="L840" s="35">
        <v>0.8</v>
      </c>
      <c r="M840" s="35">
        <v>0</v>
      </c>
      <c r="N840" s="35">
        <v>3</v>
      </c>
      <c r="O840" s="35">
        <v>115</v>
      </c>
      <c r="P840" s="35">
        <v>118</v>
      </c>
      <c r="Q840" s="38" t="str">
        <f t="shared" si="13"/>
        <v>Weekday</v>
      </c>
    </row>
    <row r="841" spans="1:17">
      <c r="A841" s="35">
        <v>840</v>
      </c>
      <c r="B841" s="36">
        <v>40581</v>
      </c>
      <c r="C841" s="35">
        <v>1</v>
      </c>
      <c r="D841" s="35">
        <v>0</v>
      </c>
      <c r="E841" s="35">
        <v>2</v>
      </c>
      <c r="F841" s="35">
        <v>10</v>
      </c>
      <c r="G841" s="35" t="b">
        <v>0</v>
      </c>
      <c r="H841" s="35">
        <v>1</v>
      </c>
      <c r="I841" s="35">
        <v>1</v>
      </c>
      <c r="J841" s="35">
        <v>0.24</v>
      </c>
      <c r="K841" s="35">
        <v>0.2576</v>
      </c>
      <c r="L841" s="35">
        <v>0.75</v>
      </c>
      <c r="M841" s="35">
        <v>0.1045</v>
      </c>
      <c r="N841" s="35">
        <v>6</v>
      </c>
      <c r="O841" s="35">
        <v>49</v>
      </c>
      <c r="P841" s="35">
        <v>55</v>
      </c>
      <c r="Q841" s="38" t="str">
        <f t="shared" si="13"/>
        <v>Weekday</v>
      </c>
    </row>
    <row r="842" spans="1:17">
      <c r="A842" s="35">
        <v>841</v>
      </c>
      <c r="B842" s="36">
        <v>40581</v>
      </c>
      <c r="C842" s="35">
        <v>1</v>
      </c>
      <c r="D842" s="35">
        <v>0</v>
      </c>
      <c r="E842" s="35">
        <v>2</v>
      </c>
      <c r="F842" s="35">
        <v>11</v>
      </c>
      <c r="G842" s="35" t="b">
        <v>0</v>
      </c>
      <c r="H842" s="35">
        <v>1</v>
      </c>
      <c r="I842" s="35">
        <v>1</v>
      </c>
      <c r="J842" s="35">
        <v>0.3</v>
      </c>
      <c r="K842" s="35">
        <v>0.31819999999999998</v>
      </c>
      <c r="L842" s="35">
        <v>0.65</v>
      </c>
      <c r="M842" s="35">
        <v>8.9599999999999999E-2</v>
      </c>
      <c r="N842" s="35">
        <v>11</v>
      </c>
      <c r="O842" s="35">
        <v>36</v>
      </c>
      <c r="P842" s="35">
        <v>47</v>
      </c>
      <c r="Q842" s="38" t="str">
        <f t="shared" si="13"/>
        <v>Weekday</v>
      </c>
    </row>
    <row r="843" spans="1:17">
      <c r="A843" s="35">
        <v>842</v>
      </c>
      <c r="B843" s="36">
        <v>40581</v>
      </c>
      <c r="C843" s="35">
        <v>1</v>
      </c>
      <c r="D843" s="35">
        <v>0</v>
      </c>
      <c r="E843" s="35">
        <v>2</v>
      </c>
      <c r="F843" s="35">
        <v>12</v>
      </c>
      <c r="G843" s="35" t="b">
        <v>0</v>
      </c>
      <c r="H843" s="35">
        <v>1</v>
      </c>
      <c r="I843" s="35">
        <v>2</v>
      </c>
      <c r="J843" s="35">
        <v>0.32</v>
      </c>
      <c r="K843" s="35">
        <v>0.34849999999999998</v>
      </c>
      <c r="L843" s="35">
        <v>0.62</v>
      </c>
      <c r="M843" s="35">
        <v>0</v>
      </c>
      <c r="N843" s="35">
        <v>7</v>
      </c>
      <c r="O843" s="35">
        <v>59</v>
      </c>
      <c r="P843" s="35">
        <v>66</v>
      </c>
      <c r="Q843" s="38" t="str">
        <f t="shared" si="13"/>
        <v>Weekday</v>
      </c>
    </row>
    <row r="844" spans="1:17">
      <c r="A844" s="35">
        <v>843</v>
      </c>
      <c r="B844" s="36">
        <v>40581</v>
      </c>
      <c r="C844" s="35">
        <v>1</v>
      </c>
      <c r="D844" s="35">
        <v>0</v>
      </c>
      <c r="E844" s="35">
        <v>2</v>
      </c>
      <c r="F844" s="35">
        <v>13</v>
      </c>
      <c r="G844" s="35" t="b">
        <v>0</v>
      </c>
      <c r="H844" s="35">
        <v>1</v>
      </c>
      <c r="I844" s="35">
        <v>2</v>
      </c>
      <c r="J844" s="35">
        <v>0.36</v>
      </c>
      <c r="K844" s="35">
        <v>0.36359999999999998</v>
      </c>
      <c r="L844" s="35">
        <v>0.56999999999999995</v>
      </c>
      <c r="M844" s="35">
        <v>8.9599999999999999E-2</v>
      </c>
      <c r="N844" s="35">
        <v>10</v>
      </c>
      <c r="O844" s="35">
        <v>54</v>
      </c>
      <c r="P844" s="35">
        <v>64</v>
      </c>
      <c r="Q844" s="38" t="str">
        <f t="shared" si="13"/>
        <v>Weekday</v>
      </c>
    </row>
    <row r="845" spans="1:17">
      <c r="A845" s="35">
        <v>844</v>
      </c>
      <c r="B845" s="36">
        <v>40581</v>
      </c>
      <c r="C845" s="35">
        <v>1</v>
      </c>
      <c r="D845" s="35">
        <v>0</v>
      </c>
      <c r="E845" s="35">
        <v>2</v>
      </c>
      <c r="F845" s="35">
        <v>14</v>
      </c>
      <c r="G845" s="35" t="b">
        <v>0</v>
      </c>
      <c r="H845" s="35">
        <v>1</v>
      </c>
      <c r="I845" s="35">
        <v>2</v>
      </c>
      <c r="J845" s="35">
        <v>0.36</v>
      </c>
      <c r="K845" s="35">
        <v>0.36359999999999998</v>
      </c>
      <c r="L845" s="35">
        <v>0.56999999999999995</v>
      </c>
      <c r="M845" s="35">
        <v>8.9599999999999999E-2</v>
      </c>
      <c r="N845" s="35">
        <v>8</v>
      </c>
      <c r="O845" s="35">
        <v>52</v>
      </c>
      <c r="P845" s="35">
        <v>60</v>
      </c>
      <c r="Q845" s="38" t="str">
        <f t="shared" si="13"/>
        <v>Weekday</v>
      </c>
    </row>
    <row r="846" spans="1:17">
      <c r="A846" s="35">
        <v>845</v>
      </c>
      <c r="B846" s="36">
        <v>40581</v>
      </c>
      <c r="C846" s="35">
        <v>1</v>
      </c>
      <c r="D846" s="35">
        <v>0</v>
      </c>
      <c r="E846" s="35">
        <v>2</v>
      </c>
      <c r="F846" s="35">
        <v>15</v>
      </c>
      <c r="G846" s="35" t="b">
        <v>0</v>
      </c>
      <c r="H846" s="35">
        <v>1</v>
      </c>
      <c r="I846" s="35">
        <v>2</v>
      </c>
      <c r="J846" s="35">
        <v>0.38</v>
      </c>
      <c r="K846" s="35">
        <v>0.39389999999999997</v>
      </c>
      <c r="L846" s="35">
        <v>0.54</v>
      </c>
      <c r="M846" s="35">
        <v>8.9599999999999999E-2</v>
      </c>
      <c r="N846" s="35">
        <v>4</v>
      </c>
      <c r="O846" s="35">
        <v>46</v>
      </c>
      <c r="P846" s="35">
        <v>50</v>
      </c>
      <c r="Q846" s="38" t="str">
        <f t="shared" si="13"/>
        <v>Weekday</v>
      </c>
    </row>
    <row r="847" spans="1:17">
      <c r="A847" s="35">
        <v>846</v>
      </c>
      <c r="B847" s="36">
        <v>40581</v>
      </c>
      <c r="C847" s="35">
        <v>1</v>
      </c>
      <c r="D847" s="35">
        <v>0</v>
      </c>
      <c r="E847" s="35">
        <v>2</v>
      </c>
      <c r="F847" s="35">
        <v>16</v>
      </c>
      <c r="G847" s="35" t="b">
        <v>0</v>
      </c>
      <c r="H847" s="35">
        <v>1</v>
      </c>
      <c r="I847" s="35">
        <v>2</v>
      </c>
      <c r="J847" s="35">
        <v>0.36</v>
      </c>
      <c r="K847" s="35">
        <v>0.34849999999999998</v>
      </c>
      <c r="L847" s="35">
        <v>0.56999999999999995</v>
      </c>
      <c r="M847" s="35">
        <v>0.1343</v>
      </c>
      <c r="N847" s="35">
        <v>16</v>
      </c>
      <c r="O847" s="35">
        <v>98</v>
      </c>
      <c r="P847" s="35">
        <v>114</v>
      </c>
      <c r="Q847" s="38" t="str">
        <f t="shared" si="13"/>
        <v>Weekday</v>
      </c>
    </row>
    <row r="848" spans="1:17">
      <c r="A848" s="35">
        <v>847</v>
      </c>
      <c r="B848" s="36">
        <v>40581</v>
      </c>
      <c r="C848" s="35">
        <v>1</v>
      </c>
      <c r="D848" s="35">
        <v>0</v>
      </c>
      <c r="E848" s="35">
        <v>2</v>
      </c>
      <c r="F848" s="35">
        <v>17</v>
      </c>
      <c r="G848" s="35" t="b">
        <v>0</v>
      </c>
      <c r="H848" s="35">
        <v>1</v>
      </c>
      <c r="I848" s="35">
        <v>2</v>
      </c>
      <c r="J848" s="35">
        <v>0.32</v>
      </c>
      <c r="K848" s="35">
        <v>0.31819999999999998</v>
      </c>
      <c r="L848" s="35">
        <v>0.7</v>
      </c>
      <c r="M848" s="35">
        <v>0.16420000000000001</v>
      </c>
      <c r="N848" s="35">
        <v>9</v>
      </c>
      <c r="O848" s="35">
        <v>207</v>
      </c>
      <c r="P848" s="35">
        <v>216</v>
      </c>
      <c r="Q848" s="38" t="str">
        <f t="shared" si="13"/>
        <v>Weekday</v>
      </c>
    </row>
    <row r="849" spans="1:17">
      <c r="A849" s="35">
        <v>848</v>
      </c>
      <c r="B849" s="36">
        <v>40581</v>
      </c>
      <c r="C849" s="35">
        <v>1</v>
      </c>
      <c r="D849" s="35">
        <v>0</v>
      </c>
      <c r="E849" s="35">
        <v>2</v>
      </c>
      <c r="F849" s="35">
        <v>18</v>
      </c>
      <c r="G849" s="35" t="b">
        <v>0</v>
      </c>
      <c r="H849" s="35">
        <v>1</v>
      </c>
      <c r="I849" s="35">
        <v>2</v>
      </c>
      <c r="J849" s="35">
        <v>0.34</v>
      </c>
      <c r="K849" s="35">
        <v>0.33329999999999999</v>
      </c>
      <c r="L849" s="35">
        <v>0.66</v>
      </c>
      <c r="M849" s="35">
        <v>0.1343</v>
      </c>
      <c r="N849" s="35">
        <v>5</v>
      </c>
      <c r="O849" s="35">
        <v>170</v>
      </c>
      <c r="P849" s="35">
        <v>175</v>
      </c>
      <c r="Q849" s="38" t="str">
        <f t="shared" si="13"/>
        <v>Weekday</v>
      </c>
    </row>
    <row r="850" spans="1:17">
      <c r="A850" s="35">
        <v>849</v>
      </c>
      <c r="B850" s="36">
        <v>40581</v>
      </c>
      <c r="C850" s="35">
        <v>1</v>
      </c>
      <c r="D850" s="35">
        <v>0</v>
      </c>
      <c r="E850" s="35">
        <v>2</v>
      </c>
      <c r="F850" s="35">
        <v>19</v>
      </c>
      <c r="G850" s="35" t="b">
        <v>0</v>
      </c>
      <c r="H850" s="35">
        <v>1</v>
      </c>
      <c r="I850" s="35">
        <v>2</v>
      </c>
      <c r="J850" s="35">
        <v>0.32</v>
      </c>
      <c r="K850" s="35">
        <v>0.34849999999999998</v>
      </c>
      <c r="L850" s="35">
        <v>0.7</v>
      </c>
      <c r="M850" s="35">
        <v>0</v>
      </c>
      <c r="N850" s="35">
        <v>5</v>
      </c>
      <c r="O850" s="35">
        <v>123</v>
      </c>
      <c r="P850" s="35">
        <v>128</v>
      </c>
      <c r="Q850" s="38" t="str">
        <f t="shared" si="13"/>
        <v>Weekday</v>
      </c>
    </row>
    <row r="851" spans="1:17">
      <c r="A851" s="35">
        <v>850</v>
      </c>
      <c r="B851" s="36">
        <v>40581</v>
      </c>
      <c r="C851" s="35">
        <v>1</v>
      </c>
      <c r="D851" s="35">
        <v>0</v>
      </c>
      <c r="E851" s="35">
        <v>2</v>
      </c>
      <c r="F851" s="35">
        <v>20</v>
      </c>
      <c r="G851" s="35" t="b">
        <v>0</v>
      </c>
      <c r="H851" s="35">
        <v>1</v>
      </c>
      <c r="I851" s="35">
        <v>2</v>
      </c>
      <c r="J851" s="35">
        <v>0.32</v>
      </c>
      <c r="K851" s="35">
        <v>0.33329999999999999</v>
      </c>
      <c r="L851" s="35">
        <v>0.7</v>
      </c>
      <c r="M851" s="35">
        <v>0.1045</v>
      </c>
      <c r="N851" s="35">
        <v>6</v>
      </c>
      <c r="O851" s="35">
        <v>82</v>
      </c>
      <c r="P851" s="35">
        <v>88</v>
      </c>
      <c r="Q851" s="38" t="str">
        <f t="shared" si="13"/>
        <v>Weekday</v>
      </c>
    </row>
    <row r="852" spans="1:17">
      <c r="A852" s="35">
        <v>851</v>
      </c>
      <c r="B852" s="36">
        <v>40581</v>
      </c>
      <c r="C852" s="35">
        <v>1</v>
      </c>
      <c r="D852" s="35">
        <v>0</v>
      </c>
      <c r="E852" s="35">
        <v>2</v>
      </c>
      <c r="F852" s="35">
        <v>21</v>
      </c>
      <c r="G852" s="35" t="b">
        <v>0</v>
      </c>
      <c r="H852" s="35">
        <v>1</v>
      </c>
      <c r="I852" s="35">
        <v>1</v>
      </c>
      <c r="J852" s="35">
        <v>0.32</v>
      </c>
      <c r="K852" s="35">
        <v>0.34849999999999998</v>
      </c>
      <c r="L852" s="35">
        <v>0.7</v>
      </c>
      <c r="M852" s="35">
        <v>0</v>
      </c>
      <c r="N852" s="35">
        <v>3</v>
      </c>
      <c r="O852" s="35">
        <v>75</v>
      </c>
      <c r="P852" s="35">
        <v>78</v>
      </c>
      <c r="Q852" s="38" t="str">
        <f t="shared" si="13"/>
        <v>Weekday</v>
      </c>
    </row>
    <row r="853" spans="1:17">
      <c r="A853" s="35">
        <v>852</v>
      </c>
      <c r="B853" s="36">
        <v>40581</v>
      </c>
      <c r="C853" s="35">
        <v>1</v>
      </c>
      <c r="D853" s="35">
        <v>0</v>
      </c>
      <c r="E853" s="35">
        <v>2</v>
      </c>
      <c r="F853" s="35">
        <v>22</v>
      </c>
      <c r="G853" s="35" t="b">
        <v>0</v>
      </c>
      <c r="H853" s="35">
        <v>1</v>
      </c>
      <c r="I853" s="35">
        <v>1</v>
      </c>
      <c r="J853" s="35">
        <v>0.28000000000000003</v>
      </c>
      <c r="K853" s="35">
        <v>0.30299999999999999</v>
      </c>
      <c r="L853" s="35">
        <v>0.81</v>
      </c>
      <c r="M853" s="35">
        <v>8.9599999999999999E-2</v>
      </c>
      <c r="N853" s="35">
        <v>3</v>
      </c>
      <c r="O853" s="35">
        <v>34</v>
      </c>
      <c r="P853" s="35">
        <v>37</v>
      </c>
      <c r="Q853" s="38" t="str">
        <f t="shared" si="13"/>
        <v>Weekday</v>
      </c>
    </row>
    <row r="854" spans="1:17">
      <c r="A854" s="35">
        <v>853</v>
      </c>
      <c r="B854" s="36">
        <v>40581</v>
      </c>
      <c r="C854" s="35">
        <v>1</v>
      </c>
      <c r="D854" s="35">
        <v>0</v>
      </c>
      <c r="E854" s="35">
        <v>2</v>
      </c>
      <c r="F854" s="35">
        <v>23</v>
      </c>
      <c r="G854" s="35" t="b">
        <v>0</v>
      </c>
      <c r="H854" s="35">
        <v>1</v>
      </c>
      <c r="I854" s="35">
        <v>2</v>
      </c>
      <c r="J854" s="35">
        <v>0.3</v>
      </c>
      <c r="K854" s="35">
        <v>0.33329999999999999</v>
      </c>
      <c r="L854" s="35">
        <v>0.81</v>
      </c>
      <c r="M854" s="35">
        <v>0</v>
      </c>
      <c r="N854" s="35">
        <v>6</v>
      </c>
      <c r="O854" s="35">
        <v>19</v>
      </c>
      <c r="P854" s="35">
        <v>25</v>
      </c>
      <c r="Q854" s="38" t="str">
        <f t="shared" si="13"/>
        <v>Weekday</v>
      </c>
    </row>
    <row r="855" spans="1:17">
      <c r="A855" s="35">
        <v>854</v>
      </c>
      <c r="B855" s="36">
        <v>40582</v>
      </c>
      <c r="C855" s="35">
        <v>1</v>
      </c>
      <c r="D855" s="35">
        <v>0</v>
      </c>
      <c r="E855" s="35">
        <v>2</v>
      </c>
      <c r="F855" s="35">
        <v>0</v>
      </c>
      <c r="G855" s="35" t="b">
        <v>0</v>
      </c>
      <c r="H855" s="35">
        <v>2</v>
      </c>
      <c r="I855" s="35">
        <v>2</v>
      </c>
      <c r="J855" s="35">
        <v>0.28000000000000003</v>
      </c>
      <c r="K855" s="35">
        <v>0.31819999999999998</v>
      </c>
      <c r="L855" s="35">
        <v>0.87</v>
      </c>
      <c r="M855" s="35">
        <v>0</v>
      </c>
      <c r="N855" s="35">
        <v>4</v>
      </c>
      <c r="O855" s="35">
        <v>6</v>
      </c>
      <c r="P855" s="35">
        <v>10</v>
      </c>
      <c r="Q855" s="38" t="str">
        <f t="shared" si="13"/>
        <v>Weekday</v>
      </c>
    </row>
    <row r="856" spans="1:17">
      <c r="A856" s="35">
        <v>855</v>
      </c>
      <c r="B856" s="36">
        <v>40582</v>
      </c>
      <c r="C856" s="35">
        <v>1</v>
      </c>
      <c r="D856" s="35">
        <v>0</v>
      </c>
      <c r="E856" s="35">
        <v>2</v>
      </c>
      <c r="F856" s="35">
        <v>1</v>
      </c>
      <c r="G856" s="35" t="b">
        <v>0</v>
      </c>
      <c r="H856" s="35">
        <v>2</v>
      </c>
      <c r="I856" s="35">
        <v>2</v>
      </c>
      <c r="J856" s="35">
        <v>0.28000000000000003</v>
      </c>
      <c r="K856" s="35">
        <v>0.31819999999999998</v>
      </c>
      <c r="L856" s="35">
        <v>0.87</v>
      </c>
      <c r="M856" s="35">
        <v>0</v>
      </c>
      <c r="N856" s="35">
        <v>0</v>
      </c>
      <c r="O856" s="35">
        <v>4</v>
      </c>
      <c r="P856" s="35">
        <v>4</v>
      </c>
      <c r="Q856" s="38" t="str">
        <f t="shared" si="13"/>
        <v>Weekday</v>
      </c>
    </row>
    <row r="857" spans="1:17">
      <c r="A857" s="35">
        <v>856</v>
      </c>
      <c r="B857" s="36">
        <v>40582</v>
      </c>
      <c r="C857" s="35">
        <v>1</v>
      </c>
      <c r="D857" s="35">
        <v>0</v>
      </c>
      <c r="E857" s="35">
        <v>2</v>
      </c>
      <c r="F857" s="35">
        <v>2</v>
      </c>
      <c r="G857" s="35" t="b">
        <v>0</v>
      </c>
      <c r="H857" s="35">
        <v>2</v>
      </c>
      <c r="I857" s="35">
        <v>2</v>
      </c>
      <c r="J857" s="35">
        <v>0.26</v>
      </c>
      <c r="K857" s="35">
        <v>0.2727</v>
      </c>
      <c r="L857" s="35">
        <v>0.93</v>
      </c>
      <c r="M857" s="35">
        <v>0.1045</v>
      </c>
      <c r="N857" s="35">
        <v>1</v>
      </c>
      <c r="O857" s="35">
        <v>1</v>
      </c>
      <c r="P857" s="35">
        <v>2</v>
      </c>
      <c r="Q857" s="38" t="str">
        <f t="shared" si="13"/>
        <v>Weekday</v>
      </c>
    </row>
    <row r="858" spans="1:17">
      <c r="A858" s="35">
        <v>857</v>
      </c>
      <c r="B858" s="36">
        <v>40582</v>
      </c>
      <c r="C858" s="35">
        <v>1</v>
      </c>
      <c r="D858" s="35">
        <v>0</v>
      </c>
      <c r="E858" s="35">
        <v>2</v>
      </c>
      <c r="F858" s="35">
        <v>3</v>
      </c>
      <c r="G858" s="35" t="b">
        <v>0</v>
      </c>
      <c r="H858" s="35">
        <v>2</v>
      </c>
      <c r="I858" s="35">
        <v>3</v>
      </c>
      <c r="J858" s="35">
        <v>0.28000000000000003</v>
      </c>
      <c r="K858" s="35">
        <v>0.2727</v>
      </c>
      <c r="L858" s="35">
        <v>0.93</v>
      </c>
      <c r="M858" s="35">
        <v>0.16420000000000001</v>
      </c>
      <c r="N858" s="35">
        <v>0</v>
      </c>
      <c r="O858" s="35">
        <v>1</v>
      </c>
      <c r="P858" s="35">
        <v>1</v>
      </c>
      <c r="Q858" s="38" t="str">
        <f t="shared" si="13"/>
        <v>Weekday</v>
      </c>
    </row>
    <row r="859" spans="1:17">
      <c r="A859" s="35">
        <v>858</v>
      </c>
      <c r="B859" s="36">
        <v>40582</v>
      </c>
      <c r="C859" s="35">
        <v>1</v>
      </c>
      <c r="D859" s="35">
        <v>0</v>
      </c>
      <c r="E859" s="35">
        <v>2</v>
      </c>
      <c r="F859" s="35">
        <v>4</v>
      </c>
      <c r="G859" s="35" t="b">
        <v>0</v>
      </c>
      <c r="H859" s="35">
        <v>2</v>
      </c>
      <c r="I859" s="35">
        <v>1</v>
      </c>
      <c r="J859" s="35">
        <v>0.26</v>
      </c>
      <c r="K859" s="35">
        <v>0.2576</v>
      </c>
      <c r="L859" s="35">
        <v>0.93</v>
      </c>
      <c r="M859" s="35">
        <v>0.16420000000000001</v>
      </c>
      <c r="N859" s="35">
        <v>0</v>
      </c>
      <c r="O859" s="35">
        <v>3</v>
      </c>
      <c r="P859" s="35">
        <v>3</v>
      </c>
      <c r="Q859" s="38" t="str">
        <f t="shared" si="13"/>
        <v>Weekday</v>
      </c>
    </row>
    <row r="860" spans="1:17">
      <c r="A860" s="35">
        <v>859</v>
      </c>
      <c r="B860" s="36">
        <v>40582</v>
      </c>
      <c r="C860" s="35">
        <v>1</v>
      </c>
      <c r="D860" s="35">
        <v>0</v>
      </c>
      <c r="E860" s="35">
        <v>2</v>
      </c>
      <c r="F860" s="35">
        <v>5</v>
      </c>
      <c r="G860" s="35" t="b">
        <v>0</v>
      </c>
      <c r="H860" s="35">
        <v>2</v>
      </c>
      <c r="I860" s="35">
        <v>1</v>
      </c>
      <c r="J860" s="35">
        <v>0.26</v>
      </c>
      <c r="K860" s="35">
        <v>0.2273</v>
      </c>
      <c r="L860" s="35">
        <v>0.81</v>
      </c>
      <c r="M860" s="35">
        <v>0.32840000000000003</v>
      </c>
      <c r="N860" s="35">
        <v>0</v>
      </c>
      <c r="O860" s="35">
        <v>2</v>
      </c>
      <c r="P860" s="35">
        <v>2</v>
      </c>
      <c r="Q860" s="38" t="str">
        <f t="shared" si="13"/>
        <v>Weekday</v>
      </c>
    </row>
    <row r="861" spans="1:17">
      <c r="A861" s="35">
        <v>860</v>
      </c>
      <c r="B861" s="36">
        <v>40582</v>
      </c>
      <c r="C861" s="35">
        <v>1</v>
      </c>
      <c r="D861" s="35">
        <v>0</v>
      </c>
      <c r="E861" s="35">
        <v>2</v>
      </c>
      <c r="F861" s="35">
        <v>6</v>
      </c>
      <c r="G861" s="35" t="b">
        <v>0</v>
      </c>
      <c r="H861" s="35">
        <v>2</v>
      </c>
      <c r="I861" s="35">
        <v>1</v>
      </c>
      <c r="J861" s="35">
        <v>0.26</v>
      </c>
      <c r="K861" s="35">
        <v>0.2273</v>
      </c>
      <c r="L861" s="35">
        <v>0.7</v>
      </c>
      <c r="M861" s="35">
        <v>0.32840000000000003</v>
      </c>
      <c r="N861" s="35">
        <v>0</v>
      </c>
      <c r="O861" s="35">
        <v>39</v>
      </c>
      <c r="P861" s="35">
        <v>39</v>
      </c>
      <c r="Q861" s="38" t="str">
        <f t="shared" si="13"/>
        <v>Weekday</v>
      </c>
    </row>
    <row r="862" spans="1:17">
      <c r="A862" s="35">
        <v>861</v>
      </c>
      <c r="B862" s="36">
        <v>40582</v>
      </c>
      <c r="C862" s="35">
        <v>1</v>
      </c>
      <c r="D862" s="35">
        <v>0</v>
      </c>
      <c r="E862" s="35">
        <v>2</v>
      </c>
      <c r="F862" s="35">
        <v>7</v>
      </c>
      <c r="G862" s="35" t="b">
        <v>0</v>
      </c>
      <c r="H862" s="35">
        <v>2</v>
      </c>
      <c r="I862" s="35">
        <v>1</v>
      </c>
      <c r="J862" s="35">
        <v>0.24</v>
      </c>
      <c r="K862" s="35">
        <v>0.19700000000000001</v>
      </c>
      <c r="L862" s="35">
        <v>0.65</v>
      </c>
      <c r="M862" s="35">
        <v>0.41789999999999999</v>
      </c>
      <c r="N862" s="35">
        <v>3</v>
      </c>
      <c r="O862" s="35">
        <v>97</v>
      </c>
      <c r="P862" s="35">
        <v>100</v>
      </c>
      <c r="Q862" s="38" t="str">
        <f t="shared" si="13"/>
        <v>Weekday</v>
      </c>
    </row>
    <row r="863" spans="1:17">
      <c r="A863" s="35">
        <v>862</v>
      </c>
      <c r="B863" s="36">
        <v>40582</v>
      </c>
      <c r="C863" s="35">
        <v>1</v>
      </c>
      <c r="D863" s="35">
        <v>0</v>
      </c>
      <c r="E863" s="35">
        <v>2</v>
      </c>
      <c r="F863" s="35">
        <v>8</v>
      </c>
      <c r="G863" s="35" t="b">
        <v>0</v>
      </c>
      <c r="H863" s="35">
        <v>2</v>
      </c>
      <c r="I863" s="35">
        <v>1</v>
      </c>
      <c r="J863" s="35">
        <v>0.24</v>
      </c>
      <c r="K863" s="35">
        <v>0.19700000000000001</v>
      </c>
      <c r="L863" s="35">
        <v>0.56000000000000005</v>
      </c>
      <c r="M863" s="35">
        <v>0.49249999999999999</v>
      </c>
      <c r="N863" s="35">
        <v>7</v>
      </c>
      <c r="O863" s="35">
        <v>236</v>
      </c>
      <c r="P863" s="35">
        <v>243</v>
      </c>
      <c r="Q863" s="38" t="str">
        <f t="shared" si="13"/>
        <v>Weekday</v>
      </c>
    </row>
    <row r="864" spans="1:17">
      <c r="A864" s="35">
        <v>863</v>
      </c>
      <c r="B864" s="36">
        <v>40582</v>
      </c>
      <c r="C864" s="35">
        <v>1</v>
      </c>
      <c r="D864" s="35">
        <v>0</v>
      </c>
      <c r="E864" s="35">
        <v>2</v>
      </c>
      <c r="F864" s="35">
        <v>9</v>
      </c>
      <c r="G864" s="35" t="b">
        <v>0</v>
      </c>
      <c r="H864" s="35">
        <v>2</v>
      </c>
      <c r="I864" s="35">
        <v>1</v>
      </c>
      <c r="J864" s="35">
        <v>0.24</v>
      </c>
      <c r="K864" s="35">
        <v>0.19700000000000001</v>
      </c>
      <c r="L864" s="35">
        <v>0.52</v>
      </c>
      <c r="M864" s="35">
        <v>0.49249999999999999</v>
      </c>
      <c r="N864" s="35">
        <v>7</v>
      </c>
      <c r="O864" s="35">
        <v>128</v>
      </c>
      <c r="P864" s="35">
        <v>135</v>
      </c>
      <c r="Q864" s="38" t="str">
        <f t="shared" si="13"/>
        <v>Weekday</v>
      </c>
    </row>
    <row r="865" spans="1:17">
      <c r="A865" s="35">
        <v>864</v>
      </c>
      <c r="B865" s="36">
        <v>40582</v>
      </c>
      <c r="C865" s="35">
        <v>1</v>
      </c>
      <c r="D865" s="35">
        <v>0</v>
      </c>
      <c r="E865" s="35">
        <v>2</v>
      </c>
      <c r="F865" s="35">
        <v>10</v>
      </c>
      <c r="G865" s="35" t="b">
        <v>0</v>
      </c>
      <c r="H865" s="35">
        <v>2</v>
      </c>
      <c r="I865" s="35">
        <v>1</v>
      </c>
      <c r="J865" s="35">
        <v>0.22</v>
      </c>
      <c r="K865" s="35">
        <v>0.18179999999999999</v>
      </c>
      <c r="L865" s="35">
        <v>0.47</v>
      </c>
      <c r="M865" s="35">
        <v>0.55220000000000002</v>
      </c>
      <c r="N865" s="35">
        <v>4</v>
      </c>
      <c r="O865" s="35">
        <v>44</v>
      </c>
      <c r="P865" s="35">
        <v>48</v>
      </c>
      <c r="Q865" s="38" t="str">
        <f t="shared" si="13"/>
        <v>Weekday</v>
      </c>
    </row>
    <row r="866" spans="1:17">
      <c r="A866" s="35">
        <v>865</v>
      </c>
      <c r="B866" s="36">
        <v>40582</v>
      </c>
      <c r="C866" s="35">
        <v>1</v>
      </c>
      <c r="D866" s="35">
        <v>0</v>
      </c>
      <c r="E866" s="35">
        <v>2</v>
      </c>
      <c r="F866" s="35">
        <v>11</v>
      </c>
      <c r="G866" s="35" t="b">
        <v>0</v>
      </c>
      <c r="H866" s="35">
        <v>2</v>
      </c>
      <c r="I866" s="35">
        <v>1</v>
      </c>
      <c r="J866" s="35">
        <v>0.22</v>
      </c>
      <c r="K866" s="35">
        <v>0.18179999999999999</v>
      </c>
      <c r="L866" s="35">
        <v>0.47</v>
      </c>
      <c r="M866" s="35">
        <v>0.4627</v>
      </c>
      <c r="N866" s="35">
        <v>1</v>
      </c>
      <c r="O866" s="35">
        <v>49</v>
      </c>
      <c r="P866" s="35">
        <v>50</v>
      </c>
      <c r="Q866" s="38" t="str">
        <f t="shared" si="13"/>
        <v>Weekday</v>
      </c>
    </row>
    <row r="867" spans="1:17">
      <c r="A867" s="35">
        <v>866</v>
      </c>
      <c r="B867" s="36">
        <v>40582</v>
      </c>
      <c r="C867" s="35">
        <v>1</v>
      </c>
      <c r="D867" s="35">
        <v>0</v>
      </c>
      <c r="E867" s="35">
        <v>2</v>
      </c>
      <c r="F867" s="35">
        <v>12</v>
      </c>
      <c r="G867" s="35" t="b">
        <v>0</v>
      </c>
      <c r="H867" s="35">
        <v>2</v>
      </c>
      <c r="I867" s="35">
        <v>1</v>
      </c>
      <c r="J867" s="35">
        <v>0.24</v>
      </c>
      <c r="K867" s="35">
        <v>0.19700000000000001</v>
      </c>
      <c r="L867" s="35">
        <v>0.38</v>
      </c>
      <c r="M867" s="35">
        <v>0.49249999999999999</v>
      </c>
      <c r="N867" s="35">
        <v>2</v>
      </c>
      <c r="O867" s="35">
        <v>63</v>
      </c>
      <c r="P867" s="35">
        <v>65</v>
      </c>
      <c r="Q867" s="38" t="str">
        <f t="shared" si="13"/>
        <v>Weekday</v>
      </c>
    </row>
    <row r="868" spans="1:17">
      <c r="A868" s="35">
        <v>867</v>
      </c>
      <c r="B868" s="36">
        <v>40582</v>
      </c>
      <c r="C868" s="35">
        <v>1</v>
      </c>
      <c r="D868" s="35">
        <v>0</v>
      </c>
      <c r="E868" s="35">
        <v>2</v>
      </c>
      <c r="F868" s="35">
        <v>13</v>
      </c>
      <c r="G868" s="35" t="b">
        <v>0</v>
      </c>
      <c r="H868" s="35">
        <v>2</v>
      </c>
      <c r="I868" s="35">
        <v>2</v>
      </c>
      <c r="J868" s="35">
        <v>0.24</v>
      </c>
      <c r="K868" s="35">
        <v>0.19700000000000001</v>
      </c>
      <c r="L868" s="35">
        <v>0.32</v>
      </c>
      <c r="M868" s="35">
        <v>0.44779999999999998</v>
      </c>
      <c r="N868" s="35">
        <v>2</v>
      </c>
      <c r="O868" s="35">
        <v>48</v>
      </c>
      <c r="P868" s="35">
        <v>50</v>
      </c>
      <c r="Q868" s="38" t="str">
        <f t="shared" si="13"/>
        <v>Weekday</v>
      </c>
    </row>
    <row r="869" spans="1:17">
      <c r="A869" s="35">
        <v>868</v>
      </c>
      <c r="B869" s="36">
        <v>40582</v>
      </c>
      <c r="C869" s="35">
        <v>1</v>
      </c>
      <c r="D869" s="35">
        <v>0</v>
      </c>
      <c r="E869" s="35">
        <v>2</v>
      </c>
      <c r="F869" s="35">
        <v>14</v>
      </c>
      <c r="G869" s="35" t="b">
        <v>0</v>
      </c>
      <c r="H869" s="35">
        <v>2</v>
      </c>
      <c r="I869" s="35">
        <v>1</v>
      </c>
      <c r="J869" s="35">
        <v>0.22</v>
      </c>
      <c r="K869" s="35">
        <v>0.19700000000000001</v>
      </c>
      <c r="L869" s="35">
        <v>0.37</v>
      </c>
      <c r="M869" s="35">
        <v>0.41789999999999999</v>
      </c>
      <c r="N869" s="35">
        <v>3</v>
      </c>
      <c r="O869" s="35">
        <v>61</v>
      </c>
      <c r="P869" s="35">
        <v>64</v>
      </c>
      <c r="Q869" s="38" t="str">
        <f t="shared" si="13"/>
        <v>Weekday</v>
      </c>
    </row>
    <row r="870" spans="1:17">
      <c r="A870" s="35">
        <v>869</v>
      </c>
      <c r="B870" s="36">
        <v>40582</v>
      </c>
      <c r="C870" s="35">
        <v>1</v>
      </c>
      <c r="D870" s="35">
        <v>0</v>
      </c>
      <c r="E870" s="35">
        <v>2</v>
      </c>
      <c r="F870" s="35">
        <v>15</v>
      </c>
      <c r="G870" s="35" t="b">
        <v>0</v>
      </c>
      <c r="H870" s="35">
        <v>2</v>
      </c>
      <c r="I870" s="35">
        <v>1</v>
      </c>
      <c r="J870" s="35">
        <v>0.22</v>
      </c>
      <c r="K870" s="35">
        <v>0.19700000000000001</v>
      </c>
      <c r="L870" s="35">
        <v>0.35</v>
      </c>
      <c r="M870" s="35">
        <v>0.3881</v>
      </c>
      <c r="N870" s="35">
        <v>6</v>
      </c>
      <c r="O870" s="35">
        <v>45</v>
      </c>
      <c r="P870" s="35">
        <v>51</v>
      </c>
      <c r="Q870" s="38" t="str">
        <f t="shared" si="13"/>
        <v>Weekday</v>
      </c>
    </row>
    <row r="871" spans="1:17">
      <c r="A871" s="35">
        <v>870</v>
      </c>
      <c r="B871" s="36">
        <v>40582</v>
      </c>
      <c r="C871" s="35">
        <v>1</v>
      </c>
      <c r="D871" s="35">
        <v>0</v>
      </c>
      <c r="E871" s="35">
        <v>2</v>
      </c>
      <c r="F871" s="35">
        <v>16</v>
      </c>
      <c r="G871" s="35" t="b">
        <v>0</v>
      </c>
      <c r="H871" s="35">
        <v>2</v>
      </c>
      <c r="I871" s="35">
        <v>1</v>
      </c>
      <c r="J871" s="35">
        <v>0.22</v>
      </c>
      <c r="K871" s="35">
        <v>0.18179999999999999</v>
      </c>
      <c r="L871" s="35">
        <v>0.35</v>
      </c>
      <c r="M871" s="35">
        <v>0.52239999999999998</v>
      </c>
      <c r="N871" s="35">
        <v>4</v>
      </c>
      <c r="O871" s="35">
        <v>79</v>
      </c>
      <c r="P871" s="35">
        <v>83</v>
      </c>
      <c r="Q871" s="38" t="str">
        <f t="shared" si="13"/>
        <v>Weekday</v>
      </c>
    </row>
    <row r="872" spans="1:17">
      <c r="A872" s="35">
        <v>871</v>
      </c>
      <c r="B872" s="36">
        <v>40582</v>
      </c>
      <c r="C872" s="35">
        <v>1</v>
      </c>
      <c r="D872" s="35">
        <v>0</v>
      </c>
      <c r="E872" s="35">
        <v>2</v>
      </c>
      <c r="F872" s="35">
        <v>17</v>
      </c>
      <c r="G872" s="35" t="b">
        <v>0</v>
      </c>
      <c r="H872" s="35">
        <v>2</v>
      </c>
      <c r="I872" s="35">
        <v>1</v>
      </c>
      <c r="J872" s="35">
        <v>0.22</v>
      </c>
      <c r="K872" s="35">
        <v>0.18179999999999999</v>
      </c>
      <c r="L872" s="35">
        <v>0.32</v>
      </c>
      <c r="M872" s="35">
        <v>0.58209999999999995</v>
      </c>
      <c r="N872" s="35">
        <v>4</v>
      </c>
      <c r="O872" s="35">
        <v>172</v>
      </c>
      <c r="P872" s="35">
        <v>176</v>
      </c>
      <c r="Q872" s="38" t="str">
        <f t="shared" si="13"/>
        <v>Weekday</v>
      </c>
    </row>
    <row r="873" spans="1:17">
      <c r="A873" s="35">
        <v>872</v>
      </c>
      <c r="B873" s="36">
        <v>40582</v>
      </c>
      <c r="C873" s="35">
        <v>1</v>
      </c>
      <c r="D873" s="35">
        <v>0</v>
      </c>
      <c r="E873" s="35">
        <v>2</v>
      </c>
      <c r="F873" s="35">
        <v>18</v>
      </c>
      <c r="G873" s="35" t="b">
        <v>0</v>
      </c>
      <c r="H873" s="35">
        <v>2</v>
      </c>
      <c r="I873" s="35">
        <v>1</v>
      </c>
      <c r="J873" s="35">
        <v>0.2</v>
      </c>
      <c r="K873" s="35">
        <v>0.18179999999999999</v>
      </c>
      <c r="L873" s="35">
        <v>0.32</v>
      </c>
      <c r="M873" s="35">
        <v>0.3881</v>
      </c>
      <c r="N873" s="35">
        <v>1</v>
      </c>
      <c r="O873" s="35">
        <v>151</v>
      </c>
      <c r="P873" s="35">
        <v>152</v>
      </c>
      <c r="Q873" s="38" t="str">
        <f t="shared" si="13"/>
        <v>Weekday</v>
      </c>
    </row>
    <row r="874" spans="1:17">
      <c r="A874" s="35">
        <v>873</v>
      </c>
      <c r="B874" s="36">
        <v>40582</v>
      </c>
      <c r="C874" s="35">
        <v>1</v>
      </c>
      <c r="D874" s="35">
        <v>0</v>
      </c>
      <c r="E874" s="35">
        <v>2</v>
      </c>
      <c r="F874" s="35">
        <v>19</v>
      </c>
      <c r="G874" s="35" t="b">
        <v>0</v>
      </c>
      <c r="H874" s="35">
        <v>2</v>
      </c>
      <c r="I874" s="35">
        <v>1</v>
      </c>
      <c r="J874" s="35">
        <v>0.16</v>
      </c>
      <c r="K874" s="35">
        <v>0.1212</v>
      </c>
      <c r="L874" s="35">
        <v>0.4</v>
      </c>
      <c r="M874" s="35">
        <v>0.4627</v>
      </c>
      <c r="N874" s="35">
        <v>1</v>
      </c>
      <c r="O874" s="35">
        <v>100</v>
      </c>
      <c r="P874" s="35">
        <v>101</v>
      </c>
      <c r="Q874" s="38" t="str">
        <f t="shared" si="13"/>
        <v>Weekday</v>
      </c>
    </row>
    <row r="875" spans="1:17">
      <c r="A875" s="35">
        <v>874</v>
      </c>
      <c r="B875" s="36">
        <v>40582</v>
      </c>
      <c r="C875" s="35">
        <v>1</v>
      </c>
      <c r="D875" s="35">
        <v>0</v>
      </c>
      <c r="E875" s="35">
        <v>2</v>
      </c>
      <c r="F875" s="35">
        <v>20</v>
      </c>
      <c r="G875" s="35" t="b">
        <v>0</v>
      </c>
      <c r="H875" s="35">
        <v>2</v>
      </c>
      <c r="I875" s="35">
        <v>1</v>
      </c>
      <c r="J875" s="35">
        <v>0.16</v>
      </c>
      <c r="K875" s="35">
        <v>0.13639999999999999</v>
      </c>
      <c r="L875" s="35">
        <v>0.4</v>
      </c>
      <c r="M875" s="35">
        <v>0.32840000000000003</v>
      </c>
      <c r="N875" s="35">
        <v>3</v>
      </c>
      <c r="O875" s="35">
        <v>53</v>
      </c>
      <c r="P875" s="35">
        <v>56</v>
      </c>
      <c r="Q875" s="38" t="str">
        <f t="shared" si="13"/>
        <v>Weekday</v>
      </c>
    </row>
    <row r="876" spans="1:17">
      <c r="A876" s="35">
        <v>875</v>
      </c>
      <c r="B876" s="36">
        <v>40582</v>
      </c>
      <c r="C876" s="35">
        <v>1</v>
      </c>
      <c r="D876" s="35">
        <v>0</v>
      </c>
      <c r="E876" s="35">
        <v>2</v>
      </c>
      <c r="F876" s="35">
        <v>21</v>
      </c>
      <c r="G876" s="35" t="b">
        <v>0</v>
      </c>
      <c r="H876" s="35">
        <v>2</v>
      </c>
      <c r="I876" s="35">
        <v>1</v>
      </c>
      <c r="J876" s="35">
        <v>0.14000000000000001</v>
      </c>
      <c r="K876" s="35">
        <v>0.1061</v>
      </c>
      <c r="L876" s="35">
        <v>0.33</v>
      </c>
      <c r="M876" s="35">
        <v>0.4627</v>
      </c>
      <c r="N876" s="35">
        <v>8</v>
      </c>
      <c r="O876" s="35">
        <v>46</v>
      </c>
      <c r="P876" s="35">
        <v>54</v>
      </c>
      <c r="Q876" s="38" t="str">
        <f t="shared" si="13"/>
        <v>Weekday</v>
      </c>
    </row>
    <row r="877" spans="1:17">
      <c r="A877" s="35">
        <v>876</v>
      </c>
      <c r="B877" s="36">
        <v>40582</v>
      </c>
      <c r="C877" s="35">
        <v>1</v>
      </c>
      <c r="D877" s="35">
        <v>0</v>
      </c>
      <c r="E877" s="35">
        <v>2</v>
      </c>
      <c r="F877" s="35">
        <v>22</v>
      </c>
      <c r="G877" s="35" t="b">
        <v>0</v>
      </c>
      <c r="H877" s="35">
        <v>2</v>
      </c>
      <c r="I877" s="35">
        <v>1</v>
      </c>
      <c r="J877" s="35">
        <v>0.12</v>
      </c>
      <c r="K877" s="35">
        <v>0.1061</v>
      </c>
      <c r="L877" s="35">
        <v>0.33</v>
      </c>
      <c r="M877" s="35">
        <v>0.35820000000000002</v>
      </c>
      <c r="N877" s="35">
        <v>0</v>
      </c>
      <c r="O877" s="35">
        <v>29</v>
      </c>
      <c r="P877" s="35">
        <v>29</v>
      </c>
      <c r="Q877" s="38" t="str">
        <f t="shared" si="13"/>
        <v>Weekday</v>
      </c>
    </row>
    <row r="878" spans="1:17">
      <c r="A878" s="35">
        <v>877</v>
      </c>
      <c r="B878" s="36">
        <v>40582</v>
      </c>
      <c r="C878" s="35">
        <v>1</v>
      </c>
      <c r="D878" s="35">
        <v>0</v>
      </c>
      <c r="E878" s="35">
        <v>2</v>
      </c>
      <c r="F878" s="35">
        <v>23</v>
      </c>
      <c r="G878" s="35" t="b">
        <v>0</v>
      </c>
      <c r="H878" s="35">
        <v>2</v>
      </c>
      <c r="I878" s="35">
        <v>1</v>
      </c>
      <c r="J878" s="35">
        <v>0.12</v>
      </c>
      <c r="K878" s="35">
        <v>0.1061</v>
      </c>
      <c r="L878" s="35">
        <v>0.33</v>
      </c>
      <c r="M878" s="35">
        <v>0.32840000000000003</v>
      </c>
      <c r="N878" s="35">
        <v>3</v>
      </c>
      <c r="O878" s="35">
        <v>9</v>
      </c>
      <c r="P878" s="35">
        <v>12</v>
      </c>
      <c r="Q878" s="38" t="str">
        <f t="shared" si="13"/>
        <v>Weekday</v>
      </c>
    </row>
    <row r="879" spans="1:17">
      <c r="A879" s="35">
        <v>878</v>
      </c>
      <c r="B879" s="36">
        <v>40583</v>
      </c>
      <c r="C879" s="35">
        <v>1</v>
      </c>
      <c r="D879" s="35">
        <v>0</v>
      </c>
      <c r="E879" s="35">
        <v>2</v>
      </c>
      <c r="F879" s="35">
        <v>0</v>
      </c>
      <c r="G879" s="35" t="b">
        <v>0</v>
      </c>
      <c r="H879" s="35">
        <v>3</v>
      </c>
      <c r="I879" s="35">
        <v>1</v>
      </c>
      <c r="J879" s="35">
        <v>0.1</v>
      </c>
      <c r="K879" s="35">
        <v>7.5800000000000006E-2</v>
      </c>
      <c r="L879" s="35">
        <v>0.36</v>
      </c>
      <c r="M879" s="35">
        <v>0.35820000000000002</v>
      </c>
      <c r="N879" s="35">
        <v>0</v>
      </c>
      <c r="O879" s="35">
        <v>17</v>
      </c>
      <c r="P879" s="35">
        <v>17</v>
      </c>
      <c r="Q879" s="38" t="str">
        <f t="shared" si="13"/>
        <v>Weekday</v>
      </c>
    </row>
    <row r="880" spans="1:17">
      <c r="A880" s="35">
        <v>879</v>
      </c>
      <c r="B880" s="36">
        <v>40583</v>
      </c>
      <c r="C880" s="35">
        <v>1</v>
      </c>
      <c r="D880" s="35">
        <v>0</v>
      </c>
      <c r="E880" s="35">
        <v>2</v>
      </c>
      <c r="F880" s="35">
        <v>1</v>
      </c>
      <c r="G880" s="35" t="b">
        <v>0</v>
      </c>
      <c r="H880" s="35">
        <v>3</v>
      </c>
      <c r="I880" s="35">
        <v>1</v>
      </c>
      <c r="J880" s="35">
        <v>0.1</v>
      </c>
      <c r="K880" s="35">
        <v>0.1061</v>
      </c>
      <c r="L880" s="35">
        <v>0.36</v>
      </c>
      <c r="M880" s="35">
        <v>0.22389999999999999</v>
      </c>
      <c r="N880" s="35">
        <v>0</v>
      </c>
      <c r="O880" s="35">
        <v>7</v>
      </c>
      <c r="P880" s="35">
        <v>7</v>
      </c>
      <c r="Q880" s="38" t="str">
        <f t="shared" si="13"/>
        <v>Weekday</v>
      </c>
    </row>
    <row r="881" spans="1:17">
      <c r="A881" s="35">
        <v>880</v>
      </c>
      <c r="B881" s="36">
        <v>40583</v>
      </c>
      <c r="C881" s="35">
        <v>1</v>
      </c>
      <c r="D881" s="35">
        <v>0</v>
      </c>
      <c r="E881" s="35">
        <v>2</v>
      </c>
      <c r="F881" s="35">
        <v>2</v>
      </c>
      <c r="G881" s="35" t="b">
        <v>0</v>
      </c>
      <c r="H881" s="35">
        <v>3</v>
      </c>
      <c r="I881" s="35">
        <v>1</v>
      </c>
      <c r="J881" s="35">
        <v>0.08</v>
      </c>
      <c r="K881" s="35">
        <v>7.5800000000000006E-2</v>
      </c>
      <c r="L881" s="35">
        <v>0.38</v>
      </c>
      <c r="M881" s="35">
        <v>0.28360000000000002</v>
      </c>
      <c r="N881" s="35">
        <v>1</v>
      </c>
      <c r="O881" s="35">
        <v>2</v>
      </c>
      <c r="P881" s="35">
        <v>3</v>
      </c>
      <c r="Q881" s="38" t="str">
        <f t="shared" si="13"/>
        <v>Weekday</v>
      </c>
    </row>
    <row r="882" spans="1:17">
      <c r="A882" s="35">
        <v>881</v>
      </c>
      <c r="B882" s="36">
        <v>40583</v>
      </c>
      <c r="C882" s="35">
        <v>1</v>
      </c>
      <c r="D882" s="35">
        <v>0</v>
      </c>
      <c r="E882" s="35">
        <v>2</v>
      </c>
      <c r="F882" s="35">
        <v>3</v>
      </c>
      <c r="G882" s="35" t="b">
        <v>0</v>
      </c>
      <c r="H882" s="35">
        <v>3</v>
      </c>
      <c r="I882" s="35">
        <v>1</v>
      </c>
      <c r="J882" s="35">
        <v>0.06</v>
      </c>
      <c r="K882" s="35">
        <v>7.5800000000000006E-2</v>
      </c>
      <c r="L882" s="35">
        <v>0.45</v>
      </c>
      <c r="M882" s="35">
        <v>0.1343</v>
      </c>
      <c r="N882" s="35">
        <v>0</v>
      </c>
      <c r="O882" s="35">
        <v>2</v>
      </c>
      <c r="P882" s="35">
        <v>2</v>
      </c>
      <c r="Q882" s="38" t="str">
        <f t="shared" si="13"/>
        <v>Weekday</v>
      </c>
    </row>
    <row r="883" spans="1:17">
      <c r="A883" s="35">
        <v>882</v>
      </c>
      <c r="B883" s="36">
        <v>40583</v>
      </c>
      <c r="C883" s="35">
        <v>1</v>
      </c>
      <c r="D883" s="35">
        <v>0</v>
      </c>
      <c r="E883" s="35">
        <v>2</v>
      </c>
      <c r="F883" s="35">
        <v>5</v>
      </c>
      <c r="G883" s="35" t="b">
        <v>0</v>
      </c>
      <c r="H883" s="35">
        <v>3</v>
      </c>
      <c r="I883" s="35">
        <v>1</v>
      </c>
      <c r="J883" s="35">
        <v>0.06</v>
      </c>
      <c r="K883" s="35">
        <v>0.1061</v>
      </c>
      <c r="L883" s="35">
        <v>0.45</v>
      </c>
      <c r="M883" s="35">
        <v>0.1045</v>
      </c>
      <c r="N883" s="35">
        <v>0</v>
      </c>
      <c r="O883" s="35">
        <v>7</v>
      </c>
      <c r="P883" s="35">
        <v>7</v>
      </c>
      <c r="Q883" s="38" t="str">
        <f t="shared" si="13"/>
        <v>Weekday</v>
      </c>
    </row>
    <row r="884" spans="1:17">
      <c r="A884" s="35">
        <v>883</v>
      </c>
      <c r="B884" s="36">
        <v>40583</v>
      </c>
      <c r="C884" s="35">
        <v>1</v>
      </c>
      <c r="D884" s="35">
        <v>0</v>
      </c>
      <c r="E884" s="35">
        <v>2</v>
      </c>
      <c r="F884" s="35">
        <v>6</v>
      </c>
      <c r="G884" s="35" t="b">
        <v>0</v>
      </c>
      <c r="H884" s="35">
        <v>3</v>
      </c>
      <c r="I884" s="35">
        <v>1</v>
      </c>
      <c r="J884" s="35">
        <v>0.06</v>
      </c>
      <c r="K884" s="35">
        <v>0.1515</v>
      </c>
      <c r="L884" s="35">
        <v>0.45</v>
      </c>
      <c r="M884" s="35">
        <v>0</v>
      </c>
      <c r="N884" s="35">
        <v>0</v>
      </c>
      <c r="O884" s="35">
        <v>43</v>
      </c>
      <c r="P884" s="35">
        <v>43</v>
      </c>
      <c r="Q884" s="38" t="str">
        <f t="shared" si="13"/>
        <v>Weekday</v>
      </c>
    </row>
    <row r="885" spans="1:17">
      <c r="A885" s="35">
        <v>884</v>
      </c>
      <c r="B885" s="36">
        <v>40583</v>
      </c>
      <c r="C885" s="35">
        <v>1</v>
      </c>
      <c r="D885" s="35">
        <v>0</v>
      </c>
      <c r="E885" s="35">
        <v>2</v>
      </c>
      <c r="F885" s="35">
        <v>7</v>
      </c>
      <c r="G885" s="35" t="b">
        <v>0</v>
      </c>
      <c r="H885" s="35">
        <v>3</v>
      </c>
      <c r="I885" s="35">
        <v>1</v>
      </c>
      <c r="J885" s="35">
        <v>0.06</v>
      </c>
      <c r="K885" s="35">
        <v>0.1061</v>
      </c>
      <c r="L885" s="35">
        <v>0.49</v>
      </c>
      <c r="M885" s="35">
        <v>0.1045</v>
      </c>
      <c r="N885" s="35">
        <v>4</v>
      </c>
      <c r="O885" s="35">
        <v>95</v>
      </c>
      <c r="P885" s="35">
        <v>99</v>
      </c>
      <c r="Q885" s="38" t="str">
        <f t="shared" si="13"/>
        <v>Weekday</v>
      </c>
    </row>
    <row r="886" spans="1:17">
      <c r="A886" s="35">
        <v>885</v>
      </c>
      <c r="B886" s="36">
        <v>40583</v>
      </c>
      <c r="C886" s="35">
        <v>1</v>
      </c>
      <c r="D886" s="35">
        <v>0</v>
      </c>
      <c r="E886" s="35">
        <v>2</v>
      </c>
      <c r="F886" s="35">
        <v>8</v>
      </c>
      <c r="G886" s="35" t="b">
        <v>0</v>
      </c>
      <c r="H886" s="35">
        <v>3</v>
      </c>
      <c r="I886" s="35">
        <v>1</v>
      </c>
      <c r="J886" s="35">
        <v>0.1</v>
      </c>
      <c r="K886" s="35">
        <v>0.13639999999999999</v>
      </c>
      <c r="L886" s="35">
        <v>0.42</v>
      </c>
      <c r="M886" s="35">
        <v>0</v>
      </c>
      <c r="N886" s="35">
        <v>1</v>
      </c>
      <c r="O886" s="35">
        <v>198</v>
      </c>
      <c r="P886" s="35">
        <v>199</v>
      </c>
      <c r="Q886" s="38" t="str">
        <f t="shared" si="13"/>
        <v>Weekday</v>
      </c>
    </row>
    <row r="887" spans="1:17">
      <c r="A887" s="35">
        <v>886</v>
      </c>
      <c r="B887" s="36">
        <v>40583</v>
      </c>
      <c r="C887" s="35">
        <v>1</v>
      </c>
      <c r="D887" s="35">
        <v>0</v>
      </c>
      <c r="E887" s="35">
        <v>2</v>
      </c>
      <c r="F887" s="35">
        <v>9</v>
      </c>
      <c r="G887" s="35" t="b">
        <v>0</v>
      </c>
      <c r="H887" s="35">
        <v>3</v>
      </c>
      <c r="I887" s="35">
        <v>1</v>
      </c>
      <c r="J887" s="35">
        <v>0.12</v>
      </c>
      <c r="K887" s="35">
        <v>0.13639999999999999</v>
      </c>
      <c r="L887" s="35">
        <v>0.39</v>
      </c>
      <c r="M887" s="35">
        <v>0.16420000000000001</v>
      </c>
      <c r="N887" s="35">
        <v>4</v>
      </c>
      <c r="O887" s="35">
        <v>119</v>
      </c>
      <c r="P887" s="35">
        <v>123</v>
      </c>
      <c r="Q887" s="38" t="str">
        <f t="shared" si="13"/>
        <v>Weekday</v>
      </c>
    </row>
    <row r="888" spans="1:17">
      <c r="A888" s="35">
        <v>887</v>
      </c>
      <c r="B888" s="36">
        <v>40583</v>
      </c>
      <c r="C888" s="35">
        <v>1</v>
      </c>
      <c r="D888" s="35">
        <v>0</v>
      </c>
      <c r="E888" s="35">
        <v>2</v>
      </c>
      <c r="F888" s="35">
        <v>10</v>
      </c>
      <c r="G888" s="35" t="b">
        <v>0</v>
      </c>
      <c r="H888" s="35">
        <v>3</v>
      </c>
      <c r="I888" s="35">
        <v>1</v>
      </c>
      <c r="J888" s="35">
        <v>0.14000000000000001</v>
      </c>
      <c r="K888" s="35">
        <v>0.18179999999999999</v>
      </c>
      <c r="L888" s="35">
        <v>0.36</v>
      </c>
      <c r="M888" s="35">
        <v>0</v>
      </c>
      <c r="N888" s="35">
        <v>8</v>
      </c>
      <c r="O888" s="35">
        <v>51</v>
      </c>
      <c r="P888" s="35">
        <v>59</v>
      </c>
      <c r="Q888" s="38" t="str">
        <f t="shared" si="13"/>
        <v>Weekday</v>
      </c>
    </row>
    <row r="889" spans="1:17">
      <c r="A889" s="35">
        <v>888</v>
      </c>
      <c r="B889" s="36">
        <v>40583</v>
      </c>
      <c r="C889" s="35">
        <v>1</v>
      </c>
      <c r="D889" s="35">
        <v>0</v>
      </c>
      <c r="E889" s="35">
        <v>2</v>
      </c>
      <c r="F889" s="35">
        <v>11</v>
      </c>
      <c r="G889" s="35" t="b">
        <v>0</v>
      </c>
      <c r="H889" s="35">
        <v>3</v>
      </c>
      <c r="I889" s="35">
        <v>2</v>
      </c>
      <c r="J889" s="35">
        <v>0.14000000000000001</v>
      </c>
      <c r="K889" s="35">
        <v>0.1515</v>
      </c>
      <c r="L889" s="35">
        <v>0.43</v>
      </c>
      <c r="M889" s="35">
        <v>0.16420000000000001</v>
      </c>
      <c r="N889" s="35">
        <v>1</v>
      </c>
      <c r="O889" s="35">
        <v>40</v>
      </c>
      <c r="P889" s="35">
        <v>41</v>
      </c>
      <c r="Q889" s="38" t="str">
        <f t="shared" si="13"/>
        <v>Weekday</v>
      </c>
    </row>
    <row r="890" spans="1:17">
      <c r="A890" s="35">
        <v>889</v>
      </c>
      <c r="B890" s="36">
        <v>40583</v>
      </c>
      <c r="C890" s="35">
        <v>1</v>
      </c>
      <c r="D890" s="35">
        <v>0</v>
      </c>
      <c r="E890" s="35">
        <v>2</v>
      </c>
      <c r="F890" s="35">
        <v>12</v>
      </c>
      <c r="G890" s="35" t="b">
        <v>0</v>
      </c>
      <c r="H890" s="35">
        <v>3</v>
      </c>
      <c r="I890" s="35">
        <v>2</v>
      </c>
      <c r="J890" s="35">
        <v>0.18</v>
      </c>
      <c r="K890" s="35">
        <v>0.18179999999999999</v>
      </c>
      <c r="L890" s="35">
        <v>0.4</v>
      </c>
      <c r="M890" s="35">
        <v>0.22389999999999999</v>
      </c>
      <c r="N890" s="35">
        <v>4</v>
      </c>
      <c r="O890" s="35">
        <v>57</v>
      </c>
      <c r="P890" s="35">
        <v>61</v>
      </c>
      <c r="Q890" s="38" t="str">
        <f t="shared" si="13"/>
        <v>Weekday</v>
      </c>
    </row>
    <row r="891" spans="1:17">
      <c r="A891" s="35">
        <v>890</v>
      </c>
      <c r="B891" s="36">
        <v>40583</v>
      </c>
      <c r="C891" s="35">
        <v>1</v>
      </c>
      <c r="D891" s="35">
        <v>0</v>
      </c>
      <c r="E891" s="35">
        <v>2</v>
      </c>
      <c r="F891" s="35">
        <v>13</v>
      </c>
      <c r="G891" s="35" t="b">
        <v>0</v>
      </c>
      <c r="H891" s="35">
        <v>3</v>
      </c>
      <c r="I891" s="35">
        <v>1</v>
      </c>
      <c r="J891" s="35">
        <v>0.18</v>
      </c>
      <c r="K891" s="35">
        <v>0.16669999999999999</v>
      </c>
      <c r="L891" s="35">
        <v>0.4</v>
      </c>
      <c r="M891" s="35">
        <v>0.25369999999999998</v>
      </c>
      <c r="N891" s="35">
        <v>2</v>
      </c>
      <c r="O891" s="35">
        <v>67</v>
      </c>
      <c r="P891" s="35">
        <v>69</v>
      </c>
      <c r="Q891" s="38" t="str">
        <f t="shared" si="13"/>
        <v>Weekday</v>
      </c>
    </row>
    <row r="892" spans="1:17">
      <c r="A892" s="35">
        <v>891</v>
      </c>
      <c r="B892" s="36">
        <v>40583</v>
      </c>
      <c r="C892" s="35">
        <v>1</v>
      </c>
      <c r="D892" s="35">
        <v>0</v>
      </c>
      <c r="E892" s="35">
        <v>2</v>
      </c>
      <c r="F892" s="35">
        <v>14</v>
      </c>
      <c r="G892" s="35" t="b">
        <v>0</v>
      </c>
      <c r="H892" s="35">
        <v>3</v>
      </c>
      <c r="I892" s="35">
        <v>1</v>
      </c>
      <c r="J892" s="35">
        <v>0.2</v>
      </c>
      <c r="K892" s="35">
        <v>0.18179999999999999</v>
      </c>
      <c r="L892" s="35">
        <v>0.34</v>
      </c>
      <c r="M892" s="35">
        <v>0.29849999999999999</v>
      </c>
      <c r="N892" s="35">
        <v>2</v>
      </c>
      <c r="O892" s="35">
        <v>56</v>
      </c>
      <c r="P892" s="35">
        <v>58</v>
      </c>
      <c r="Q892" s="38" t="str">
        <f t="shared" si="13"/>
        <v>Weekday</v>
      </c>
    </row>
    <row r="893" spans="1:17">
      <c r="A893" s="35">
        <v>892</v>
      </c>
      <c r="B893" s="36">
        <v>40583</v>
      </c>
      <c r="C893" s="35">
        <v>1</v>
      </c>
      <c r="D893" s="35">
        <v>0</v>
      </c>
      <c r="E893" s="35">
        <v>2</v>
      </c>
      <c r="F893" s="35">
        <v>15</v>
      </c>
      <c r="G893" s="35" t="b">
        <v>0</v>
      </c>
      <c r="H893" s="35">
        <v>3</v>
      </c>
      <c r="I893" s="35">
        <v>2</v>
      </c>
      <c r="J893" s="35">
        <v>0.2</v>
      </c>
      <c r="K893" s="35">
        <v>0.18179999999999999</v>
      </c>
      <c r="L893" s="35">
        <v>0.34</v>
      </c>
      <c r="M893" s="35">
        <v>0.28360000000000002</v>
      </c>
      <c r="N893" s="35">
        <v>3</v>
      </c>
      <c r="O893" s="35">
        <v>61</v>
      </c>
      <c r="P893" s="35">
        <v>64</v>
      </c>
      <c r="Q893" s="38" t="str">
        <f t="shared" si="13"/>
        <v>Weekday</v>
      </c>
    </row>
    <row r="894" spans="1:17">
      <c r="A894" s="35">
        <v>893</v>
      </c>
      <c r="B894" s="36">
        <v>40583</v>
      </c>
      <c r="C894" s="35">
        <v>1</v>
      </c>
      <c r="D894" s="35">
        <v>0</v>
      </c>
      <c r="E894" s="35">
        <v>2</v>
      </c>
      <c r="F894" s="35">
        <v>16</v>
      </c>
      <c r="G894" s="35" t="b">
        <v>0</v>
      </c>
      <c r="H894" s="35">
        <v>3</v>
      </c>
      <c r="I894" s="35">
        <v>2</v>
      </c>
      <c r="J894" s="35">
        <v>0.2</v>
      </c>
      <c r="K894" s="35">
        <v>0.19700000000000001</v>
      </c>
      <c r="L894" s="35">
        <v>0.37</v>
      </c>
      <c r="M894" s="35">
        <v>0.25369999999999998</v>
      </c>
      <c r="N894" s="35">
        <v>7</v>
      </c>
      <c r="O894" s="35">
        <v>72</v>
      </c>
      <c r="P894" s="35">
        <v>79</v>
      </c>
      <c r="Q894" s="38" t="str">
        <f t="shared" si="13"/>
        <v>Weekday</v>
      </c>
    </row>
    <row r="895" spans="1:17">
      <c r="A895" s="35">
        <v>894</v>
      </c>
      <c r="B895" s="36">
        <v>40583</v>
      </c>
      <c r="C895" s="35">
        <v>1</v>
      </c>
      <c r="D895" s="35">
        <v>0</v>
      </c>
      <c r="E895" s="35">
        <v>2</v>
      </c>
      <c r="F895" s="35">
        <v>17</v>
      </c>
      <c r="G895" s="35" t="b">
        <v>0</v>
      </c>
      <c r="H895" s="35">
        <v>3</v>
      </c>
      <c r="I895" s="35">
        <v>2</v>
      </c>
      <c r="J895" s="35">
        <v>0.2</v>
      </c>
      <c r="K895" s="35">
        <v>0.19700000000000001</v>
      </c>
      <c r="L895" s="35">
        <v>0.34</v>
      </c>
      <c r="M895" s="35">
        <v>0.25369999999999998</v>
      </c>
      <c r="N895" s="35">
        <v>9</v>
      </c>
      <c r="O895" s="35">
        <v>157</v>
      </c>
      <c r="P895" s="35">
        <v>166</v>
      </c>
      <c r="Q895" s="38" t="str">
        <f t="shared" si="13"/>
        <v>Weekday</v>
      </c>
    </row>
    <row r="896" spans="1:17">
      <c r="A896" s="35">
        <v>895</v>
      </c>
      <c r="B896" s="36">
        <v>40583</v>
      </c>
      <c r="C896" s="35">
        <v>1</v>
      </c>
      <c r="D896" s="35">
        <v>0</v>
      </c>
      <c r="E896" s="35">
        <v>2</v>
      </c>
      <c r="F896" s="35">
        <v>18</v>
      </c>
      <c r="G896" s="35" t="b">
        <v>0</v>
      </c>
      <c r="H896" s="35">
        <v>3</v>
      </c>
      <c r="I896" s="35">
        <v>2</v>
      </c>
      <c r="J896" s="35">
        <v>0.18</v>
      </c>
      <c r="K896" s="35">
        <v>0.16669999999999999</v>
      </c>
      <c r="L896" s="35">
        <v>0.47</v>
      </c>
      <c r="M896" s="35">
        <v>0.29849999999999999</v>
      </c>
      <c r="N896" s="35">
        <v>2</v>
      </c>
      <c r="O896" s="35">
        <v>168</v>
      </c>
      <c r="P896" s="35">
        <v>170</v>
      </c>
      <c r="Q896" s="38" t="str">
        <f t="shared" si="13"/>
        <v>Weekday</v>
      </c>
    </row>
    <row r="897" spans="1:17">
      <c r="A897" s="35">
        <v>896</v>
      </c>
      <c r="B897" s="36">
        <v>40583</v>
      </c>
      <c r="C897" s="35">
        <v>1</v>
      </c>
      <c r="D897" s="35">
        <v>0</v>
      </c>
      <c r="E897" s="35">
        <v>2</v>
      </c>
      <c r="F897" s="35">
        <v>19</v>
      </c>
      <c r="G897" s="35" t="b">
        <v>0</v>
      </c>
      <c r="H897" s="35">
        <v>3</v>
      </c>
      <c r="I897" s="35">
        <v>3</v>
      </c>
      <c r="J897" s="35">
        <v>0.14000000000000001</v>
      </c>
      <c r="K897" s="35">
        <v>0.1212</v>
      </c>
      <c r="L897" s="35">
        <v>0.86</v>
      </c>
      <c r="M897" s="35">
        <v>0.25369999999999998</v>
      </c>
      <c r="N897" s="35">
        <v>1</v>
      </c>
      <c r="O897" s="35">
        <v>87</v>
      </c>
      <c r="P897" s="35">
        <v>88</v>
      </c>
      <c r="Q897" s="38" t="str">
        <f t="shared" si="13"/>
        <v>Weekday</v>
      </c>
    </row>
    <row r="898" spans="1:17">
      <c r="A898" s="35">
        <v>897</v>
      </c>
      <c r="B898" s="36">
        <v>40583</v>
      </c>
      <c r="C898" s="35">
        <v>1</v>
      </c>
      <c r="D898" s="35">
        <v>0</v>
      </c>
      <c r="E898" s="35">
        <v>2</v>
      </c>
      <c r="F898" s="35">
        <v>20</v>
      </c>
      <c r="G898" s="35" t="b">
        <v>0</v>
      </c>
      <c r="H898" s="35">
        <v>3</v>
      </c>
      <c r="I898" s="35">
        <v>3</v>
      </c>
      <c r="J898" s="35">
        <v>0.14000000000000001</v>
      </c>
      <c r="K898" s="35">
        <v>0.1515</v>
      </c>
      <c r="L898" s="35">
        <v>0.86</v>
      </c>
      <c r="M898" s="35">
        <v>0.16420000000000001</v>
      </c>
      <c r="N898" s="35">
        <v>0</v>
      </c>
      <c r="O898" s="35">
        <v>84</v>
      </c>
      <c r="P898" s="35">
        <v>84</v>
      </c>
      <c r="Q898" s="38" t="str">
        <f t="shared" ref="Q898:Q961" si="14">IF(H898&gt;=6,"Weekend","Weekday")</f>
        <v>Weekday</v>
      </c>
    </row>
    <row r="899" spans="1:17">
      <c r="A899" s="35">
        <v>898</v>
      </c>
      <c r="B899" s="36">
        <v>40583</v>
      </c>
      <c r="C899" s="35">
        <v>1</v>
      </c>
      <c r="D899" s="35">
        <v>0</v>
      </c>
      <c r="E899" s="35">
        <v>2</v>
      </c>
      <c r="F899" s="35">
        <v>21</v>
      </c>
      <c r="G899" s="35" t="b">
        <v>0</v>
      </c>
      <c r="H899" s="35">
        <v>3</v>
      </c>
      <c r="I899" s="35">
        <v>2</v>
      </c>
      <c r="J899" s="35">
        <v>0.14000000000000001</v>
      </c>
      <c r="K899" s="35">
        <v>0.1515</v>
      </c>
      <c r="L899" s="35">
        <v>0.86</v>
      </c>
      <c r="M899" s="35">
        <v>0.16420000000000001</v>
      </c>
      <c r="N899" s="35">
        <v>0</v>
      </c>
      <c r="O899" s="35">
        <v>83</v>
      </c>
      <c r="P899" s="35">
        <v>83</v>
      </c>
      <c r="Q899" s="38" t="str">
        <f t="shared" si="14"/>
        <v>Weekday</v>
      </c>
    </row>
    <row r="900" spans="1:17">
      <c r="A900" s="35">
        <v>899</v>
      </c>
      <c r="B900" s="36">
        <v>40583</v>
      </c>
      <c r="C900" s="35">
        <v>1</v>
      </c>
      <c r="D900" s="35">
        <v>0</v>
      </c>
      <c r="E900" s="35">
        <v>2</v>
      </c>
      <c r="F900" s="35">
        <v>22</v>
      </c>
      <c r="G900" s="35" t="b">
        <v>0</v>
      </c>
      <c r="H900" s="35">
        <v>3</v>
      </c>
      <c r="I900" s="35">
        <v>3</v>
      </c>
      <c r="J900" s="35">
        <v>0.16</v>
      </c>
      <c r="K900" s="35">
        <v>0.16669999999999999</v>
      </c>
      <c r="L900" s="35">
        <v>0.8</v>
      </c>
      <c r="M900" s="35">
        <v>0.16420000000000001</v>
      </c>
      <c r="N900" s="35">
        <v>4</v>
      </c>
      <c r="O900" s="35">
        <v>42</v>
      </c>
      <c r="P900" s="35">
        <v>46</v>
      </c>
      <c r="Q900" s="38" t="str">
        <f t="shared" si="14"/>
        <v>Weekday</v>
      </c>
    </row>
    <row r="901" spans="1:17">
      <c r="A901" s="35">
        <v>900</v>
      </c>
      <c r="B901" s="36">
        <v>40583</v>
      </c>
      <c r="C901" s="35">
        <v>1</v>
      </c>
      <c r="D901" s="35">
        <v>0</v>
      </c>
      <c r="E901" s="35">
        <v>2</v>
      </c>
      <c r="F901" s="35">
        <v>23</v>
      </c>
      <c r="G901" s="35" t="b">
        <v>0</v>
      </c>
      <c r="H901" s="35">
        <v>3</v>
      </c>
      <c r="I901" s="35">
        <v>3</v>
      </c>
      <c r="J901" s="35">
        <v>0.16</v>
      </c>
      <c r="K901" s="35">
        <v>0.1515</v>
      </c>
      <c r="L901" s="35">
        <v>0.8</v>
      </c>
      <c r="M901" s="35">
        <v>0.19400000000000001</v>
      </c>
      <c r="N901" s="35">
        <v>0</v>
      </c>
      <c r="O901" s="35">
        <v>37</v>
      </c>
      <c r="P901" s="35">
        <v>37</v>
      </c>
      <c r="Q901" s="38" t="str">
        <f t="shared" si="14"/>
        <v>Weekday</v>
      </c>
    </row>
    <row r="902" spans="1:17">
      <c r="A902" s="35">
        <v>901</v>
      </c>
      <c r="B902" s="36">
        <v>40584</v>
      </c>
      <c r="C902" s="35">
        <v>1</v>
      </c>
      <c r="D902" s="35">
        <v>0</v>
      </c>
      <c r="E902" s="35">
        <v>2</v>
      </c>
      <c r="F902" s="35">
        <v>0</v>
      </c>
      <c r="G902" s="35" t="b">
        <v>0</v>
      </c>
      <c r="H902" s="35">
        <v>4</v>
      </c>
      <c r="I902" s="35">
        <v>3</v>
      </c>
      <c r="J902" s="35">
        <v>0.14000000000000001</v>
      </c>
      <c r="K902" s="35">
        <v>0.13639999999999999</v>
      </c>
      <c r="L902" s="35">
        <v>0.86</v>
      </c>
      <c r="M902" s="35">
        <v>0.19400000000000001</v>
      </c>
      <c r="N902" s="35">
        <v>0</v>
      </c>
      <c r="O902" s="35">
        <v>16</v>
      </c>
      <c r="P902" s="35">
        <v>16</v>
      </c>
      <c r="Q902" s="38" t="str">
        <f t="shared" si="14"/>
        <v>Weekday</v>
      </c>
    </row>
    <row r="903" spans="1:17">
      <c r="A903" s="35">
        <v>902</v>
      </c>
      <c r="B903" s="36">
        <v>40584</v>
      </c>
      <c r="C903" s="35">
        <v>1</v>
      </c>
      <c r="D903" s="35">
        <v>0</v>
      </c>
      <c r="E903" s="35">
        <v>2</v>
      </c>
      <c r="F903" s="35">
        <v>1</v>
      </c>
      <c r="G903" s="35" t="b">
        <v>0</v>
      </c>
      <c r="H903" s="35">
        <v>4</v>
      </c>
      <c r="I903" s="35">
        <v>3</v>
      </c>
      <c r="J903" s="35">
        <v>0.14000000000000001</v>
      </c>
      <c r="K903" s="35">
        <v>0.1515</v>
      </c>
      <c r="L903" s="35">
        <v>0.8</v>
      </c>
      <c r="M903" s="35">
        <v>0.1343</v>
      </c>
      <c r="N903" s="35">
        <v>0</v>
      </c>
      <c r="O903" s="35">
        <v>7</v>
      </c>
      <c r="P903" s="35">
        <v>7</v>
      </c>
      <c r="Q903" s="38" t="str">
        <f t="shared" si="14"/>
        <v>Weekday</v>
      </c>
    </row>
    <row r="904" spans="1:17">
      <c r="A904" s="35">
        <v>903</v>
      </c>
      <c r="B904" s="36">
        <v>40584</v>
      </c>
      <c r="C904" s="35">
        <v>1</v>
      </c>
      <c r="D904" s="35">
        <v>0</v>
      </c>
      <c r="E904" s="35">
        <v>2</v>
      </c>
      <c r="F904" s="35">
        <v>2</v>
      </c>
      <c r="G904" s="35" t="b">
        <v>0</v>
      </c>
      <c r="H904" s="35">
        <v>4</v>
      </c>
      <c r="I904" s="35">
        <v>3</v>
      </c>
      <c r="J904" s="35">
        <v>0.14000000000000001</v>
      </c>
      <c r="K904" s="35">
        <v>0.1515</v>
      </c>
      <c r="L904" s="35">
        <v>0.8</v>
      </c>
      <c r="M904" s="35">
        <v>0.1343</v>
      </c>
      <c r="N904" s="35">
        <v>0</v>
      </c>
      <c r="O904" s="35">
        <v>3</v>
      </c>
      <c r="P904" s="35">
        <v>3</v>
      </c>
      <c r="Q904" s="38" t="str">
        <f t="shared" si="14"/>
        <v>Weekday</v>
      </c>
    </row>
    <row r="905" spans="1:17">
      <c r="A905" s="35">
        <v>904</v>
      </c>
      <c r="B905" s="36">
        <v>40584</v>
      </c>
      <c r="C905" s="35">
        <v>1</v>
      </c>
      <c r="D905" s="35">
        <v>0</v>
      </c>
      <c r="E905" s="35">
        <v>2</v>
      </c>
      <c r="F905" s="35">
        <v>4</v>
      </c>
      <c r="G905" s="35" t="b">
        <v>0</v>
      </c>
      <c r="H905" s="35">
        <v>4</v>
      </c>
      <c r="I905" s="35">
        <v>2</v>
      </c>
      <c r="J905" s="35">
        <v>0.14000000000000001</v>
      </c>
      <c r="K905" s="35">
        <v>0.13639999999999999</v>
      </c>
      <c r="L905" s="35">
        <v>0.59</v>
      </c>
      <c r="M905" s="35">
        <v>0.22389999999999999</v>
      </c>
      <c r="N905" s="35">
        <v>0</v>
      </c>
      <c r="O905" s="35">
        <v>1</v>
      </c>
      <c r="P905" s="35">
        <v>1</v>
      </c>
      <c r="Q905" s="38" t="str">
        <f t="shared" si="14"/>
        <v>Weekday</v>
      </c>
    </row>
    <row r="906" spans="1:17">
      <c r="A906" s="35">
        <v>905</v>
      </c>
      <c r="B906" s="36">
        <v>40584</v>
      </c>
      <c r="C906" s="35">
        <v>1</v>
      </c>
      <c r="D906" s="35">
        <v>0</v>
      </c>
      <c r="E906" s="35">
        <v>2</v>
      </c>
      <c r="F906" s="35">
        <v>5</v>
      </c>
      <c r="G906" s="35" t="b">
        <v>0</v>
      </c>
      <c r="H906" s="35">
        <v>4</v>
      </c>
      <c r="I906" s="35">
        <v>2</v>
      </c>
      <c r="J906" s="35">
        <v>0.12</v>
      </c>
      <c r="K906" s="35">
        <v>0.1212</v>
      </c>
      <c r="L906" s="35">
        <v>0.5</v>
      </c>
      <c r="M906" s="35">
        <v>0.22389999999999999</v>
      </c>
      <c r="N906" s="35">
        <v>0</v>
      </c>
      <c r="O906" s="35">
        <v>6</v>
      </c>
      <c r="P906" s="35">
        <v>6</v>
      </c>
      <c r="Q906" s="38" t="str">
        <f t="shared" si="14"/>
        <v>Weekday</v>
      </c>
    </row>
    <row r="907" spans="1:17">
      <c r="A907" s="35">
        <v>906</v>
      </c>
      <c r="B907" s="36">
        <v>40584</v>
      </c>
      <c r="C907" s="35">
        <v>1</v>
      </c>
      <c r="D907" s="35">
        <v>0</v>
      </c>
      <c r="E907" s="35">
        <v>2</v>
      </c>
      <c r="F907" s="35">
        <v>6</v>
      </c>
      <c r="G907" s="35" t="b">
        <v>0</v>
      </c>
      <c r="H907" s="35">
        <v>4</v>
      </c>
      <c r="I907" s="35">
        <v>2</v>
      </c>
      <c r="J907" s="35">
        <v>0.12</v>
      </c>
      <c r="K907" s="35">
        <v>0.1212</v>
      </c>
      <c r="L907" s="35">
        <v>0.54</v>
      </c>
      <c r="M907" s="35">
        <v>0.28360000000000002</v>
      </c>
      <c r="N907" s="35">
        <v>0</v>
      </c>
      <c r="O907" s="35">
        <v>26</v>
      </c>
      <c r="P907" s="35">
        <v>26</v>
      </c>
      <c r="Q907" s="38" t="str">
        <f t="shared" si="14"/>
        <v>Weekday</v>
      </c>
    </row>
    <row r="908" spans="1:17">
      <c r="A908" s="35">
        <v>907</v>
      </c>
      <c r="B908" s="36">
        <v>40584</v>
      </c>
      <c r="C908" s="35">
        <v>1</v>
      </c>
      <c r="D908" s="35">
        <v>0</v>
      </c>
      <c r="E908" s="35">
        <v>2</v>
      </c>
      <c r="F908" s="35">
        <v>7</v>
      </c>
      <c r="G908" s="35" t="b">
        <v>0</v>
      </c>
      <c r="H908" s="35">
        <v>4</v>
      </c>
      <c r="I908" s="35">
        <v>1</v>
      </c>
      <c r="J908" s="35">
        <v>0.1</v>
      </c>
      <c r="K908" s="35">
        <v>7.5800000000000006E-2</v>
      </c>
      <c r="L908" s="35">
        <v>0.5</v>
      </c>
      <c r="M908" s="35">
        <v>0.41789999999999999</v>
      </c>
      <c r="N908" s="35">
        <v>0</v>
      </c>
      <c r="O908" s="35">
        <v>99</v>
      </c>
      <c r="P908" s="35">
        <v>99</v>
      </c>
      <c r="Q908" s="38" t="str">
        <f t="shared" si="14"/>
        <v>Weekday</v>
      </c>
    </row>
    <row r="909" spans="1:17">
      <c r="A909" s="35">
        <v>908</v>
      </c>
      <c r="B909" s="36">
        <v>40584</v>
      </c>
      <c r="C909" s="35">
        <v>1</v>
      </c>
      <c r="D909" s="35">
        <v>0</v>
      </c>
      <c r="E909" s="35">
        <v>2</v>
      </c>
      <c r="F909" s="35">
        <v>8</v>
      </c>
      <c r="G909" s="35" t="b">
        <v>0</v>
      </c>
      <c r="H909" s="35">
        <v>4</v>
      </c>
      <c r="I909" s="35">
        <v>1</v>
      </c>
      <c r="J909" s="35">
        <v>0.1</v>
      </c>
      <c r="K909" s="35">
        <v>7.5800000000000006E-2</v>
      </c>
      <c r="L909" s="35">
        <v>0.49</v>
      </c>
      <c r="M909" s="35">
        <v>0.32840000000000003</v>
      </c>
      <c r="N909" s="35">
        <v>5</v>
      </c>
      <c r="O909" s="35">
        <v>173</v>
      </c>
      <c r="P909" s="35">
        <v>178</v>
      </c>
      <c r="Q909" s="38" t="str">
        <f t="shared" si="14"/>
        <v>Weekday</v>
      </c>
    </row>
    <row r="910" spans="1:17">
      <c r="A910" s="35">
        <v>909</v>
      </c>
      <c r="B910" s="36">
        <v>40584</v>
      </c>
      <c r="C910" s="35">
        <v>1</v>
      </c>
      <c r="D910" s="35">
        <v>0</v>
      </c>
      <c r="E910" s="35">
        <v>2</v>
      </c>
      <c r="F910" s="35">
        <v>9</v>
      </c>
      <c r="G910" s="35" t="b">
        <v>0</v>
      </c>
      <c r="H910" s="35">
        <v>4</v>
      </c>
      <c r="I910" s="35">
        <v>1</v>
      </c>
      <c r="J910" s="35">
        <v>0.12</v>
      </c>
      <c r="K910" s="35">
        <v>0.1061</v>
      </c>
      <c r="L910" s="35">
        <v>0.42</v>
      </c>
      <c r="M910" s="35">
        <v>0.35820000000000002</v>
      </c>
      <c r="N910" s="35">
        <v>1</v>
      </c>
      <c r="O910" s="35">
        <v>121</v>
      </c>
      <c r="P910" s="35">
        <v>122</v>
      </c>
      <c r="Q910" s="38" t="str">
        <f t="shared" si="14"/>
        <v>Weekday</v>
      </c>
    </row>
    <row r="911" spans="1:17">
      <c r="A911" s="35">
        <v>910</v>
      </c>
      <c r="B911" s="36">
        <v>40584</v>
      </c>
      <c r="C911" s="35">
        <v>1</v>
      </c>
      <c r="D911" s="35">
        <v>0</v>
      </c>
      <c r="E911" s="35">
        <v>2</v>
      </c>
      <c r="F911" s="35">
        <v>10</v>
      </c>
      <c r="G911" s="35" t="b">
        <v>0</v>
      </c>
      <c r="H911" s="35">
        <v>4</v>
      </c>
      <c r="I911" s="35">
        <v>1</v>
      </c>
      <c r="J911" s="35">
        <v>0.12</v>
      </c>
      <c r="K911" s="35">
        <v>0.1061</v>
      </c>
      <c r="L911" s="35">
        <v>0.42</v>
      </c>
      <c r="M911" s="35">
        <v>0.29849999999999999</v>
      </c>
      <c r="N911" s="35">
        <v>1</v>
      </c>
      <c r="O911" s="35">
        <v>34</v>
      </c>
      <c r="P911" s="35">
        <v>35</v>
      </c>
      <c r="Q911" s="38" t="str">
        <f t="shared" si="14"/>
        <v>Weekday</v>
      </c>
    </row>
    <row r="912" spans="1:17">
      <c r="A912" s="35">
        <v>911</v>
      </c>
      <c r="B912" s="36">
        <v>40584</v>
      </c>
      <c r="C912" s="35">
        <v>1</v>
      </c>
      <c r="D912" s="35">
        <v>0</v>
      </c>
      <c r="E912" s="35">
        <v>2</v>
      </c>
      <c r="F912" s="35">
        <v>11</v>
      </c>
      <c r="G912" s="35" t="b">
        <v>0</v>
      </c>
      <c r="H912" s="35">
        <v>4</v>
      </c>
      <c r="I912" s="35">
        <v>1</v>
      </c>
      <c r="J912" s="35">
        <v>0.14000000000000001</v>
      </c>
      <c r="K912" s="35">
        <v>0.1212</v>
      </c>
      <c r="L912" s="35">
        <v>0.39</v>
      </c>
      <c r="M912" s="35">
        <v>0.35820000000000002</v>
      </c>
      <c r="N912" s="35">
        <v>1</v>
      </c>
      <c r="O912" s="35">
        <v>44</v>
      </c>
      <c r="P912" s="35">
        <v>45</v>
      </c>
      <c r="Q912" s="38" t="str">
        <f t="shared" si="14"/>
        <v>Weekday</v>
      </c>
    </row>
    <row r="913" spans="1:17">
      <c r="A913" s="35">
        <v>912</v>
      </c>
      <c r="B913" s="36">
        <v>40584</v>
      </c>
      <c r="C913" s="35">
        <v>1</v>
      </c>
      <c r="D913" s="35">
        <v>0</v>
      </c>
      <c r="E913" s="35">
        <v>2</v>
      </c>
      <c r="F913" s="35">
        <v>12</v>
      </c>
      <c r="G913" s="35" t="b">
        <v>0</v>
      </c>
      <c r="H913" s="35">
        <v>4</v>
      </c>
      <c r="I913" s="35">
        <v>1</v>
      </c>
      <c r="J913" s="35">
        <v>0.16</v>
      </c>
      <c r="K913" s="35">
        <v>0.13639999999999999</v>
      </c>
      <c r="L913" s="35">
        <v>0.34</v>
      </c>
      <c r="M913" s="35">
        <v>0.3881</v>
      </c>
      <c r="N913" s="35">
        <v>4</v>
      </c>
      <c r="O913" s="35">
        <v>65</v>
      </c>
      <c r="P913" s="35">
        <v>69</v>
      </c>
      <c r="Q913" s="38" t="str">
        <f t="shared" si="14"/>
        <v>Weekday</v>
      </c>
    </row>
    <row r="914" spans="1:17">
      <c r="A914" s="35">
        <v>913</v>
      </c>
      <c r="B914" s="36">
        <v>40584</v>
      </c>
      <c r="C914" s="35">
        <v>1</v>
      </c>
      <c r="D914" s="35">
        <v>0</v>
      </c>
      <c r="E914" s="35">
        <v>2</v>
      </c>
      <c r="F914" s="35">
        <v>13</v>
      </c>
      <c r="G914" s="35" t="b">
        <v>0</v>
      </c>
      <c r="H914" s="35">
        <v>4</v>
      </c>
      <c r="I914" s="35">
        <v>1</v>
      </c>
      <c r="J914" s="35">
        <v>0.18</v>
      </c>
      <c r="K914" s="35">
        <v>0.16669999999999999</v>
      </c>
      <c r="L914" s="35">
        <v>0.28999999999999998</v>
      </c>
      <c r="M914" s="35">
        <v>0.29849999999999999</v>
      </c>
      <c r="N914" s="35">
        <v>3</v>
      </c>
      <c r="O914" s="35">
        <v>59</v>
      </c>
      <c r="P914" s="35">
        <v>62</v>
      </c>
      <c r="Q914" s="38" t="str">
        <f t="shared" si="14"/>
        <v>Weekday</v>
      </c>
    </row>
    <row r="915" spans="1:17">
      <c r="A915" s="35">
        <v>914</v>
      </c>
      <c r="B915" s="36">
        <v>40584</v>
      </c>
      <c r="C915" s="35">
        <v>1</v>
      </c>
      <c r="D915" s="35">
        <v>0</v>
      </c>
      <c r="E915" s="35">
        <v>2</v>
      </c>
      <c r="F915" s="35">
        <v>14</v>
      </c>
      <c r="G915" s="35" t="b">
        <v>0</v>
      </c>
      <c r="H915" s="35">
        <v>4</v>
      </c>
      <c r="I915" s="35">
        <v>1</v>
      </c>
      <c r="J915" s="35">
        <v>0.2</v>
      </c>
      <c r="K915" s="35">
        <v>0.18179999999999999</v>
      </c>
      <c r="L915" s="35">
        <v>0.27</v>
      </c>
      <c r="M915" s="35">
        <v>0.28360000000000002</v>
      </c>
      <c r="N915" s="35">
        <v>6</v>
      </c>
      <c r="O915" s="35">
        <v>42</v>
      </c>
      <c r="P915" s="35">
        <v>48</v>
      </c>
      <c r="Q915" s="38" t="str">
        <f t="shared" si="14"/>
        <v>Weekday</v>
      </c>
    </row>
    <row r="916" spans="1:17">
      <c r="A916" s="35">
        <v>915</v>
      </c>
      <c r="B916" s="36">
        <v>40584</v>
      </c>
      <c r="C916" s="35">
        <v>1</v>
      </c>
      <c r="D916" s="35">
        <v>0</v>
      </c>
      <c r="E916" s="35">
        <v>2</v>
      </c>
      <c r="F916" s="35">
        <v>15</v>
      </c>
      <c r="G916" s="35" t="b">
        <v>0</v>
      </c>
      <c r="H916" s="35">
        <v>4</v>
      </c>
      <c r="I916" s="35">
        <v>1</v>
      </c>
      <c r="J916" s="35">
        <v>0.2</v>
      </c>
      <c r="K916" s="35">
        <v>0.19700000000000001</v>
      </c>
      <c r="L916" s="35">
        <v>0.25</v>
      </c>
      <c r="M916" s="35">
        <v>0.25369999999999998</v>
      </c>
      <c r="N916" s="35">
        <v>0</v>
      </c>
      <c r="O916" s="35">
        <v>50</v>
      </c>
      <c r="P916" s="35">
        <v>50</v>
      </c>
      <c r="Q916" s="38" t="str">
        <f t="shared" si="14"/>
        <v>Weekday</v>
      </c>
    </row>
    <row r="917" spans="1:17">
      <c r="A917" s="35">
        <v>916</v>
      </c>
      <c r="B917" s="36">
        <v>40584</v>
      </c>
      <c r="C917" s="35">
        <v>1</v>
      </c>
      <c r="D917" s="35">
        <v>0</v>
      </c>
      <c r="E917" s="35">
        <v>2</v>
      </c>
      <c r="F917" s="35">
        <v>16</v>
      </c>
      <c r="G917" s="35" t="b">
        <v>0</v>
      </c>
      <c r="H917" s="35">
        <v>4</v>
      </c>
      <c r="I917" s="35">
        <v>1</v>
      </c>
      <c r="J917" s="35">
        <v>0.2</v>
      </c>
      <c r="K917" s="35">
        <v>0.18179999999999999</v>
      </c>
      <c r="L917" s="35">
        <v>0.27</v>
      </c>
      <c r="M917" s="35">
        <v>0.29849999999999999</v>
      </c>
      <c r="N917" s="35">
        <v>4</v>
      </c>
      <c r="O917" s="35">
        <v>76</v>
      </c>
      <c r="P917" s="35">
        <v>80</v>
      </c>
      <c r="Q917" s="38" t="str">
        <f t="shared" si="14"/>
        <v>Weekday</v>
      </c>
    </row>
    <row r="918" spans="1:17">
      <c r="A918" s="35">
        <v>917</v>
      </c>
      <c r="B918" s="36">
        <v>40584</v>
      </c>
      <c r="C918" s="35">
        <v>1</v>
      </c>
      <c r="D918" s="35">
        <v>0</v>
      </c>
      <c r="E918" s="35">
        <v>2</v>
      </c>
      <c r="F918" s="35">
        <v>17</v>
      </c>
      <c r="G918" s="35" t="b">
        <v>0</v>
      </c>
      <c r="H918" s="35">
        <v>4</v>
      </c>
      <c r="I918" s="35">
        <v>1</v>
      </c>
      <c r="J918" s="35">
        <v>0.18</v>
      </c>
      <c r="K918" s="35">
        <v>0.18179999999999999</v>
      </c>
      <c r="L918" s="35">
        <v>0.26</v>
      </c>
      <c r="M918" s="35">
        <v>0.19400000000000001</v>
      </c>
      <c r="N918" s="35">
        <v>6</v>
      </c>
      <c r="O918" s="35">
        <v>159</v>
      </c>
      <c r="P918" s="35">
        <v>165</v>
      </c>
      <c r="Q918" s="38" t="str">
        <f t="shared" si="14"/>
        <v>Weekday</v>
      </c>
    </row>
    <row r="919" spans="1:17">
      <c r="A919" s="35">
        <v>918</v>
      </c>
      <c r="B919" s="36">
        <v>40584</v>
      </c>
      <c r="C919" s="35">
        <v>1</v>
      </c>
      <c r="D919" s="35">
        <v>0</v>
      </c>
      <c r="E919" s="35">
        <v>2</v>
      </c>
      <c r="F919" s="35">
        <v>18</v>
      </c>
      <c r="G919" s="35" t="b">
        <v>0</v>
      </c>
      <c r="H919" s="35">
        <v>4</v>
      </c>
      <c r="I919" s="35">
        <v>1</v>
      </c>
      <c r="J919" s="35">
        <v>0.16</v>
      </c>
      <c r="K919" s="35">
        <v>0.18179999999999999</v>
      </c>
      <c r="L919" s="35">
        <v>0.28000000000000003</v>
      </c>
      <c r="M919" s="35">
        <v>0.1343</v>
      </c>
      <c r="N919" s="35">
        <v>3</v>
      </c>
      <c r="O919" s="35">
        <v>157</v>
      </c>
      <c r="P919" s="35">
        <v>160</v>
      </c>
      <c r="Q919" s="38" t="str">
        <f t="shared" si="14"/>
        <v>Weekday</v>
      </c>
    </row>
    <row r="920" spans="1:17">
      <c r="A920" s="35">
        <v>919</v>
      </c>
      <c r="B920" s="36">
        <v>40584</v>
      </c>
      <c r="C920" s="35">
        <v>1</v>
      </c>
      <c r="D920" s="35">
        <v>0</v>
      </c>
      <c r="E920" s="35">
        <v>2</v>
      </c>
      <c r="F920" s="35">
        <v>19</v>
      </c>
      <c r="G920" s="35" t="b">
        <v>0</v>
      </c>
      <c r="H920" s="35">
        <v>4</v>
      </c>
      <c r="I920" s="35">
        <v>1</v>
      </c>
      <c r="J920" s="35">
        <v>0.14000000000000001</v>
      </c>
      <c r="K920" s="35">
        <v>0.16669999999999999</v>
      </c>
      <c r="L920" s="35">
        <v>0.28000000000000003</v>
      </c>
      <c r="M920" s="35">
        <v>0.1045</v>
      </c>
      <c r="N920" s="35">
        <v>2</v>
      </c>
      <c r="O920" s="35">
        <v>110</v>
      </c>
      <c r="P920" s="35">
        <v>112</v>
      </c>
      <c r="Q920" s="38" t="str">
        <f t="shared" si="14"/>
        <v>Weekday</v>
      </c>
    </row>
    <row r="921" spans="1:17">
      <c r="A921" s="35">
        <v>920</v>
      </c>
      <c r="B921" s="36">
        <v>40584</v>
      </c>
      <c r="C921" s="35">
        <v>1</v>
      </c>
      <c r="D921" s="35">
        <v>0</v>
      </c>
      <c r="E921" s="35">
        <v>2</v>
      </c>
      <c r="F921" s="35">
        <v>20</v>
      </c>
      <c r="G921" s="35" t="b">
        <v>0</v>
      </c>
      <c r="H921" s="35">
        <v>4</v>
      </c>
      <c r="I921" s="35">
        <v>1</v>
      </c>
      <c r="J921" s="35">
        <v>0.14000000000000001</v>
      </c>
      <c r="K921" s="35">
        <v>0.18179999999999999</v>
      </c>
      <c r="L921" s="35">
        <v>0.31</v>
      </c>
      <c r="M921" s="35">
        <v>8.9599999999999999E-2</v>
      </c>
      <c r="N921" s="35">
        <v>4</v>
      </c>
      <c r="O921" s="35">
        <v>93</v>
      </c>
      <c r="P921" s="35">
        <v>97</v>
      </c>
      <c r="Q921" s="38" t="str">
        <f t="shared" si="14"/>
        <v>Weekday</v>
      </c>
    </row>
    <row r="922" spans="1:17">
      <c r="A922" s="35">
        <v>921</v>
      </c>
      <c r="B922" s="36">
        <v>40584</v>
      </c>
      <c r="C922" s="35">
        <v>1</v>
      </c>
      <c r="D922" s="35">
        <v>0</v>
      </c>
      <c r="E922" s="35">
        <v>2</v>
      </c>
      <c r="F922" s="35">
        <v>21</v>
      </c>
      <c r="G922" s="35" t="b">
        <v>0</v>
      </c>
      <c r="H922" s="35">
        <v>4</v>
      </c>
      <c r="I922" s="35">
        <v>1</v>
      </c>
      <c r="J922" s="35">
        <v>0.14000000000000001</v>
      </c>
      <c r="K922" s="35">
        <v>0.21210000000000001</v>
      </c>
      <c r="L922" s="35">
        <v>0.39</v>
      </c>
      <c r="M922" s="35">
        <v>0</v>
      </c>
      <c r="N922" s="35">
        <v>2</v>
      </c>
      <c r="O922" s="35">
        <v>70</v>
      </c>
      <c r="P922" s="35">
        <v>72</v>
      </c>
      <c r="Q922" s="38" t="str">
        <f t="shared" si="14"/>
        <v>Weekday</v>
      </c>
    </row>
    <row r="923" spans="1:17">
      <c r="A923" s="35">
        <v>922</v>
      </c>
      <c r="B923" s="36">
        <v>40584</v>
      </c>
      <c r="C923" s="35">
        <v>1</v>
      </c>
      <c r="D923" s="35">
        <v>0</v>
      </c>
      <c r="E923" s="35">
        <v>2</v>
      </c>
      <c r="F923" s="35">
        <v>22</v>
      </c>
      <c r="G923" s="35" t="b">
        <v>0</v>
      </c>
      <c r="H923" s="35">
        <v>4</v>
      </c>
      <c r="I923" s="35">
        <v>1</v>
      </c>
      <c r="J923" s="35">
        <v>0.12</v>
      </c>
      <c r="K923" s="35">
        <v>0.19700000000000001</v>
      </c>
      <c r="L923" s="35">
        <v>0.39</v>
      </c>
      <c r="M923" s="35">
        <v>0</v>
      </c>
      <c r="N923" s="35">
        <v>4</v>
      </c>
      <c r="O923" s="35">
        <v>47</v>
      </c>
      <c r="P923" s="35">
        <v>51</v>
      </c>
      <c r="Q923" s="38" t="str">
        <f t="shared" si="14"/>
        <v>Weekday</v>
      </c>
    </row>
    <row r="924" spans="1:17">
      <c r="A924" s="35">
        <v>923</v>
      </c>
      <c r="B924" s="36">
        <v>40584</v>
      </c>
      <c r="C924" s="35">
        <v>1</v>
      </c>
      <c r="D924" s="35">
        <v>0</v>
      </c>
      <c r="E924" s="35">
        <v>2</v>
      </c>
      <c r="F924" s="35">
        <v>23</v>
      </c>
      <c r="G924" s="35" t="b">
        <v>0</v>
      </c>
      <c r="H924" s="35">
        <v>4</v>
      </c>
      <c r="I924" s="35">
        <v>1</v>
      </c>
      <c r="J924" s="35">
        <v>0.12</v>
      </c>
      <c r="K924" s="35">
        <v>0.1515</v>
      </c>
      <c r="L924" s="35">
        <v>0.42</v>
      </c>
      <c r="M924" s="35">
        <v>0.1045</v>
      </c>
      <c r="N924" s="35">
        <v>1</v>
      </c>
      <c r="O924" s="35">
        <v>33</v>
      </c>
      <c r="P924" s="35">
        <v>34</v>
      </c>
      <c r="Q924" s="38" t="str">
        <f t="shared" si="14"/>
        <v>Weekday</v>
      </c>
    </row>
    <row r="925" spans="1:17">
      <c r="A925" s="35">
        <v>924</v>
      </c>
      <c r="B925" s="36">
        <v>40585</v>
      </c>
      <c r="C925" s="35">
        <v>1</v>
      </c>
      <c r="D925" s="35">
        <v>0</v>
      </c>
      <c r="E925" s="35">
        <v>2</v>
      </c>
      <c r="F925" s="35">
        <v>0</v>
      </c>
      <c r="G925" s="35" t="b">
        <v>0</v>
      </c>
      <c r="H925" s="35">
        <v>5</v>
      </c>
      <c r="I925" s="35">
        <v>1</v>
      </c>
      <c r="J925" s="35">
        <v>0.1</v>
      </c>
      <c r="K925" s="35">
        <v>0.13639999999999999</v>
      </c>
      <c r="L925" s="35">
        <v>0.49</v>
      </c>
      <c r="M925" s="35">
        <v>0.1045</v>
      </c>
      <c r="N925" s="35">
        <v>2</v>
      </c>
      <c r="O925" s="35">
        <v>12</v>
      </c>
      <c r="P925" s="35">
        <v>14</v>
      </c>
      <c r="Q925" s="38" t="str">
        <f t="shared" si="14"/>
        <v>Weekday</v>
      </c>
    </row>
    <row r="926" spans="1:17">
      <c r="A926" s="35">
        <v>925</v>
      </c>
      <c r="B926" s="36">
        <v>40585</v>
      </c>
      <c r="C926" s="35">
        <v>1</v>
      </c>
      <c r="D926" s="35">
        <v>0</v>
      </c>
      <c r="E926" s="35">
        <v>2</v>
      </c>
      <c r="F926" s="35">
        <v>1</v>
      </c>
      <c r="G926" s="35" t="b">
        <v>0</v>
      </c>
      <c r="H926" s="35">
        <v>5</v>
      </c>
      <c r="I926" s="35">
        <v>1</v>
      </c>
      <c r="J926" s="35">
        <v>0.1</v>
      </c>
      <c r="K926" s="35">
        <v>0.13639999999999999</v>
      </c>
      <c r="L926" s="35">
        <v>0.54</v>
      </c>
      <c r="M926" s="35">
        <v>8.9599999999999999E-2</v>
      </c>
      <c r="N926" s="35">
        <v>1</v>
      </c>
      <c r="O926" s="35">
        <v>6</v>
      </c>
      <c r="P926" s="35">
        <v>7</v>
      </c>
      <c r="Q926" s="38" t="str">
        <f t="shared" si="14"/>
        <v>Weekday</v>
      </c>
    </row>
    <row r="927" spans="1:17">
      <c r="A927" s="35">
        <v>926</v>
      </c>
      <c r="B927" s="36">
        <v>40585</v>
      </c>
      <c r="C927" s="35">
        <v>1</v>
      </c>
      <c r="D927" s="35">
        <v>0</v>
      </c>
      <c r="E927" s="35">
        <v>2</v>
      </c>
      <c r="F927" s="35">
        <v>2</v>
      </c>
      <c r="G927" s="35" t="b">
        <v>0</v>
      </c>
      <c r="H927" s="35">
        <v>5</v>
      </c>
      <c r="I927" s="35">
        <v>1</v>
      </c>
      <c r="J927" s="35">
        <v>0.1</v>
      </c>
      <c r="K927" s="35">
        <v>0.13639999999999999</v>
      </c>
      <c r="L927" s="35">
        <v>0.54</v>
      </c>
      <c r="M927" s="35">
        <v>8.9599999999999999E-2</v>
      </c>
      <c r="N927" s="35">
        <v>0</v>
      </c>
      <c r="O927" s="35">
        <v>3</v>
      </c>
      <c r="P927" s="35">
        <v>3</v>
      </c>
      <c r="Q927" s="38" t="str">
        <f t="shared" si="14"/>
        <v>Weekday</v>
      </c>
    </row>
    <row r="928" spans="1:17">
      <c r="A928" s="35">
        <v>927</v>
      </c>
      <c r="B928" s="36">
        <v>40585</v>
      </c>
      <c r="C928" s="35">
        <v>1</v>
      </c>
      <c r="D928" s="35">
        <v>0</v>
      </c>
      <c r="E928" s="35">
        <v>2</v>
      </c>
      <c r="F928" s="35">
        <v>5</v>
      </c>
      <c r="G928" s="35" t="b">
        <v>0</v>
      </c>
      <c r="H928" s="35">
        <v>5</v>
      </c>
      <c r="I928" s="35">
        <v>1</v>
      </c>
      <c r="J928" s="35">
        <v>0.08</v>
      </c>
      <c r="K928" s="35">
        <v>0.1212</v>
      </c>
      <c r="L928" s="35">
        <v>0.63</v>
      </c>
      <c r="M928" s="35">
        <v>8.9599999999999999E-2</v>
      </c>
      <c r="N928" s="35">
        <v>0</v>
      </c>
      <c r="O928" s="35">
        <v>4</v>
      </c>
      <c r="P928" s="35">
        <v>4</v>
      </c>
      <c r="Q928" s="38" t="str">
        <f t="shared" si="14"/>
        <v>Weekday</v>
      </c>
    </row>
    <row r="929" spans="1:17">
      <c r="A929" s="35">
        <v>928</v>
      </c>
      <c r="B929" s="36">
        <v>40585</v>
      </c>
      <c r="C929" s="35">
        <v>1</v>
      </c>
      <c r="D929" s="35">
        <v>0</v>
      </c>
      <c r="E929" s="35">
        <v>2</v>
      </c>
      <c r="F929" s="35">
        <v>6</v>
      </c>
      <c r="G929" s="35" t="b">
        <v>0</v>
      </c>
      <c r="H929" s="35">
        <v>5</v>
      </c>
      <c r="I929" s="35">
        <v>1</v>
      </c>
      <c r="J929" s="35">
        <v>0.1</v>
      </c>
      <c r="K929" s="35">
        <v>0.18179999999999999</v>
      </c>
      <c r="L929" s="35">
        <v>0.68</v>
      </c>
      <c r="M929" s="35">
        <v>0</v>
      </c>
      <c r="N929" s="35">
        <v>1</v>
      </c>
      <c r="O929" s="35">
        <v>23</v>
      </c>
      <c r="P929" s="35">
        <v>24</v>
      </c>
      <c r="Q929" s="38" t="str">
        <f t="shared" si="14"/>
        <v>Weekday</v>
      </c>
    </row>
    <row r="930" spans="1:17">
      <c r="A930" s="35">
        <v>929</v>
      </c>
      <c r="B930" s="36">
        <v>40585</v>
      </c>
      <c r="C930" s="35">
        <v>1</v>
      </c>
      <c r="D930" s="35">
        <v>0</v>
      </c>
      <c r="E930" s="35">
        <v>2</v>
      </c>
      <c r="F930" s="35">
        <v>7</v>
      </c>
      <c r="G930" s="35" t="b">
        <v>0</v>
      </c>
      <c r="H930" s="35">
        <v>5</v>
      </c>
      <c r="I930" s="35">
        <v>1</v>
      </c>
      <c r="J930" s="35">
        <v>0.08</v>
      </c>
      <c r="K930" s="35">
        <v>0.16669999999999999</v>
      </c>
      <c r="L930" s="35">
        <v>0.73</v>
      </c>
      <c r="M930" s="35">
        <v>0</v>
      </c>
      <c r="N930" s="35">
        <v>1</v>
      </c>
      <c r="O930" s="35">
        <v>73</v>
      </c>
      <c r="P930" s="35">
        <v>74</v>
      </c>
      <c r="Q930" s="38" t="str">
        <f t="shared" si="14"/>
        <v>Weekday</v>
      </c>
    </row>
    <row r="931" spans="1:17">
      <c r="A931" s="35">
        <v>930</v>
      </c>
      <c r="B931" s="36">
        <v>40585</v>
      </c>
      <c r="C931" s="35">
        <v>1</v>
      </c>
      <c r="D931" s="35">
        <v>0</v>
      </c>
      <c r="E931" s="35">
        <v>2</v>
      </c>
      <c r="F931" s="35">
        <v>8</v>
      </c>
      <c r="G931" s="35" t="b">
        <v>0</v>
      </c>
      <c r="H931" s="35">
        <v>5</v>
      </c>
      <c r="I931" s="35">
        <v>1</v>
      </c>
      <c r="J931" s="35">
        <v>0.1</v>
      </c>
      <c r="K931" s="35">
        <v>0.1212</v>
      </c>
      <c r="L931" s="35">
        <v>0.74</v>
      </c>
      <c r="M931" s="35">
        <v>0.16420000000000001</v>
      </c>
      <c r="N931" s="35">
        <v>4</v>
      </c>
      <c r="O931" s="35">
        <v>212</v>
      </c>
      <c r="P931" s="35">
        <v>216</v>
      </c>
      <c r="Q931" s="38" t="str">
        <f t="shared" si="14"/>
        <v>Weekday</v>
      </c>
    </row>
    <row r="932" spans="1:17">
      <c r="A932" s="35">
        <v>931</v>
      </c>
      <c r="B932" s="36">
        <v>40585</v>
      </c>
      <c r="C932" s="35">
        <v>1</v>
      </c>
      <c r="D932" s="35">
        <v>0</v>
      </c>
      <c r="E932" s="35">
        <v>2</v>
      </c>
      <c r="F932" s="35">
        <v>9</v>
      </c>
      <c r="G932" s="35" t="b">
        <v>0</v>
      </c>
      <c r="H932" s="35">
        <v>5</v>
      </c>
      <c r="I932" s="35">
        <v>1</v>
      </c>
      <c r="J932" s="35">
        <v>0.12</v>
      </c>
      <c r="K932" s="35">
        <v>0.1212</v>
      </c>
      <c r="L932" s="35">
        <v>0.74</v>
      </c>
      <c r="M932" s="35">
        <v>0.22389999999999999</v>
      </c>
      <c r="N932" s="35">
        <v>8</v>
      </c>
      <c r="O932" s="35">
        <v>132</v>
      </c>
      <c r="P932" s="35">
        <v>140</v>
      </c>
      <c r="Q932" s="38" t="str">
        <f t="shared" si="14"/>
        <v>Weekday</v>
      </c>
    </row>
    <row r="933" spans="1:17">
      <c r="A933" s="35">
        <v>932</v>
      </c>
      <c r="B933" s="36">
        <v>40585</v>
      </c>
      <c r="C933" s="35">
        <v>1</v>
      </c>
      <c r="D933" s="35">
        <v>0</v>
      </c>
      <c r="E933" s="35">
        <v>2</v>
      </c>
      <c r="F933" s="35">
        <v>10</v>
      </c>
      <c r="G933" s="35" t="b">
        <v>0</v>
      </c>
      <c r="H933" s="35">
        <v>5</v>
      </c>
      <c r="I933" s="35">
        <v>1</v>
      </c>
      <c r="J933" s="35">
        <v>0.14000000000000001</v>
      </c>
      <c r="K933" s="35">
        <v>0.13639999999999999</v>
      </c>
      <c r="L933" s="35">
        <v>0.69</v>
      </c>
      <c r="M933" s="35">
        <v>0.19400000000000001</v>
      </c>
      <c r="N933" s="35">
        <v>5</v>
      </c>
      <c r="O933" s="35">
        <v>39</v>
      </c>
      <c r="P933" s="35">
        <v>44</v>
      </c>
      <c r="Q933" s="38" t="str">
        <f t="shared" si="14"/>
        <v>Weekday</v>
      </c>
    </row>
    <row r="934" spans="1:17">
      <c r="A934" s="35">
        <v>933</v>
      </c>
      <c r="B934" s="36">
        <v>40585</v>
      </c>
      <c r="C934" s="35">
        <v>1</v>
      </c>
      <c r="D934" s="35">
        <v>0</v>
      </c>
      <c r="E934" s="35">
        <v>2</v>
      </c>
      <c r="F934" s="35">
        <v>11</v>
      </c>
      <c r="G934" s="35" t="b">
        <v>0</v>
      </c>
      <c r="H934" s="35">
        <v>5</v>
      </c>
      <c r="I934" s="35">
        <v>1</v>
      </c>
      <c r="J934" s="35">
        <v>0.22</v>
      </c>
      <c r="K934" s="35">
        <v>0.2273</v>
      </c>
      <c r="L934" s="35">
        <v>0.47</v>
      </c>
      <c r="M934" s="35">
        <v>0.1343</v>
      </c>
      <c r="N934" s="35">
        <v>12</v>
      </c>
      <c r="O934" s="35">
        <v>52</v>
      </c>
      <c r="P934" s="35">
        <v>64</v>
      </c>
      <c r="Q934" s="38" t="str">
        <f t="shared" si="14"/>
        <v>Weekday</v>
      </c>
    </row>
    <row r="935" spans="1:17">
      <c r="A935" s="35">
        <v>934</v>
      </c>
      <c r="B935" s="36">
        <v>40585</v>
      </c>
      <c r="C935" s="35">
        <v>1</v>
      </c>
      <c r="D935" s="35">
        <v>0</v>
      </c>
      <c r="E935" s="35">
        <v>2</v>
      </c>
      <c r="F935" s="35">
        <v>12</v>
      </c>
      <c r="G935" s="35" t="b">
        <v>0</v>
      </c>
      <c r="H935" s="35">
        <v>5</v>
      </c>
      <c r="I935" s="35">
        <v>1</v>
      </c>
      <c r="J935" s="35">
        <v>0.22</v>
      </c>
      <c r="K935" s="35">
        <v>0.2273</v>
      </c>
      <c r="L935" s="35">
        <v>0.47</v>
      </c>
      <c r="M935" s="35">
        <v>0.1343</v>
      </c>
      <c r="N935" s="35">
        <v>7</v>
      </c>
      <c r="O935" s="35">
        <v>64</v>
      </c>
      <c r="P935" s="35">
        <v>71</v>
      </c>
      <c r="Q935" s="38" t="str">
        <f t="shared" si="14"/>
        <v>Weekday</v>
      </c>
    </row>
    <row r="936" spans="1:17">
      <c r="A936" s="35">
        <v>935</v>
      </c>
      <c r="B936" s="36">
        <v>40585</v>
      </c>
      <c r="C936" s="35">
        <v>1</v>
      </c>
      <c r="D936" s="35">
        <v>0</v>
      </c>
      <c r="E936" s="35">
        <v>2</v>
      </c>
      <c r="F936" s="35">
        <v>13</v>
      </c>
      <c r="G936" s="35" t="b">
        <v>0</v>
      </c>
      <c r="H936" s="35">
        <v>5</v>
      </c>
      <c r="I936" s="35">
        <v>1</v>
      </c>
      <c r="J936" s="35">
        <v>0.24</v>
      </c>
      <c r="K936" s="35">
        <v>0.2273</v>
      </c>
      <c r="L936" s="35">
        <v>0.35</v>
      </c>
      <c r="M936" s="35">
        <v>0.19400000000000001</v>
      </c>
      <c r="N936" s="35">
        <v>21</v>
      </c>
      <c r="O936" s="35">
        <v>89</v>
      </c>
      <c r="P936" s="35">
        <v>110</v>
      </c>
      <c r="Q936" s="38" t="str">
        <f t="shared" si="14"/>
        <v>Weekday</v>
      </c>
    </row>
    <row r="937" spans="1:17">
      <c r="A937" s="35">
        <v>936</v>
      </c>
      <c r="B937" s="36">
        <v>40585</v>
      </c>
      <c r="C937" s="35">
        <v>1</v>
      </c>
      <c r="D937" s="35">
        <v>0</v>
      </c>
      <c r="E937" s="35">
        <v>2</v>
      </c>
      <c r="F937" s="35">
        <v>14</v>
      </c>
      <c r="G937" s="35" t="b">
        <v>0</v>
      </c>
      <c r="H937" s="35">
        <v>5</v>
      </c>
      <c r="I937" s="35">
        <v>1</v>
      </c>
      <c r="J937" s="35">
        <v>0.3</v>
      </c>
      <c r="K937" s="35">
        <v>0.28789999999999999</v>
      </c>
      <c r="L937" s="35">
        <v>0.26</v>
      </c>
      <c r="M937" s="35">
        <v>0.25369999999999998</v>
      </c>
      <c r="N937" s="35">
        <v>17</v>
      </c>
      <c r="O937" s="35">
        <v>67</v>
      </c>
      <c r="P937" s="35">
        <v>84</v>
      </c>
      <c r="Q937" s="38" t="str">
        <f t="shared" si="14"/>
        <v>Weekday</v>
      </c>
    </row>
    <row r="938" spans="1:17">
      <c r="A938" s="35">
        <v>937</v>
      </c>
      <c r="B938" s="36">
        <v>40585</v>
      </c>
      <c r="C938" s="35">
        <v>1</v>
      </c>
      <c r="D938" s="35">
        <v>0</v>
      </c>
      <c r="E938" s="35">
        <v>2</v>
      </c>
      <c r="F938" s="35">
        <v>15</v>
      </c>
      <c r="G938" s="35" t="b">
        <v>0</v>
      </c>
      <c r="H938" s="35">
        <v>5</v>
      </c>
      <c r="I938" s="35">
        <v>1</v>
      </c>
      <c r="J938" s="35">
        <v>0.32</v>
      </c>
      <c r="K938" s="35">
        <v>0.31819999999999998</v>
      </c>
      <c r="L938" s="35">
        <v>0.21</v>
      </c>
      <c r="M938" s="35">
        <v>0.16420000000000001</v>
      </c>
      <c r="N938" s="35">
        <v>12</v>
      </c>
      <c r="O938" s="35">
        <v>62</v>
      </c>
      <c r="P938" s="35">
        <v>74</v>
      </c>
      <c r="Q938" s="38" t="str">
        <f t="shared" si="14"/>
        <v>Weekday</v>
      </c>
    </row>
    <row r="939" spans="1:17">
      <c r="A939" s="35">
        <v>938</v>
      </c>
      <c r="B939" s="36">
        <v>40585</v>
      </c>
      <c r="C939" s="35">
        <v>1</v>
      </c>
      <c r="D939" s="35">
        <v>0</v>
      </c>
      <c r="E939" s="35">
        <v>2</v>
      </c>
      <c r="F939" s="35">
        <v>16</v>
      </c>
      <c r="G939" s="35" t="b">
        <v>0</v>
      </c>
      <c r="H939" s="35">
        <v>5</v>
      </c>
      <c r="I939" s="35">
        <v>1</v>
      </c>
      <c r="J939" s="35">
        <v>0.3</v>
      </c>
      <c r="K939" s="35">
        <v>0.28789999999999999</v>
      </c>
      <c r="L939" s="35">
        <v>0.28000000000000003</v>
      </c>
      <c r="M939" s="35">
        <v>0.19400000000000001</v>
      </c>
      <c r="N939" s="35">
        <v>14</v>
      </c>
      <c r="O939" s="35">
        <v>111</v>
      </c>
      <c r="P939" s="35">
        <v>125</v>
      </c>
      <c r="Q939" s="38" t="str">
        <f t="shared" si="14"/>
        <v>Weekday</v>
      </c>
    </row>
    <row r="940" spans="1:17">
      <c r="A940" s="35">
        <v>939</v>
      </c>
      <c r="B940" s="36">
        <v>40585</v>
      </c>
      <c r="C940" s="35">
        <v>1</v>
      </c>
      <c r="D940" s="35">
        <v>0</v>
      </c>
      <c r="E940" s="35">
        <v>2</v>
      </c>
      <c r="F940" s="35">
        <v>17</v>
      </c>
      <c r="G940" s="35" t="b">
        <v>0</v>
      </c>
      <c r="H940" s="35">
        <v>5</v>
      </c>
      <c r="I940" s="35">
        <v>1</v>
      </c>
      <c r="J940" s="35">
        <v>0.3</v>
      </c>
      <c r="K940" s="35">
        <v>0.33329999999999999</v>
      </c>
      <c r="L940" s="35">
        <v>0.24</v>
      </c>
      <c r="M940" s="35">
        <v>0</v>
      </c>
      <c r="N940" s="35">
        <v>18</v>
      </c>
      <c r="O940" s="35">
        <v>193</v>
      </c>
      <c r="P940" s="35">
        <v>211</v>
      </c>
      <c r="Q940" s="38" t="str">
        <f t="shared" si="14"/>
        <v>Weekday</v>
      </c>
    </row>
    <row r="941" spans="1:17">
      <c r="A941" s="35">
        <v>940</v>
      </c>
      <c r="B941" s="36">
        <v>40585</v>
      </c>
      <c r="C941" s="35">
        <v>1</v>
      </c>
      <c r="D941" s="35">
        <v>0</v>
      </c>
      <c r="E941" s="35">
        <v>2</v>
      </c>
      <c r="F941" s="35">
        <v>18</v>
      </c>
      <c r="G941" s="35" t="b">
        <v>0</v>
      </c>
      <c r="H941" s="35">
        <v>5</v>
      </c>
      <c r="I941" s="35">
        <v>1</v>
      </c>
      <c r="J941" s="35">
        <v>0.28000000000000003</v>
      </c>
      <c r="K941" s="35">
        <v>0.31819999999999998</v>
      </c>
      <c r="L941" s="35">
        <v>0.28000000000000003</v>
      </c>
      <c r="M941" s="35">
        <v>0</v>
      </c>
      <c r="N941" s="35">
        <v>9</v>
      </c>
      <c r="O941" s="35">
        <v>165</v>
      </c>
      <c r="P941" s="35">
        <v>174</v>
      </c>
      <c r="Q941" s="38" t="str">
        <f t="shared" si="14"/>
        <v>Weekday</v>
      </c>
    </row>
    <row r="942" spans="1:17">
      <c r="A942" s="35">
        <v>941</v>
      </c>
      <c r="B942" s="36">
        <v>40585</v>
      </c>
      <c r="C942" s="35">
        <v>1</v>
      </c>
      <c r="D942" s="35">
        <v>0</v>
      </c>
      <c r="E942" s="35">
        <v>2</v>
      </c>
      <c r="F942" s="35">
        <v>19</v>
      </c>
      <c r="G942" s="35" t="b">
        <v>0</v>
      </c>
      <c r="H942" s="35">
        <v>5</v>
      </c>
      <c r="I942" s="35">
        <v>1</v>
      </c>
      <c r="J942" s="35">
        <v>0.26</v>
      </c>
      <c r="K942" s="35">
        <v>0.30299999999999999</v>
      </c>
      <c r="L942" s="35">
        <v>0.33</v>
      </c>
      <c r="M942" s="35">
        <v>0</v>
      </c>
      <c r="N942" s="35">
        <v>7</v>
      </c>
      <c r="O942" s="35">
        <v>94</v>
      </c>
      <c r="P942" s="35">
        <v>101</v>
      </c>
      <c r="Q942" s="38" t="str">
        <f t="shared" si="14"/>
        <v>Weekday</v>
      </c>
    </row>
    <row r="943" spans="1:17">
      <c r="A943" s="35">
        <v>942</v>
      </c>
      <c r="B943" s="36">
        <v>40585</v>
      </c>
      <c r="C943" s="35">
        <v>1</v>
      </c>
      <c r="D943" s="35">
        <v>0</v>
      </c>
      <c r="E943" s="35">
        <v>2</v>
      </c>
      <c r="F943" s="35">
        <v>20</v>
      </c>
      <c r="G943" s="35" t="b">
        <v>0</v>
      </c>
      <c r="H943" s="35">
        <v>5</v>
      </c>
      <c r="I943" s="35">
        <v>1</v>
      </c>
      <c r="J943" s="35">
        <v>0.22</v>
      </c>
      <c r="K943" s="35">
        <v>0.2273</v>
      </c>
      <c r="L943" s="35">
        <v>0.55000000000000004</v>
      </c>
      <c r="M943" s="35">
        <v>0.1343</v>
      </c>
      <c r="N943" s="35">
        <v>2</v>
      </c>
      <c r="O943" s="35">
        <v>61</v>
      </c>
      <c r="P943" s="35">
        <v>63</v>
      </c>
      <c r="Q943" s="38" t="str">
        <f t="shared" si="14"/>
        <v>Weekday</v>
      </c>
    </row>
    <row r="944" spans="1:17">
      <c r="A944" s="35">
        <v>943</v>
      </c>
      <c r="B944" s="36">
        <v>40585</v>
      </c>
      <c r="C944" s="35">
        <v>1</v>
      </c>
      <c r="D944" s="35">
        <v>0</v>
      </c>
      <c r="E944" s="35">
        <v>2</v>
      </c>
      <c r="F944" s="35">
        <v>21</v>
      </c>
      <c r="G944" s="35" t="b">
        <v>0</v>
      </c>
      <c r="H944" s="35">
        <v>5</v>
      </c>
      <c r="I944" s="35">
        <v>1</v>
      </c>
      <c r="J944" s="35">
        <v>0.2</v>
      </c>
      <c r="K944" s="35">
        <v>0.21210000000000001</v>
      </c>
      <c r="L944" s="35">
        <v>0.59</v>
      </c>
      <c r="M944" s="35">
        <v>0.1343</v>
      </c>
      <c r="N944" s="35">
        <v>1</v>
      </c>
      <c r="O944" s="35">
        <v>46</v>
      </c>
      <c r="P944" s="35">
        <v>47</v>
      </c>
      <c r="Q944" s="38" t="str">
        <f t="shared" si="14"/>
        <v>Weekday</v>
      </c>
    </row>
    <row r="945" spans="1:17">
      <c r="A945" s="35">
        <v>944</v>
      </c>
      <c r="B945" s="36">
        <v>40585</v>
      </c>
      <c r="C945" s="35">
        <v>1</v>
      </c>
      <c r="D945" s="35">
        <v>0</v>
      </c>
      <c r="E945" s="35">
        <v>2</v>
      </c>
      <c r="F945" s="35">
        <v>22</v>
      </c>
      <c r="G945" s="35" t="b">
        <v>0</v>
      </c>
      <c r="H945" s="35">
        <v>5</v>
      </c>
      <c r="I945" s="35">
        <v>1</v>
      </c>
      <c r="J945" s="35">
        <v>0.2</v>
      </c>
      <c r="K945" s="35">
        <v>0.2273</v>
      </c>
      <c r="L945" s="35">
        <v>0.64</v>
      </c>
      <c r="M945" s="35">
        <v>8.9599999999999999E-2</v>
      </c>
      <c r="N945" s="35">
        <v>2</v>
      </c>
      <c r="O945" s="35">
        <v>41</v>
      </c>
      <c r="P945" s="35">
        <v>43</v>
      </c>
      <c r="Q945" s="38" t="str">
        <f t="shared" si="14"/>
        <v>Weekday</v>
      </c>
    </row>
    <row r="946" spans="1:17">
      <c r="A946" s="35">
        <v>945</v>
      </c>
      <c r="B946" s="36">
        <v>40585</v>
      </c>
      <c r="C946" s="35">
        <v>1</v>
      </c>
      <c r="D946" s="35">
        <v>0</v>
      </c>
      <c r="E946" s="35">
        <v>2</v>
      </c>
      <c r="F946" s="35">
        <v>23</v>
      </c>
      <c r="G946" s="35" t="b">
        <v>0</v>
      </c>
      <c r="H946" s="35">
        <v>5</v>
      </c>
      <c r="I946" s="35">
        <v>1</v>
      </c>
      <c r="J946" s="35">
        <v>0.18</v>
      </c>
      <c r="K946" s="35">
        <v>0.2424</v>
      </c>
      <c r="L946" s="35">
        <v>0.69</v>
      </c>
      <c r="M946" s="35">
        <v>0</v>
      </c>
      <c r="N946" s="35">
        <v>5</v>
      </c>
      <c r="O946" s="35">
        <v>48</v>
      </c>
      <c r="P946" s="35">
        <v>53</v>
      </c>
      <c r="Q946" s="38" t="str">
        <f t="shared" si="14"/>
        <v>Weekday</v>
      </c>
    </row>
    <row r="947" spans="1:17">
      <c r="A947" s="35">
        <v>946</v>
      </c>
      <c r="B947" s="36">
        <v>40586</v>
      </c>
      <c r="C947" s="35">
        <v>1</v>
      </c>
      <c r="D947" s="35">
        <v>0</v>
      </c>
      <c r="E947" s="35">
        <v>2</v>
      </c>
      <c r="F947" s="35">
        <v>0</v>
      </c>
      <c r="G947" s="35" t="b">
        <v>0</v>
      </c>
      <c r="H947" s="35">
        <v>6</v>
      </c>
      <c r="I947" s="35">
        <v>1</v>
      </c>
      <c r="J947" s="35">
        <v>0.16</v>
      </c>
      <c r="K947" s="35">
        <v>0.19700000000000001</v>
      </c>
      <c r="L947" s="35">
        <v>0.69</v>
      </c>
      <c r="M947" s="35">
        <v>8.9599999999999999E-2</v>
      </c>
      <c r="N947" s="35">
        <v>3</v>
      </c>
      <c r="O947" s="35">
        <v>27</v>
      </c>
      <c r="P947" s="35">
        <v>30</v>
      </c>
      <c r="Q947" s="38" t="str">
        <f t="shared" si="14"/>
        <v>Weekend</v>
      </c>
    </row>
    <row r="948" spans="1:17">
      <c r="A948" s="35">
        <v>947</v>
      </c>
      <c r="B948" s="36">
        <v>40586</v>
      </c>
      <c r="C948" s="35">
        <v>1</v>
      </c>
      <c r="D948" s="35">
        <v>0</v>
      </c>
      <c r="E948" s="35">
        <v>2</v>
      </c>
      <c r="F948" s="35">
        <v>1</v>
      </c>
      <c r="G948" s="35" t="b">
        <v>0</v>
      </c>
      <c r="H948" s="35">
        <v>6</v>
      </c>
      <c r="I948" s="35">
        <v>1</v>
      </c>
      <c r="J948" s="35">
        <v>0.14000000000000001</v>
      </c>
      <c r="K948" s="35">
        <v>0.21210000000000001</v>
      </c>
      <c r="L948" s="35">
        <v>0.86</v>
      </c>
      <c r="M948" s="35">
        <v>0</v>
      </c>
      <c r="N948" s="35">
        <v>2</v>
      </c>
      <c r="O948" s="35">
        <v>22</v>
      </c>
      <c r="P948" s="35">
        <v>24</v>
      </c>
      <c r="Q948" s="38" t="str">
        <f t="shared" si="14"/>
        <v>Weekend</v>
      </c>
    </row>
    <row r="949" spans="1:17">
      <c r="A949" s="35">
        <v>948</v>
      </c>
      <c r="B949" s="36">
        <v>40586</v>
      </c>
      <c r="C949" s="35">
        <v>1</v>
      </c>
      <c r="D949" s="35">
        <v>0</v>
      </c>
      <c r="E949" s="35">
        <v>2</v>
      </c>
      <c r="F949" s="35">
        <v>2</v>
      </c>
      <c r="G949" s="35" t="b">
        <v>0</v>
      </c>
      <c r="H949" s="35">
        <v>6</v>
      </c>
      <c r="I949" s="35">
        <v>1</v>
      </c>
      <c r="J949" s="35">
        <v>0.14000000000000001</v>
      </c>
      <c r="K949" s="35">
        <v>0.21210000000000001</v>
      </c>
      <c r="L949" s="35">
        <v>0.8</v>
      </c>
      <c r="M949" s="35">
        <v>0</v>
      </c>
      <c r="N949" s="35">
        <v>2</v>
      </c>
      <c r="O949" s="35">
        <v>13</v>
      </c>
      <c r="P949" s="35">
        <v>15</v>
      </c>
      <c r="Q949" s="38" t="str">
        <f t="shared" si="14"/>
        <v>Weekend</v>
      </c>
    </row>
    <row r="950" spans="1:17">
      <c r="A950" s="35">
        <v>949</v>
      </c>
      <c r="B950" s="36">
        <v>40586</v>
      </c>
      <c r="C950" s="35">
        <v>1</v>
      </c>
      <c r="D950" s="35">
        <v>0</v>
      </c>
      <c r="E950" s="35">
        <v>2</v>
      </c>
      <c r="F950" s="35">
        <v>3</v>
      </c>
      <c r="G950" s="35" t="b">
        <v>0</v>
      </c>
      <c r="H950" s="35">
        <v>6</v>
      </c>
      <c r="I950" s="35">
        <v>1</v>
      </c>
      <c r="J950" s="35">
        <v>0.12</v>
      </c>
      <c r="K950" s="35">
        <v>0.19700000000000001</v>
      </c>
      <c r="L950" s="35">
        <v>0.8</v>
      </c>
      <c r="M950" s="35">
        <v>0</v>
      </c>
      <c r="N950" s="35">
        <v>3</v>
      </c>
      <c r="O950" s="35">
        <v>7</v>
      </c>
      <c r="P950" s="35">
        <v>10</v>
      </c>
      <c r="Q950" s="38" t="str">
        <f t="shared" si="14"/>
        <v>Weekend</v>
      </c>
    </row>
    <row r="951" spans="1:17">
      <c r="A951" s="35">
        <v>950</v>
      </c>
      <c r="B951" s="36">
        <v>40586</v>
      </c>
      <c r="C951" s="35">
        <v>1</v>
      </c>
      <c r="D951" s="35">
        <v>0</v>
      </c>
      <c r="E951" s="35">
        <v>2</v>
      </c>
      <c r="F951" s="35">
        <v>4</v>
      </c>
      <c r="G951" s="35" t="b">
        <v>0</v>
      </c>
      <c r="H951" s="35">
        <v>6</v>
      </c>
      <c r="I951" s="35">
        <v>1</v>
      </c>
      <c r="J951" s="35">
        <v>0.12</v>
      </c>
      <c r="K951" s="35">
        <v>0.16669999999999999</v>
      </c>
      <c r="L951" s="35">
        <v>0.74</v>
      </c>
      <c r="M951" s="35">
        <v>8.9599999999999999E-2</v>
      </c>
      <c r="N951" s="35">
        <v>0</v>
      </c>
      <c r="O951" s="35">
        <v>4</v>
      </c>
      <c r="P951" s="35">
        <v>4</v>
      </c>
      <c r="Q951" s="38" t="str">
        <f t="shared" si="14"/>
        <v>Weekend</v>
      </c>
    </row>
    <row r="952" spans="1:17">
      <c r="A952" s="35">
        <v>951</v>
      </c>
      <c r="B952" s="36">
        <v>40586</v>
      </c>
      <c r="C952" s="35">
        <v>1</v>
      </c>
      <c r="D952" s="35">
        <v>0</v>
      </c>
      <c r="E952" s="35">
        <v>2</v>
      </c>
      <c r="F952" s="35">
        <v>5</v>
      </c>
      <c r="G952" s="35" t="b">
        <v>0</v>
      </c>
      <c r="H952" s="35">
        <v>6</v>
      </c>
      <c r="I952" s="35">
        <v>1</v>
      </c>
      <c r="J952" s="35">
        <v>0.12</v>
      </c>
      <c r="K952" s="35">
        <v>0.16669999999999999</v>
      </c>
      <c r="L952" s="35">
        <v>0.74</v>
      </c>
      <c r="M952" s="35">
        <v>8.9599999999999999E-2</v>
      </c>
      <c r="N952" s="35">
        <v>0</v>
      </c>
      <c r="O952" s="35">
        <v>1</v>
      </c>
      <c r="P952" s="35">
        <v>1</v>
      </c>
      <c r="Q952" s="38" t="str">
        <f t="shared" si="14"/>
        <v>Weekend</v>
      </c>
    </row>
    <row r="953" spans="1:17">
      <c r="A953" s="35">
        <v>952</v>
      </c>
      <c r="B953" s="36">
        <v>40586</v>
      </c>
      <c r="C953" s="35">
        <v>1</v>
      </c>
      <c r="D953" s="35">
        <v>0</v>
      </c>
      <c r="E953" s="35">
        <v>2</v>
      </c>
      <c r="F953" s="35">
        <v>6</v>
      </c>
      <c r="G953" s="35" t="b">
        <v>0</v>
      </c>
      <c r="H953" s="35">
        <v>6</v>
      </c>
      <c r="I953" s="35">
        <v>1</v>
      </c>
      <c r="J953" s="35">
        <v>0.12</v>
      </c>
      <c r="K953" s="35">
        <v>0.13639999999999999</v>
      </c>
      <c r="L953" s="35">
        <v>0.93</v>
      </c>
      <c r="M953" s="35">
        <v>0.19400000000000001</v>
      </c>
      <c r="N953" s="35">
        <v>1</v>
      </c>
      <c r="O953" s="35">
        <v>1</v>
      </c>
      <c r="P953" s="35">
        <v>2</v>
      </c>
      <c r="Q953" s="38" t="str">
        <f t="shared" si="14"/>
        <v>Weekend</v>
      </c>
    </row>
    <row r="954" spans="1:17">
      <c r="A954" s="35">
        <v>953</v>
      </c>
      <c r="B954" s="36">
        <v>40586</v>
      </c>
      <c r="C954" s="35">
        <v>1</v>
      </c>
      <c r="D954" s="35">
        <v>0</v>
      </c>
      <c r="E954" s="35">
        <v>2</v>
      </c>
      <c r="F954" s="35">
        <v>7</v>
      </c>
      <c r="G954" s="35" t="b">
        <v>0</v>
      </c>
      <c r="H954" s="35">
        <v>6</v>
      </c>
      <c r="I954" s="35">
        <v>1</v>
      </c>
      <c r="J954" s="35">
        <v>0.12</v>
      </c>
      <c r="K954" s="35">
        <v>0.1515</v>
      </c>
      <c r="L954" s="35">
        <v>0.8</v>
      </c>
      <c r="M954" s="35">
        <v>0.1045</v>
      </c>
      <c r="N954" s="35">
        <v>2</v>
      </c>
      <c r="O954" s="35">
        <v>9</v>
      </c>
      <c r="P954" s="35">
        <v>11</v>
      </c>
      <c r="Q954" s="38" t="str">
        <f t="shared" si="14"/>
        <v>Weekend</v>
      </c>
    </row>
    <row r="955" spans="1:17">
      <c r="A955" s="35">
        <v>954</v>
      </c>
      <c r="B955" s="36">
        <v>40586</v>
      </c>
      <c r="C955" s="35">
        <v>1</v>
      </c>
      <c r="D955" s="35">
        <v>0</v>
      </c>
      <c r="E955" s="35">
        <v>2</v>
      </c>
      <c r="F955" s="35">
        <v>8</v>
      </c>
      <c r="G955" s="35" t="b">
        <v>0</v>
      </c>
      <c r="H955" s="35">
        <v>6</v>
      </c>
      <c r="I955" s="35">
        <v>1</v>
      </c>
      <c r="J955" s="35">
        <v>0.14000000000000001</v>
      </c>
      <c r="K955" s="35">
        <v>0.1515</v>
      </c>
      <c r="L955" s="35">
        <v>0.86</v>
      </c>
      <c r="M955" s="35">
        <v>0.1343</v>
      </c>
      <c r="N955" s="35">
        <v>2</v>
      </c>
      <c r="O955" s="35">
        <v>28</v>
      </c>
      <c r="P955" s="35">
        <v>30</v>
      </c>
      <c r="Q955" s="38" t="str">
        <f t="shared" si="14"/>
        <v>Weekend</v>
      </c>
    </row>
    <row r="956" spans="1:17">
      <c r="A956" s="35">
        <v>955</v>
      </c>
      <c r="B956" s="36">
        <v>40586</v>
      </c>
      <c r="C956" s="35">
        <v>1</v>
      </c>
      <c r="D956" s="35">
        <v>0</v>
      </c>
      <c r="E956" s="35">
        <v>2</v>
      </c>
      <c r="F956" s="35">
        <v>9</v>
      </c>
      <c r="G956" s="35" t="b">
        <v>0</v>
      </c>
      <c r="H956" s="35">
        <v>6</v>
      </c>
      <c r="I956" s="35">
        <v>1</v>
      </c>
      <c r="J956" s="35">
        <v>0.16</v>
      </c>
      <c r="K956" s="35">
        <v>0.18179999999999999</v>
      </c>
      <c r="L956" s="35">
        <v>0.64</v>
      </c>
      <c r="M956" s="35">
        <v>0.1343</v>
      </c>
      <c r="N956" s="35">
        <v>5</v>
      </c>
      <c r="O956" s="35">
        <v>38</v>
      </c>
      <c r="P956" s="35">
        <v>43</v>
      </c>
      <c r="Q956" s="38" t="str">
        <f t="shared" si="14"/>
        <v>Weekend</v>
      </c>
    </row>
    <row r="957" spans="1:17">
      <c r="A957" s="35">
        <v>956</v>
      </c>
      <c r="B957" s="36">
        <v>40586</v>
      </c>
      <c r="C957" s="35">
        <v>1</v>
      </c>
      <c r="D957" s="35">
        <v>0</v>
      </c>
      <c r="E957" s="35">
        <v>2</v>
      </c>
      <c r="F957" s="35">
        <v>10</v>
      </c>
      <c r="G957" s="35" t="b">
        <v>0</v>
      </c>
      <c r="H957" s="35">
        <v>6</v>
      </c>
      <c r="I957" s="35">
        <v>1</v>
      </c>
      <c r="J957" s="35">
        <v>0.22</v>
      </c>
      <c r="K957" s="35">
        <v>0.21210000000000001</v>
      </c>
      <c r="L957" s="35">
        <v>0.41</v>
      </c>
      <c r="M957" s="35">
        <v>0.25369999999999998</v>
      </c>
      <c r="N957" s="35">
        <v>13</v>
      </c>
      <c r="O957" s="35">
        <v>71</v>
      </c>
      <c r="P957" s="35">
        <v>84</v>
      </c>
      <c r="Q957" s="38" t="str">
        <f t="shared" si="14"/>
        <v>Weekend</v>
      </c>
    </row>
    <row r="958" spans="1:17">
      <c r="A958" s="35">
        <v>957</v>
      </c>
      <c r="B958" s="36">
        <v>40586</v>
      </c>
      <c r="C958" s="35">
        <v>1</v>
      </c>
      <c r="D958" s="35">
        <v>0</v>
      </c>
      <c r="E958" s="35">
        <v>2</v>
      </c>
      <c r="F958" s="35">
        <v>11</v>
      </c>
      <c r="G958" s="35" t="b">
        <v>0</v>
      </c>
      <c r="H958" s="35">
        <v>6</v>
      </c>
      <c r="I958" s="35">
        <v>1</v>
      </c>
      <c r="J958" s="35">
        <v>0.3</v>
      </c>
      <c r="K958" s="35">
        <v>0.2727</v>
      </c>
      <c r="L958" s="35">
        <v>0.28000000000000003</v>
      </c>
      <c r="M958" s="35">
        <v>0.32840000000000003</v>
      </c>
      <c r="N958" s="35">
        <v>30</v>
      </c>
      <c r="O958" s="35">
        <v>84</v>
      </c>
      <c r="P958" s="35">
        <v>114</v>
      </c>
      <c r="Q958" s="38" t="str">
        <f t="shared" si="14"/>
        <v>Weekend</v>
      </c>
    </row>
    <row r="959" spans="1:17">
      <c r="A959" s="35">
        <v>958</v>
      </c>
      <c r="B959" s="36">
        <v>40586</v>
      </c>
      <c r="C959" s="35">
        <v>1</v>
      </c>
      <c r="D959" s="35">
        <v>0</v>
      </c>
      <c r="E959" s="35">
        <v>2</v>
      </c>
      <c r="F959" s="35">
        <v>12</v>
      </c>
      <c r="G959" s="35" t="b">
        <v>0</v>
      </c>
      <c r="H959" s="35">
        <v>6</v>
      </c>
      <c r="I959" s="35">
        <v>1</v>
      </c>
      <c r="J959" s="35">
        <v>0.3</v>
      </c>
      <c r="K959" s="35">
        <v>0.2727</v>
      </c>
      <c r="L959" s="35">
        <v>0.39</v>
      </c>
      <c r="M959" s="35">
        <v>0.4627</v>
      </c>
      <c r="N959" s="35">
        <v>27</v>
      </c>
      <c r="O959" s="35">
        <v>93</v>
      </c>
      <c r="P959" s="35">
        <v>120</v>
      </c>
      <c r="Q959" s="38" t="str">
        <f t="shared" si="14"/>
        <v>Weekend</v>
      </c>
    </row>
    <row r="960" spans="1:17">
      <c r="A960" s="35">
        <v>959</v>
      </c>
      <c r="B960" s="36">
        <v>40586</v>
      </c>
      <c r="C960" s="35">
        <v>1</v>
      </c>
      <c r="D960" s="35">
        <v>0</v>
      </c>
      <c r="E960" s="35">
        <v>2</v>
      </c>
      <c r="F960" s="35">
        <v>13</v>
      </c>
      <c r="G960" s="35" t="b">
        <v>0</v>
      </c>
      <c r="H960" s="35">
        <v>6</v>
      </c>
      <c r="I960" s="35">
        <v>1</v>
      </c>
      <c r="J960" s="35">
        <v>0.3</v>
      </c>
      <c r="K960" s="35">
        <v>0.2727</v>
      </c>
      <c r="L960" s="35">
        <v>0.39</v>
      </c>
      <c r="M960" s="35">
        <v>0.41789999999999999</v>
      </c>
      <c r="N960" s="35">
        <v>32</v>
      </c>
      <c r="O960" s="35">
        <v>103</v>
      </c>
      <c r="P960" s="35">
        <v>135</v>
      </c>
      <c r="Q960" s="38" t="str">
        <f t="shared" si="14"/>
        <v>Weekend</v>
      </c>
    </row>
    <row r="961" spans="1:17">
      <c r="A961" s="35">
        <v>960</v>
      </c>
      <c r="B961" s="36">
        <v>40586</v>
      </c>
      <c r="C961" s="35">
        <v>1</v>
      </c>
      <c r="D961" s="35">
        <v>0</v>
      </c>
      <c r="E961" s="35">
        <v>2</v>
      </c>
      <c r="F961" s="35">
        <v>14</v>
      </c>
      <c r="G961" s="35" t="b">
        <v>0</v>
      </c>
      <c r="H961" s="35">
        <v>6</v>
      </c>
      <c r="I961" s="35">
        <v>1</v>
      </c>
      <c r="J961" s="35">
        <v>0.34</v>
      </c>
      <c r="K961" s="35">
        <v>0.31819999999999998</v>
      </c>
      <c r="L961" s="35">
        <v>0.31</v>
      </c>
      <c r="M961" s="35">
        <v>0.28360000000000002</v>
      </c>
      <c r="N961" s="35">
        <v>30</v>
      </c>
      <c r="O961" s="35">
        <v>90</v>
      </c>
      <c r="P961" s="35">
        <v>120</v>
      </c>
      <c r="Q961" s="38" t="str">
        <f t="shared" si="14"/>
        <v>Weekend</v>
      </c>
    </row>
    <row r="962" spans="1:17">
      <c r="A962" s="35">
        <v>961</v>
      </c>
      <c r="B962" s="36">
        <v>40586</v>
      </c>
      <c r="C962" s="35">
        <v>1</v>
      </c>
      <c r="D962" s="35">
        <v>0</v>
      </c>
      <c r="E962" s="35">
        <v>2</v>
      </c>
      <c r="F962" s="35">
        <v>15</v>
      </c>
      <c r="G962" s="35" t="b">
        <v>0</v>
      </c>
      <c r="H962" s="35">
        <v>6</v>
      </c>
      <c r="I962" s="35">
        <v>1</v>
      </c>
      <c r="J962" s="35">
        <v>0.34</v>
      </c>
      <c r="K962" s="35">
        <v>0.30299999999999999</v>
      </c>
      <c r="L962" s="35">
        <v>0.28999999999999998</v>
      </c>
      <c r="M962" s="35">
        <v>0.41789999999999999</v>
      </c>
      <c r="N962" s="35">
        <v>47</v>
      </c>
      <c r="O962" s="35">
        <v>127</v>
      </c>
      <c r="P962" s="35">
        <v>174</v>
      </c>
      <c r="Q962" s="38" t="str">
        <f t="shared" ref="Q962:Q1001" si="15">IF(H962&gt;=6,"Weekend","Weekday")</f>
        <v>Weekend</v>
      </c>
    </row>
    <row r="963" spans="1:17">
      <c r="A963" s="35">
        <v>962</v>
      </c>
      <c r="B963" s="36">
        <v>40586</v>
      </c>
      <c r="C963" s="35">
        <v>1</v>
      </c>
      <c r="D963" s="35">
        <v>0</v>
      </c>
      <c r="E963" s="35">
        <v>2</v>
      </c>
      <c r="F963" s="35">
        <v>16</v>
      </c>
      <c r="G963" s="35" t="b">
        <v>0</v>
      </c>
      <c r="H963" s="35">
        <v>6</v>
      </c>
      <c r="I963" s="35">
        <v>1</v>
      </c>
      <c r="J963" s="35">
        <v>0.34</v>
      </c>
      <c r="K963" s="35">
        <v>0.30299999999999999</v>
      </c>
      <c r="L963" s="35">
        <v>0.28999999999999998</v>
      </c>
      <c r="M963" s="35">
        <v>0.41789999999999999</v>
      </c>
      <c r="N963" s="35">
        <v>42</v>
      </c>
      <c r="O963" s="35">
        <v>103</v>
      </c>
      <c r="P963" s="35">
        <v>145</v>
      </c>
      <c r="Q963" s="38" t="str">
        <f t="shared" si="15"/>
        <v>Weekend</v>
      </c>
    </row>
    <row r="964" spans="1:17">
      <c r="A964" s="35">
        <v>963</v>
      </c>
      <c r="B964" s="36">
        <v>40586</v>
      </c>
      <c r="C964" s="35">
        <v>1</v>
      </c>
      <c r="D964" s="35">
        <v>0</v>
      </c>
      <c r="E964" s="35">
        <v>2</v>
      </c>
      <c r="F964" s="35">
        <v>17</v>
      </c>
      <c r="G964" s="35" t="b">
        <v>0</v>
      </c>
      <c r="H964" s="35">
        <v>6</v>
      </c>
      <c r="I964" s="35">
        <v>1</v>
      </c>
      <c r="J964" s="35">
        <v>0.32</v>
      </c>
      <c r="K964" s="35">
        <v>0.28789999999999999</v>
      </c>
      <c r="L964" s="35">
        <v>0.31</v>
      </c>
      <c r="M964" s="35">
        <v>0.52239999999999998</v>
      </c>
      <c r="N964" s="35">
        <v>24</v>
      </c>
      <c r="O964" s="35">
        <v>113</v>
      </c>
      <c r="P964" s="35">
        <v>137</v>
      </c>
      <c r="Q964" s="38" t="str">
        <f t="shared" si="15"/>
        <v>Weekend</v>
      </c>
    </row>
    <row r="965" spans="1:17">
      <c r="A965" s="35">
        <v>964</v>
      </c>
      <c r="B965" s="36">
        <v>40586</v>
      </c>
      <c r="C965" s="35">
        <v>1</v>
      </c>
      <c r="D965" s="35">
        <v>0</v>
      </c>
      <c r="E965" s="35">
        <v>2</v>
      </c>
      <c r="F965" s="35">
        <v>18</v>
      </c>
      <c r="G965" s="35" t="b">
        <v>0</v>
      </c>
      <c r="H965" s="35">
        <v>6</v>
      </c>
      <c r="I965" s="35">
        <v>1</v>
      </c>
      <c r="J965" s="35">
        <v>0.28000000000000003</v>
      </c>
      <c r="K965" s="35">
        <v>0.2576</v>
      </c>
      <c r="L965" s="35">
        <v>0.38</v>
      </c>
      <c r="M965" s="35">
        <v>0.32840000000000003</v>
      </c>
      <c r="N965" s="35">
        <v>4</v>
      </c>
      <c r="O965" s="35">
        <v>60</v>
      </c>
      <c r="P965" s="35">
        <v>64</v>
      </c>
      <c r="Q965" s="38" t="str">
        <f t="shared" si="15"/>
        <v>Weekend</v>
      </c>
    </row>
    <row r="966" spans="1:17">
      <c r="A966" s="35">
        <v>965</v>
      </c>
      <c r="B966" s="36">
        <v>40586</v>
      </c>
      <c r="C966" s="35">
        <v>1</v>
      </c>
      <c r="D966" s="35">
        <v>0</v>
      </c>
      <c r="E966" s="35">
        <v>2</v>
      </c>
      <c r="F966" s="35">
        <v>19</v>
      </c>
      <c r="G966" s="35" t="b">
        <v>0</v>
      </c>
      <c r="H966" s="35">
        <v>6</v>
      </c>
      <c r="I966" s="35">
        <v>1</v>
      </c>
      <c r="J966" s="35">
        <v>0.28000000000000003</v>
      </c>
      <c r="K966" s="35">
        <v>0.2727</v>
      </c>
      <c r="L966" s="35">
        <v>0.38</v>
      </c>
      <c r="M966" s="35">
        <v>0.16420000000000001</v>
      </c>
      <c r="N966" s="35">
        <v>2</v>
      </c>
      <c r="O966" s="35">
        <v>39</v>
      </c>
      <c r="P966" s="35">
        <v>41</v>
      </c>
      <c r="Q966" s="38" t="str">
        <f t="shared" si="15"/>
        <v>Weekend</v>
      </c>
    </row>
    <row r="967" spans="1:17">
      <c r="A967" s="35">
        <v>966</v>
      </c>
      <c r="B967" s="36">
        <v>40586</v>
      </c>
      <c r="C967" s="35">
        <v>1</v>
      </c>
      <c r="D967" s="35">
        <v>0</v>
      </c>
      <c r="E967" s="35">
        <v>2</v>
      </c>
      <c r="F967" s="35">
        <v>20</v>
      </c>
      <c r="G967" s="35" t="b">
        <v>0</v>
      </c>
      <c r="H967" s="35">
        <v>6</v>
      </c>
      <c r="I967" s="35">
        <v>1</v>
      </c>
      <c r="J967" s="35">
        <v>0.26</v>
      </c>
      <c r="K967" s="35">
        <v>0.2576</v>
      </c>
      <c r="L967" s="35">
        <v>0.41</v>
      </c>
      <c r="M967" s="35">
        <v>0.22389999999999999</v>
      </c>
      <c r="N967" s="35">
        <v>1</v>
      </c>
      <c r="O967" s="35">
        <v>39</v>
      </c>
      <c r="P967" s="35">
        <v>40</v>
      </c>
      <c r="Q967" s="38" t="str">
        <f t="shared" si="15"/>
        <v>Weekend</v>
      </c>
    </row>
    <row r="968" spans="1:17">
      <c r="A968" s="35">
        <v>967</v>
      </c>
      <c r="B968" s="36">
        <v>40586</v>
      </c>
      <c r="C968" s="35">
        <v>1</v>
      </c>
      <c r="D968" s="35">
        <v>0</v>
      </c>
      <c r="E968" s="35">
        <v>2</v>
      </c>
      <c r="F968" s="35">
        <v>21</v>
      </c>
      <c r="G968" s="35" t="b">
        <v>0</v>
      </c>
      <c r="H968" s="35">
        <v>6</v>
      </c>
      <c r="I968" s="35">
        <v>1</v>
      </c>
      <c r="J968" s="35">
        <v>0.26</v>
      </c>
      <c r="K968" s="35">
        <v>0.30299999999999999</v>
      </c>
      <c r="L968" s="35">
        <v>0.41</v>
      </c>
      <c r="M968" s="35">
        <v>0</v>
      </c>
      <c r="N968" s="35">
        <v>9</v>
      </c>
      <c r="O968" s="35">
        <v>42</v>
      </c>
      <c r="P968" s="35">
        <v>51</v>
      </c>
      <c r="Q968" s="38" t="str">
        <f t="shared" si="15"/>
        <v>Weekend</v>
      </c>
    </row>
    <row r="969" spans="1:17">
      <c r="A969" s="35">
        <v>968</v>
      </c>
      <c r="B969" s="36">
        <v>40586</v>
      </c>
      <c r="C969" s="35">
        <v>1</v>
      </c>
      <c r="D969" s="35">
        <v>0</v>
      </c>
      <c r="E969" s="35">
        <v>2</v>
      </c>
      <c r="F969" s="35">
        <v>22</v>
      </c>
      <c r="G969" s="35" t="b">
        <v>0</v>
      </c>
      <c r="H969" s="35">
        <v>6</v>
      </c>
      <c r="I969" s="35">
        <v>1</v>
      </c>
      <c r="J969" s="35">
        <v>0.24</v>
      </c>
      <c r="K969" s="35">
        <v>0.2576</v>
      </c>
      <c r="L969" s="35">
        <v>0.44</v>
      </c>
      <c r="M969" s="35">
        <v>8.9599999999999999E-2</v>
      </c>
      <c r="N969" s="35">
        <v>6</v>
      </c>
      <c r="O969" s="35">
        <v>39</v>
      </c>
      <c r="P969" s="35">
        <v>45</v>
      </c>
      <c r="Q969" s="38" t="str">
        <f t="shared" si="15"/>
        <v>Weekend</v>
      </c>
    </row>
    <row r="970" spans="1:17">
      <c r="A970" s="35">
        <v>969</v>
      </c>
      <c r="B970" s="36">
        <v>40586</v>
      </c>
      <c r="C970" s="35">
        <v>1</v>
      </c>
      <c r="D970" s="35">
        <v>0</v>
      </c>
      <c r="E970" s="35">
        <v>2</v>
      </c>
      <c r="F970" s="35">
        <v>23</v>
      </c>
      <c r="G970" s="35" t="b">
        <v>0</v>
      </c>
      <c r="H970" s="35">
        <v>6</v>
      </c>
      <c r="I970" s="35">
        <v>1</v>
      </c>
      <c r="J970" s="35">
        <v>0.22</v>
      </c>
      <c r="K970" s="35">
        <v>0.2273</v>
      </c>
      <c r="L970" s="35">
        <v>0.51</v>
      </c>
      <c r="M970" s="35">
        <v>0.1343</v>
      </c>
      <c r="N970" s="35">
        <v>1</v>
      </c>
      <c r="O970" s="35">
        <v>31</v>
      </c>
      <c r="P970" s="35">
        <v>32</v>
      </c>
      <c r="Q970" s="38" t="str">
        <f t="shared" si="15"/>
        <v>Weekend</v>
      </c>
    </row>
    <row r="971" spans="1:17">
      <c r="A971" s="35">
        <v>970</v>
      </c>
      <c r="B971" s="36">
        <v>40587</v>
      </c>
      <c r="C971" s="35">
        <v>1</v>
      </c>
      <c r="D971" s="35">
        <v>0</v>
      </c>
      <c r="E971" s="35">
        <v>2</v>
      </c>
      <c r="F971" s="35">
        <v>0</v>
      </c>
      <c r="G971" s="35" t="b">
        <v>0</v>
      </c>
      <c r="H971" s="35">
        <v>0</v>
      </c>
      <c r="I971" s="35">
        <v>1</v>
      </c>
      <c r="J971" s="35">
        <v>0.2</v>
      </c>
      <c r="K971" s="35">
        <v>0.2273</v>
      </c>
      <c r="L971" s="35">
        <v>0.64</v>
      </c>
      <c r="M971" s="35">
        <v>0.1045</v>
      </c>
      <c r="N971" s="35">
        <v>5</v>
      </c>
      <c r="O971" s="35">
        <v>34</v>
      </c>
      <c r="P971" s="35">
        <v>39</v>
      </c>
      <c r="Q971" s="38" t="str">
        <f t="shared" si="15"/>
        <v>Weekday</v>
      </c>
    </row>
    <row r="972" spans="1:17">
      <c r="A972" s="35">
        <v>971</v>
      </c>
      <c r="B972" s="36">
        <v>40587</v>
      </c>
      <c r="C972" s="35">
        <v>1</v>
      </c>
      <c r="D972" s="35">
        <v>0</v>
      </c>
      <c r="E972" s="35">
        <v>2</v>
      </c>
      <c r="F972" s="35">
        <v>1</v>
      </c>
      <c r="G972" s="35" t="b">
        <v>0</v>
      </c>
      <c r="H972" s="35">
        <v>0</v>
      </c>
      <c r="I972" s="35">
        <v>1</v>
      </c>
      <c r="J972" s="35">
        <v>0.2</v>
      </c>
      <c r="K972" s="35">
        <v>0.2273</v>
      </c>
      <c r="L972" s="35">
        <v>0.59</v>
      </c>
      <c r="M972" s="35">
        <v>8.9599999999999999E-2</v>
      </c>
      <c r="N972" s="35">
        <v>1</v>
      </c>
      <c r="O972" s="35">
        <v>23</v>
      </c>
      <c r="P972" s="35">
        <v>24</v>
      </c>
      <c r="Q972" s="38" t="str">
        <f t="shared" si="15"/>
        <v>Weekday</v>
      </c>
    </row>
    <row r="973" spans="1:17">
      <c r="A973" s="35">
        <v>972</v>
      </c>
      <c r="B973" s="36">
        <v>40587</v>
      </c>
      <c r="C973" s="35">
        <v>1</v>
      </c>
      <c r="D973" s="35">
        <v>0</v>
      </c>
      <c r="E973" s="35">
        <v>2</v>
      </c>
      <c r="F973" s="35">
        <v>2</v>
      </c>
      <c r="G973" s="35" t="b">
        <v>0</v>
      </c>
      <c r="H973" s="35">
        <v>0</v>
      </c>
      <c r="I973" s="35">
        <v>2</v>
      </c>
      <c r="J973" s="35">
        <v>0.2</v>
      </c>
      <c r="K973" s="35">
        <v>0.2273</v>
      </c>
      <c r="L973" s="35">
        <v>0.75</v>
      </c>
      <c r="M973" s="35">
        <v>8.9599999999999999E-2</v>
      </c>
      <c r="N973" s="35">
        <v>1</v>
      </c>
      <c r="O973" s="35">
        <v>19</v>
      </c>
      <c r="P973" s="35">
        <v>20</v>
      </c>
      <c r="Q973" s="38" t="str">
        <f t="shared" si="15"/>
        <v>Weekday</v>
      </c>
    </row>
    <row r="974" spans="1:17">
      <c r="A974" s="35">
        <v>973</v>
      </c>
      <c r="B974" s="36">
        <v>40587</v>
      </c>
      <c r="C974" s="35">
        <v>1</v>
      </c>
      <c r="D974" s="35">
        <v>0</v>
      </c>
      <c r="E974" s="35">
        <v>2</v>
      </c>
      <c r="F974" s="35">
        <v>3</v>
      </c>
      <c r="G974" s="35" t="b">
        <v>0</v>
      </c>
      <c r="H974" s="35">
        <v>0</v>
      </c>
      <c r="I974" s="35">
        <v>2</v>
      </c>
      <c r="J974" s="35">
        <v>0.2</v>
      </c>
      <c r="K974" s="35">
        <v>0.2273</v>
      </c>
      <c r="L974" s="35">
        <v>0.69</v>
      </c>
      <c r="M974" s="35">
        <v>0.1045</v>
      </c>
      <c r="N974" s="35">
        <v>4</v>
      </c>
      <c r="O974" s="35">
        <v>8</v>
      </c>
      <c r="P974" s="35">
        <v>12</v>
      </c>
      <c r="Q974" s="38" t="str">
        <f t="shared" si="15"/>
        <v>Weekday</v>
      </c>
    </row>
    <row r="975" spans="1:17">
      <c r="A975" s="35">
        <v>974</v>
      </c>
      <c r="B975" s="36">
        <v>40587</v>
      </c>
      <c r="C975" s="35">
        <v>1</v>
      </c>
      <c r="D975" s="35">
        <v>0</v>
      </c>
      <c r="E975" s="35">
        <v>2</v>
      </c>
      <c r="F975" s="35">
        <v>4</v>
      </c>
      <c r="G975" s="35" t="b">
        <v>0</v>
      </c>
      <c r="H975" s="35">
        <v>0</v>
      </c>
      <c r="I975" s="35">
        <v>2</v>
      </c>
      <c r="J975" s="35">
        <v>0.2</v>
      </c>
      <c r="K975" s="35">
        <v>0.21210000000000001</v>
      </c>
      <c r="L975" s="35">
        <v>0.69</v>
      </c>
      <c r="M975" s="35">
        <v>0.16420000000000001</v>
      </c>
      <c r="N975" s="35">
        <v>0</v>
      </c>
      <c r="O975" s="35">
        <v>2</v>
      </c>
      <c r="P975" s="35">
        <v>2</v>
      </c>
      <c r="Q975" s="38" t="str">
        <f t="shared" si="15"/>
        <v>Weekday</v>
      </c>
    </row>
    <row r="976" spans="1:17">
      <c r="A976" s="35">
        <v>975</v>
      </c>
      <c r="B976" s="36">
        <v>40587</v>
      </c>
      <c r="C976" s="35">
        <v>1</v>
      </c>
      <c r="D976" s="35">
        <v>0</v>
      </c>
      <c r="E976" s="35">
        <v>2</v>
      </c>
      <c r="F976" s="35">
        <v>6</v>
      </c>
      <c r="G976" s="35" t="b">
        <v>0</v>
      </c>
      <c r="H976" s="35">
        <v>0</v>
      </c>
      <c r="I976" s="35">
        <v>2</v>
      </c>
      <c r="J976" s="35">
        <v>0.2</v>
      </c>
      <c r="K976" s="35">
        <v>0.21210000000000001</v>
      </c>
      <c r="L976" s="35">
        <v>0.69</v>
      </c>
      <c r="M976" s="35">
        <v>0.1343</v>
      </c>
      <c r="N976" s="35">
        <v>2</v>
      </c>
      <c r="O976" s="35">
        <v>3</v>
      </c>
      <c r="P976" s="35">
        <v>5</v>
      </c>
      <c r="Q976" s="38" t="str">
        <f t="shared" si="15"/>
        <v>Weekday</v>
      </c>
    </row>
    <row r="977" spans="1:17">
      <c r="A977" s="35">
        <v>976</v>
      </c>
      <c r="B977" s="36">
        <v>40587</v>
      </c>
      <c r="C977" s="35">
        <v>1</v>
      </c>
      <c r="D977" s="35">
        <v>0</v>
      </c>
      <c r="E977" s="35">
        <v>2</v>
      </c>
      <c r="F977" s="35">
        <v>7</v>
      </c>
      <c r="G977" s="35" t="b">
        <v>0</v>
      </c>
      <c r="H977" s="35">
        <v>0</v>
      </c>
      <c r="I977" s="35">
        <v>2</v>
      </c>
      <c r="J977" s="35">
        <v>0.22</v>
      </c>
      <c r="K977" s="35">
        <v>0.2727</v>
      </c>
      <c r="L977" s="35">
        <v>0.55000000000000004</v>
      </c>
      <c r="M977" s="35">
        <v>0</v>
      </c>
      <c r="N977" s="35">
        <v>0</v>
      </c>
      <c r="O977" s="35">
        <v>3</v>
      </c>
      <c r="P977" s="35">
        <v>3</v>
      </c>
      <c r="Q977" s="38" t="str">
        <f t="shared" si="15"/>
        <v>Weekday</v>
      </c>
    </row>
    <row r="978" spans="1:17">
      <c r="A978" s="35">
        <v>977</v>
      </c>
      <c r="B978" s="36">
        <v>40587</v>
      </c>
      <c r="C978" s="35">
        <v>1</v>
      </c>
      <c r="D978" s="35">
        <v>0</v>
      </c>
      <c r="E978" s="35">
        <v>2</v>
      </c>
      <c r="F978" s="35">
        <v>8</v>
      </c>
      <c r="G978" s="35" t="b">
        <v>0</v>
      </c>
      <c r="H978" s="35">
        <v>0</v>
      </c>
      <c r="I978" s="35">
        <v>2</v>
      </c>
      <c r="J978" s="35">
        <v>0.22</v>
      </c>
      <c r="K978" s="35">
        <v>0.2273</v>
      </c>
      <c r="L978" s="35">
        <v>0.64</v>
      </c>
      <c r="M978" s="35">
        <v>0.19400000000000001</v>
      </c>
      <c r="N978" s="35">
        <v>1</v>
      </c>
      <c r="O978" s="35">
        <v>11</v>
      </c>
      <c r="P978" s="35">
        <v>12</v>
      </c>
      <c r="Q978" s="38" t="str">
        <f t="shared" si="15"/>
        <v>Weekday</v>
      </c>
    </row>
    <row r="979" spans="1:17">
      <c r="A979" s="35">
        <v>978</v>
      </c>
      <c r="B979" s="36">
        <v>40587</v>
      </c>
      <c r="C979" s="35">
        <v>1</v>
      </c>
      <c r="D979" s="35">
        <v>0</v>
      </c>
      <c r="E979" s="35">
        <v>2</v>
      </c>
      <c r="F979" s="35">
        <v>9</v>
      </c>
      <c r="G979" s="35" t="b">
        <v>0</v>
      </c>
      <c r="H979" s="35">
        <v>0</v>
      </c>
      <c r="I979" s="35">
        <v>2</v>
      </c>
      <c r="J979" s="35">
        <v>0.24</v>
      </c>
      <c r="K979" s="35">
        <v>0.2273</v>
      </c>
      <c r="L979" s="35">
        <v>0.6</v>
      </c>
      <c r="M979" s="35">
        <v>0.22389999999999999</v>
      </c>
      <c r="N979" s="35">
        <v>12</v>
      </c>
      <c r="O979" s="35">
        <v>35</v>
      </c>
      <c r="P979" s="35">
        <v>47</v>
      </c>
      <c r="Q979" s="38" t="str">
        <f t="shared" si="15"/>
        <v>Weekday</v>
      </c>
    </row>
    <row r="980" spans="1:17">
      <c r="A980" s="35">
        <v>979</v>
      </c>
      <c r="B980" s="36">
        <v>40587</v>
      </c>
      <c r="C980" s="35">
        <v>1</v>
      </c>
      <c r="D980" s="35">
        <v>0</v>
      </c>
      <c r="E980" s="35">
        <v>2</v>
      </c>
      <c r="F980" s="35">
        <v>10</v>
      </c>
      <c r="G980" s="35" t="b">
        <v>0</v>
      </c>
      <c r="H980" s="35">
        <v>0</v>
      </c>
      <c r="I980" s="35">
        <v>1</v>
      </c>
      <c r="J980" s="35">
        <v>0.3</v>
      </c>
      <c r="K980" s="35">
        <v>0.2727</v>
      </c>
      <c r="L980" s="35">
        <v>0.45</v>
      </c>
      <c r="M980" s="35">
        <v>0.32840000000000003</v>
      </c>
      <c r="N980" s="35">
        <v>19</v>
      </c>
      <c r="O980" s="35">
        <v>86</v>
      </c>
      <c r="P980" s="35">
        <v>105</v>
      </c>
      <c r="Q980" s="38" t="str">
        <f t="shared" si="15"/>
        <v>Weekday</v>
      </c>
    </row>
    <row r="981" spans="1:17">
      <c r="A981" s="35">
        <v>980</v>
      </c>
      <c r="B981" s="36">
        <v>40587</v>
      </c>
      <c r="C981" s="35">
        <v>1</v>
      </c>
      <c r="D981" s="35">
        <v>0</v>
      </c>
      <c r="E981" s="35">
        <v>2</v>
      </c>
      <c r="F981" s="35">
        <v>11</v>
      </c>
      <c r="G981" s="35" t="b">
        <v>0</v>
      </c>
      <c r="H981" s="35">
        <v>0</v>
      </c>
      <c r="I981" s="35">
        <v>1</v>
      </c>
      <c r="J981" s="35">
        <v>0.32</v>
      </c>
      <c r="K981" s="35">
        <v>0.28789999999999999</v>
      </c>
      <c r="L981" s="35">
        <v>0.39</v>
      </c>
      <c r="M981" s="35">
        <v>0.44779999999999998</v>
      </c>
      <c r="N981" s="35">
        <v>26</v>
      </c>
      <c r="O981" s="35">
        <v>86</v>
      </c>
      <c r="P981" s="35">
        <v>112</v>
      </c>
      <c r="Q981" s="38" t="str">
        <f t="shared" si="15"/>
        <v>Weekday</v>
      </c>
    </row>
    <row r="982" spans="1:17">
      <c r="A982" s="35">
        <v>981</v>
      </c>
      <c r="B982" s="36">
        <v>40587</v>
      </c>
      <c r="C982" s="35">
        <v>1</v>
      </c>
      <c r="D982" s="35">
        <v>0</v>
      </c>
      <c r="E982" s="35">
        <v>2</v>
      </c>
      <c r="F982" s="35">
        <v>12</v>
      </c>
      <c r="G982" s="35" t="b">
        <v>0</v>
      </c>
      <c r="H982" s="35">
        <v>0</v>
      </c>
      <c r="I982" s="35">
        <v>1</v>
      </c>
      <c r="J982" s="35">
        <v>0.36</v>
      </c>
      <c r="K982" s="35">
        <v>0.31819999999999998</v>
      </c>
      <c r="L982" s="35">
        <v>0.32</v>
      </c>
      <c r="M982" s="35">
        <v>0.4627</v>
      </c>
      <c r="N982" s="35">
        <v>58</v>
      </c>
      <c r="O982" s="35">
        <v>94</v>
      </c>
      <c r="P982" s="35">
        <v>152</v>
      </c>
      <c r="Q982" s="38" t="str">
        <f t="shared" si="15"/>
        <v>Weekday</v>
      </c>
    </row>
    <row r="983" spans="1:17">
      <c r="A983" s="35">
        <v>982</v>
      </c>
      <c r="B983" s="36">
        <v>40587</v>
      </c>
      <c r="C983" s="35">
        <v>1</v>
      </c>
      <c r="D983" s="35">
        <v>0</v>
      </c>
      <c r="E983" s="35">
        <v>2</v>
      </c>
      <c r="F983" s="35">
        <v>13</v>
      </c>
      <c r="G983" s="35" t="b">
        <v>0</v>
      </c>
      <c r="H983" s="35">
        <v>0</v>
      </c>
      <c r="I983" s="35">
        <v>1</v>
      </c>
      <c r="J983" s="35">
        <v>0.38</v>
      </c>
      <c r="K983" s="35">
        <v>0.39389999999999997</v>
      </c>
      <c r="L983" s="35">
        <v>0.28999999999999998</v>
      </c>
      <c r="M983" s="35">
        <v>0.35820000000000002</v>
      </c>
      <c r="N983" s="35">
        <v>62</v>
      </c>
      <c r="O983" s="35">
        <v>92</v>
      </c>
      <c r="P983" s="35">
        <v>154</v>
      </c>
      <c r="Q983" s="38" t="str">
        <f t="shared" si="15"/>
        <v>Weekday</v>
      </c>
    </row>
    <row r="984" spans="1:17">
      <c r="A984" s="35">
        <v>983</v>
      </c>
      <c r="B984" s="36">
        <v>40587</v>
      </c>
      <c r="C984" s="35">
        <v>1</v>
      </c>
      <c r="D984" s="35">
        <v>0</v>
      </c>
      <c r="E984" s="35">
        <v>2</v>
      </c>
      <c r="F984" s="35">
        <v>14</v>
      </c>
      <c r="G984" s="35" t="b">
        <v>0</v>
      </c>
      <c r="H984" s="35">
        <v>0</v>
      </c>
      <c r="I984" s="35">
        <v>2</v>
      </c>
      <c r="J984" s="35">
        <v>0.4</v>
      </c>
      <c r="K984" s="35">
        <v>0.40910000000000002</v>
      </c>
      <c r="L984" s="35">
        <v>0.3</v>
      </c>
      <c r="M984" s="35">
        <v>0.41789999999999999</v>
      </c>
      <c r="N984" s="35">
        <v>51</v>
      </c>
      <c r="O984" s="35">
        <v>110</v>
      </c>
      <c r="P984" s="35">
        <v>161</v>
      </c>
      <c r="Q984" s="38" t="str">
        <f t="shared" si="15"/>
        <v>Weekday</v>
      </c>
    </row>
    <row r="985" spans="1:17">
      <c r="A985" s="35">
        <v>984</v>
      </c>
      <c r="B985" s="36">
        <v>40587</v>
      </c>
      <c r="C985" s="35">
        <v>1</v>
      </c>
      <c r="D985" s="35">
        <v>0</v>
      </c>
      <c r="E985" s="35">
        <v>2</v>
      </c>
      <c r="F985" s="35">
        <v>15</v>
      </c>
      <c r="G985" s="35" t="b">
        <v>0</v>
      </c>
      <c r="H985" s="35">
        <v>0</v>
      </c>
      <c r="I985" s="35">
        <v>2</v>
      </c>
      <c r="J985" s="35">
        <v>0.4</v>
      </c>
      <c r="K985" s="35">
        <v>0.40910000000000002</v>
      </c>
      <c r="L985" s="35">
        <v>0.3</v>
      </c>
      <c r="M985" s="35">
        <v>0.29849999999999999</v>
      </c>
      <c r="N985" s="35">
        <v>40</v>
      </c>
      <c r="O985" s="35">
        <v>122</v>
      </c>
      <c r="P985" s="35">
        <v>162</v>
      </c>
      <c r="Q985" s="38" t="str">
        <f t="shared" si="15"/>
        <v>Weekday</v>
      </c>
    </row>
    <row r="986" spans="1:17">
      <c r="A986" s="35">
        <v>985</v>
      </c>
      <c r="B986" s="36">
        <v>40587</v>
      </c>
      <c r="C986" s="35">
        <v>1</v>
      </c>
      <c r="D986" s="35">
        <v>0</v>
      </c>
      <c r="E986" s="35">
        <v>2</v>
      </c>
      <c r="F986" s="35">
        <v>16</v>
      </c>
      <c r="G986" s="35" t="b">
        <v>0</v>
      </c>
      <c r="H986" s="35">
        <v>0</v>
      </c>
      <c r="I986" s="35">
        <v>2</v>
      </c>
      <c r="J986" s="35">
        <v>0.42</v>
      </c>
      <c r="K986" s="35">
        <v>0.42420000000000002</v>
      </c>
      <c r="L986" s="35">
        <v>0.28000000000000003</v>
      </c>
      <c r="M986" s="35">
        <v>0.32840000000000003</v>
      </c>
      <c r="N986" s="35">
        <v>28</v>
      </c>
      <c r="O986" s="35">
        <v>106</v>
      </c>
      <c r="P986" s="35">
        <v>134</v>
      </c>
      <c r="Q986" s="38" t="str">
        <f t="shared" si="15"/>
        <v>Weekday</v>
      </c>
    </row>
    <row r="987" spans="1:17">
      <c r="A987" s="35">
        <v>986</v>
      </c>
      <c r="B987" s="36">
        <v>40587</v>
      </c>
      <c r="C987" s="35">
        <v>1</v>
      </c>
      <c r="D987" s="35">
        <v>0</v>
      </c>
      <c r="E987" s="35">
        <v>2</v>
      </c>
      <c r="F987" s="35">
        <v>17</v>
      </c>
      <c r="G987" s="35" t="b">
        <v>0</v>
      </c>
      <c r="H987" s="35">
        <v>0</v>
      </c>
      <c r="I987" s="35">
        <v>1</v>
      </c>
      <c r="J987" s="35">
        <v>0.42</v>
      </c>
      <c r="K987" s="35">
        <v>0.42420000000000002</v>
      </c>
      <c r="L987" s="35">
        <v>0.28000000000000003</v>
      </c>
      <c r="M987" s="35">
        <v>0.32840000000000003</v>
      </c>
      <c r="N987" s="35">
        <v>30</v>
      </c>
      <c r="O987" s="35">
        <v>95</v>
      </c>
      <c r="P987" s="35">
        <v>125</v>
      </c>
      <c r="Q987" s="38" t="str">
        <f t="shared" si="15"/>
        <v>Weekday</v>
      </c>
    </row>
    <row r="988" spans="1:17">
      <c r="A988" s="35">
        <v>987</v>
      </c>
      <c r="B988" s="36">
        <v>40587</v>
      </c>
      <c r="C988" s="35">
        <v>1</v>
      </c>
      <c r="D988" s="35">
        <v>0</v>
      </c>
      <c r="E988" s="35">
        <v>2</v>
      </c>
      <c r="F988" s="35">
        <v>18</v>
      </c>
      <c r="G988" s="35" t="b">
        <v>0</v>
      </c>
      <c r="H988" s="35">
        <v>0</v>
      </c>
      <c r="I988" s="35">
        <v>1</v>
      </c>
      <c r="J988" s="35">
        <v>0.4</v>
      </c>
      <c r="K988" s="35">
        <v>0.40910000000000002</v>
      </c>
      <c r="L988" s="35">
        <v>0.32</v>
      </c>
      <c r="M988" s="35">
        <v>0.29849999999999999</v>
      </c>
      <c r="N988" s="35">
        <v>17</v>
      </c>
      <c r="O988" s="35">
        <v>78</v>
      </c>
      <c r="P988" s="35">
        <v>95</v>
      </c>
      <c r="Q988" s="38" t="str">
        <f t="shared" si="15"/>
        <v>Weekday</v>
      </c>
    </row>
    <row r="989" spans="1:17">
      <c r="A989" s="35">
        <v>988</v>
      </c>
      <c r="B989" s="36">
        <v>40587</v>
      </c>
      <c r="C989" s="35">
        <v>1</v>
      </c>
      <c r="D989" s="35">
        <v>0</v>
      </c>
      <c r="E989" s="35">
        <v>2</v>
      </c>
      <c r="F989" s="35">
        <v>19</v>
      </c>
      <c r="G989" s="35" t="b">
        <v>0</v>
      </c>
      <c r="H989" s="35">
        <v>0</v>
      </c>
      <c r="I989" s="35">
        <v>1</v>
      </c>
      <c r="J989" s="35">
        <v>0.4</v>
      </c>
      <c r="K989" s="35">
        <v>0.40910000000000002</v>
      </c>
      <c r="L989" s="35">
        <v>0.35</v>
      </c>
      <c r="M989" s="35">
        <v>0.28360000000000002</v>
      </c>
      <c r="N989" s="35">
        <v>11</v>
      </c>
      <c r="O989" s="35">
        <v>50</v>
      </c>
      <c r="P989" s="35">
        <v>61</v>
      </c>
      <c r="Q989" s="38" t="str">
        <f t="shared" si="15"/>
        <v>Weekday</v>
      </c>
    </row>
    <row r="990" spans="1:17">
      <c r="A990" s="35">
        <v>989</v>
      </c>
      <c r="B990" s="36">
        <v>40587</v>
      </c>
      <c r="C990" s="35">
        <v>1</v>
      </c>
      <c r="D990" s="35">
        <v>0</v>
      </c>
      <c r="E990" s="35">
        <v>2</v>
      </c>
      <c r="F990" s="35">
        <v>20</v>
      </c>
      <c r="G990" s="35" t="b">
        <v>0</v>
      </c>
      <c r="H990" s="35">
        <v>0</v>
      </c>
      <c r="I990" s="35">
        <v>1</v>
      </c>
      <c r="J990" s="35">
        <v>0.4</v>
      </c>
      <c r="K990" s="35">
        <v>0.40910000000000002</v>
      </c>
      <c r="L990" s="35">
        <v>0.35</v>
      </c>
      <c r="M990" s="35">
        <v>0.32840000000000003</v>
      </c>
      <c r="N990" s="35">
        <v>15</v>
      </c>
      <c r="O990" s="35">
        <v>32</v>
      </c>
      <c r="P990" s="35">
        <v>47</v>
      </c>
      <c r="Q990" s="38" t="str">
        <f t="shared" si="15"/>
        <v>Weekday</v>
      </c>
    </row>
    <row r="991" spans="1:17">
      <c r="A991" s="35">
        <v>990</v>
      </c>
      <c r="B991" s="36">
        <v>40587</v>
      </c>
      <c r="C991" s="35">
        <v>1</v>
      </c>
      <c r="D991" s="35">
        <v>0</v>
      </c>
      <c r="E991" s="35">
        <v>2</v>
      </c>
      <c r="F991" s="35">
        <v>21</v>
      </c>
      <c r="G991" s="35" t="b">
        <v>0</v>
      </c>
      <c r="H991" s="35">
        <v>0</v>
      </c>
      <c r="I991" s="35">
        <v>1</v>
      </c>
      <c r="J991" s="35">
        <v>0.4</v>
      </c>
      <c r="K991" s="35">
        <v>0.40910000000000002</v>
      </c>
      <c r="L991" s="35">
        <v>0.35</v>
      </c>
      <c r="M991" s="35">
        <v>0.35820000000000002</v>
      </c>
      <c r="N991" s="35">
        <v>6</v>
      </c>
      <c r="O991" s="35">
        <v>45</v>
      </c>
      <c r="P991" s="35">
        <v>51</v>
      </c>
      <c r="Q991" s="38" t="str">
        <f t="shared" si="15"/>
        <v>Weekday</v>
      </c>
    </row>
    <row r="992" spans="1:17">
      <c r="A992" s="35">
        <v>991</v>
      </c>
      <c r="B992" s="36">
        <v>40587</v>
      </c>
      <c r="C992" s="35">
        <v>1</v>
      </c>
      <c r="D992" s="35">
        <v>0</v>
      </c>
      <c r="E992" s="35">
        <v>2</v>
      </c>
      <c r="F992" s="35">
        <v>22</v>
      </c>
      <c r="G992" s="35" t="b">
        <v>0</v>
      </c>
      <c r="H992" s="35">
        <v>0</v>
      </c>
      <c r="I992" s="35">
        <v>1</v>
      </c>
      <c r="J992" s="35">
        <v>0.4</v>
      </c>
      <c r="K992" s="35">
        <v>0.40910000000000002</v>
      </c>
      <c r="L992" s="35">
        <v>0.35</v>
      </c>
      <c r="M992" s="35">
        <v>0.29849999999999999</v>
      </c>
      <c r="N992" s="35">
        <v>5</v>
      </c>
      <c r="O992" s="35">
        <v>31</v>
      </c>
      <c r="P992" s="35">
        <v>36</v>
      </c>
      <c r="Q992" s="38" t="str">
        <f t="shared" si="15"/>
        <v>Weekday</v>
      </c>
    </row>
    <row r="993" spans="1:17">
      <c r="A993" s="35">
        <v>992</v>
      </c>
      <c r="B993" s="36">
        <v>40587</v>
      </c>
      <c r="C993" s="35">
        <v>1</v>
      </c>
      <c r="D993" s="35">
        <v>0</v>
      </c>
      <c r="E993" s="35">
        <v>2</v>
      </c>
      <c r="F993" s="35">
        <v>23</v>
      </c>
      <c r="G993" s="35" t="b">
        <v>0</v>
      </c>
      <c r="H993" s="35">
        <v>0</v>
      </c>
      <c r="I993" s="35">
        <v>1</v>
      </c>
      <c r="J993" s="35">
        <v>0.4</v>
      </c>
      <c r="K993" s="35">
        <v>0.40910000000000002</v>
      </c>
      <c r="L993" s="35">
        <v>0.35</v>
      </c>
      <c r="M993" s="35">
        <v>0.35820000000000002</v>
      </c>
      <c r="N993" s="35">
        <v>3</v>
      </c>
      <c r="O993" s="35">
        <v>27</v>
      </c>
      <c r="P993" s="35">
        <v>30</v>
      </c>
      <c r="Q993" s="38" t="str">
        <f t="shared" si="15"/>
        <v>Weekday</v>
      </c>
    </row>
    <row r="994" spans="1:17">
      <c r="A994" s="35">
        <v>993</v>
      </c>
      <c r="B994" s="36">
        <v>40588</v>
      </c>
      <c r="C994" s="35">
        <v>1</v>
      </c>
      <c r="D994" s="35">
        <v>0</v>
      </c>
      <c r="E994" s="35">
        <v>2</v>
      </c>
      <c r="F994" s="35">
        <v>0</v>
      </c>
      <c r="G994" s="35" t="b">
        <v>0</v>
      </c>
      <c r="H994" s="35">
        <v>1</v>
      </c>
      <c r="I994" s="35">
        <v>1</v>
      </c>
      <c r="J994" s="35">
        <v>0.38</v>
      </c>
      <c r="K994" s="35">
        <v>0.39389999999999997</v>
      </c>
      <c r="L994" s="35">
        <v>0.37</v>
      </c>
      <c r="M994" s="35">
        <v>0.35820000000000002</v>
      </c>
      <c r="N994" s="35">
        <v>3</v>
      </c>
      <c r="O994" s="35">
        <v>8</v>
      </c>
      <c r="P994" s="35">
        <v>11</v>
      </c>
      <c r="Q994" s="38" t="str">
        <f t="shared" si="15"/>
        <v>Weekday</v>
      </c>
    </row>
    <row r="995" spans="1:17">
      <c r="A995" s="35">
        <v>994</v>
      </c>
      <c r="B995" s="36">
        <v>40588</v>
      </c>
      <c r="C995" s="35">
        <v>1</v>
      </c>
      <c r="D995" s="35">
        <v>0</v>
      </c>
      <c r="E995" s="35">
        <v>2</v>
      </c>
      <c r="F995" s="35">
        <v>1</v>
      </c>
      <c r="G995" s="35" t="b">
        <v>0</v>
      </c>
      <c r="H995" s="35">
        <v>1</v>
      </c>
      <c r="I995" s="35">
        <v>1</v>
      </c>
      <c r="J995" s="35">
        <v>0.38</v>
      </c>
      <c r="K995" s="35">
        <v>0.39389999999999997</v>
      </c>
      <c r="L995" s="35">
        <v>0.37</v>
      </c>
      <c r="M995" s="35">
        <v>0.35820000000000002</v>
      </c>
      <c r="N995" s="35">
        <v>1</v>
      </c>
      <c r="O995" s="35">
        <v>6</v>
      </c>
      <c r="P995" s="35">
        <v>7</v>
      </c>
      <c r="Q995" s="38" t="str">
        <f t="shared" si="15"/>
        <v>Weekday</v>
      </c>
    </row>
    <row r="996" spans="1:17">
      <c r="A996" s="35">
        <v>995</v>
      </c>
      <c r="B996" s="36">
        <v>40588</v>
      </c>
      <c r="C996" s="35">
        <v>1</v>
      </c>
      <c r="D996" s="35">
        <v>0</v>
      </c>
      <c r="E996" s="35">
        <v>2</v>
      </c>
      <c r="F996" s="35">
        <v>2</v>
      </c>
      <c r="G996" s="35" t="b">
        <v>0</v>
      </c>
      <c r="H996" s="35">
        <v>1</v>
      </c>
      <c r="I996" s="35">
        <v>1</v>
      </c>
      <c r="J996" s="35">
        <v>0.36</v>
      </c>
      <c r="K996" s="35">
        <v>0.33329999999999999</v>
      </c>
      <c r="L996" s="35">
        <v>0.4</v>
      </c>
      <c r="M996" s="35">
        <v>0.29849999999999999</v>
      </c>
      <c r="N996" s="35">
        <v>0</v>
      </c>
      <c r="O996" s="35">
        <v>2</v>
      </c>
      <c r="P996" s="35">
        <v>2</v>
      </c>
      <c r="Q996" s="38" t="str">
        <f t="shared" si="15"/>
        <v>Weekday</v>
      </c>
    </row>
    <row r="997" spans="1:17">
      <c r="A997" s="35">
        <v>996</v>
      </c>
      <c r="B997" s="36">
        <v>40588</v>
      </c>
      <c r="C997" s="35">
        <v>1</v>
      </c>
      <c r="D997" s="35">
        <v>0</v>
      </c>
      <c r="E997" s="35">
        <v>2</v>
      </c>
      <c r="F997" s="35">
        <v>3</v>
      </c>
      <c r="G997" s="35" t="b">
        <v>0</v>
      </c>
      <c r="H997" s="35">
        <v>1</v>
      </c>
      <c r="I997" s="35">
        <v>1</v>
      </c>
      <c r="J997" s="35">
        <v>0.34</v>
      </c>
      <c r="K997" s="35">
        <v>0.31819999999999998</v>
      </c>
      <c r="L997" s="35">
        <v>0.46</v>
      </c>
      <c r="M997" s="35">
        <v>0.22389999999999999</v>
      </c>
      <c r="N997" s="35">
        <v>1</v>
      </c>
      <c r="O997" s="35">
        <v>1</v>
      </c>
      <c r="P997" s="35">
        <v>2</v>
      </c>
      <c r="Q997" s="38" t="str">
        <f t="shared" si="15"/>
        <v>Weekday</v>
      </c>
    </row>
    <row r="998" spans="1:17">
      <c r="A998" s="35">
        <v>997</v>
      </c>
      <c r="B998" s="36">
        <v>40588</v>
      </c>
      <c r="C998" s="35">
        <v>1</v>
      </c>
      <c r="D998" s="35">
        <v>0</v>
      </c>
      <c r="E998" s="35">
        <v>2</v>
      </c>
      <c r="F998" s="35">
        <v>4</v>
      </c>
      <c r="G998" s="35" t="b">
        <v>0</v>
      </c>
      <c r="H998" s="35">
        <v>1</v>
      </c>
      <c r="I998" s="35">
        <v>1</v>
      </c>
      <c r="J998" s="35">
        <v>0.32</v>
      </c>
      <c r="K998" s="35">
        <v>0.30299999999999999</v>
      </c>
      <c r="L998" s="35">
        <v>0.53</v>
      </c>
      <c r="M998" s="35">
        <v>0.28360000000000002</v>
      </c>
      <c r="N998" s="35">
        <v>0</v>
      </c>
      <c r="O998" s="35">
        <v>2</v>
      </c>
      <c r="P998" s="35">
        <v>2</v>
      </c>
      <c r="Q998" s="38" t="str">
        <f t="shared" si="15"/>
        <v>Weekday</v>
      </c>
    </row>
    <row r="999" spans="1:17">
      <c r="A999" s="35">
        <v>998</v>
      </c>
      <c r="B999" s="36">
        <v>40588</v>
      </c>
      <c r="C999" s="35">
        <v>1</v>
      </c>
      <c r="D999" s="35">
        <v>0</v>
      </c>
      <c r="E999" s="35">
        <v>2</v>
      </c>
      <c r="F999" s="35">
        <v>5</v>
      </c>
      <c r="G999" s="35" t="b">
        <v>0</v>
      </c>
      <c r="H999" s="35">
        <v>1</v>
      </c>
      <c r="I999" s="35">
        <v>1</v>
      </c>
      <c r="J999" s="35">
        <v>0.32</v>
      </c>
      <c r="K999" s="35">
        <v>0.30299999999999999</v>
      </c>
      <c r="L999" s="35">
        <v>0.53</v>
      </c>
      <c r="M999" s="35">
        <v>0.28360000000000002</v>
      </c>
      <c r="N999" s="35">
        <v>0</v>
      </c>
      <c r="O999" s="35">
        <v>3</v>
      </c>
      <c r="P999" s="35">
        <v>3</v>
      </c>
      <c r="Q999" s="38" t="str">
        <f t="shared" si="15"/>
        <v>Weekday</v>
      </c>
    </row>
    <row r="1000" spans="1:17">
      <c r="A1000" s="35">
        <v>999</v>
      </c>
      <c r="B1000" s="36">
        <v>40588</v>
      </c>
      <c r="C1000" s="35">
        <v>1</v>
      </c>
      <c r="D1000" s="35">
        <v>0</v>
      </c>
      <c r="E1000" s="35">
        <v>2</v>
      </c>
      <c r="F1000" s="35">
        <v>6</v>
      </c>
      <c r="G1000" s="35" t="b">
        <v>0</v>
      </c>
      <c r="H1000" s="35">
        <v>1</v>
      </c>
      <c r="I1000" s="35">
        <v>1</v>
      </c>
      <c r="J1000" s="35">
        <v>0.34</v>
      </c>
      <c r="K1000" s="35">
        <v>0.30299999999999999</v>
      </c>
      <c r="L1000" s="35">
        <v>0.46</v>
      </c>
      <c r="M1000" s="35">
        <v>0.29849999999999999</v>
      </c>
      <c r="N1000" s="35">
        <v>1</v>
      </c>
      <c r="O1000" s="35">
        <v>25</v>
      </c>
      <c r="P1000" s="35">
        <v>26</v>
      </c>
      <c r="Q1000" s="38" t="str">
        <f t="shared" si="15"/>
        <v>Weekday</v>
      </c>
    </row>
    <row r="1001" spans="1:17">
      <c r="A1001" s="35">
        <v>1000</v>
      </c>
      <c r="B1001" s="36">
        <v>40588</v>
      </c>
      <c r="C1001" s="35">
        <v>1</v>
      </c>
      <c r="D1001" s="35">
        <v>0</v>
      </c>
      <c r="E1001" s="35">
        <v>2</v>
      </c>
      <c r="F1001" s="35">
        <v>7</v>
      </c>
      <c r="G1001" s="35" t="b">
        <v>0</v>
      </c>
      <c r="H1001" s="35">
        <v>1</v>
      </c>
      <c r="I1001" s="35">
        <v>1</v>
      </c>
      <c r="J1001" s="35">
        <v>0.34</v>
      </c>
      <c r="K1001" s="35">
        <v>0.30299999999999999</v>
      </c>
      <c r="L1001" s="35">
        <v>0.46</v>
      </c>
      <c r="M1001" s="35">
        <v>0.29849999999999999</v>
      </c>
      <c r="N1001" s="35">
        <v>2</v>
      </c>
      <c r="O1001" s="35">
        <v>96</v>
      </c>
      <c r="P1001" s="35">
        <v>98</v>
      </c>
      <c r="Q1001" s="38" t="str">
        <f t="shared" si="15"/>
        <v>Weekday</v>
      </c>
    </row>
  </sheetData>
  <mergeCells count="11">
    <mergeCell ref="S3:V4"/>
    <mergeCell ref="S5:T6"/>
    <mergeCell ref="U5:V6"/>
    <mergeCell ref="S7:T8"/>
    <mergeCell ref="S9:T10"/>
    <mergeCell ref="S11:T12"/>
    <mergeCell ref="S13:T14"/>
    <mergeCell ref="U7:V8"/>
    <mergeCell ref="U9:V10"/>
    <mergeCell ref="U11:V12"/>
    <mergeCell ref="U13:V14"/>
  </mergeCells>
  <phoneticPr fontId="20"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D4203-3E5C-42BF-A054-2D23C119922B}">
  <dimension ref="A3:B27"/>
  <sheetViews>
    <sheetView zoomScale="101" workbookViewId="0">
      <selection activeCell="M10" sqref="M10"/>
    </sheetView>
  </sheetViews>
  <sheetFormatPr defaultRowHeight="13.2"/>
  <cols>
    <col min="1" max="1" width="13.33203125" bestFit="1" customWidth="1"/>
    <col min="2" max="2" width="10.44140625" bestFit="1" customWidth="1"/>
  </cols>
  <sheetData>
    <row r="3" spans="1:2">
      <c r="A3" s="33" t="s">
        <v>88</v>
      </c>
      <c r="B3" t="s">
        <v>90</v>
      </c>
    </row>
    <row r="4" spans="1:2">
      <c r="A4" s="34">
        <v>0</v>
      </c>
      <c r="B4" s="124">
        <v>27</v>
      </c>
    </row>
    <row r="5" spans="1:2">
      <c r="A5" s="34">
        <v>1</v>
      </c>
      <c r="B5" s="124">
        <v>12</v>
      </c>
    </row>
    <row r="6" spans="1:2">
      <c r="A6" s="34">
        <v>2</v>
      </c>
      <c r="B6" s="124">
        <v>7</v>
      </c>
    </row>
    <row r="7" spans="1:2">
      <c r="A7" s="34">
        <v>3</v>
      </c>
      <c r="B7" s="124">
        <v>2</v>
      </c>
    </row>
    <row r="8" spans="1:2">
      <c r="A8" s="34">
        <v>5</v>
      </c>
      <c r="B8" s="124">
        <v>6</v>
      </c>
    </row>
    <row r="9" spans="1:2">
      <c r="A9" s="34">
        <v>6</v>
      </c>
      <c r="B9" s="124">
        <v>27</v>
      </c>
    </row>
    <row r="10" spans="1:2">
      <c r="A10" s="34">
        <v>7</v>
      </c>
      <c r="B10" s="124">
        <v>99</v>
      </c>
    </row>
    <row r="11" spans="1:2">
      <c r="A11" s="34">
        <v>8</v>
      </c>
      <c r="B11" s="124">
        <v>455</v>
      </c>
    </row>
    <row r="12" spans="1:2">
      <c r="A12" s="34">
        <v>9</v>
      </c>
      <c r="B12" s="124">
        <v>390</v>
      </c>
    </row>
    <row r="13" spans="1:2">
      <c r="A13" s="34">
        <v>10</v>
      </c>
      <c r="B13" s="124">
        <v>198</v>
      </c>
    </row>
    <row r="14" spans="1:2">
      <c r="A14" s="34">
        <v>11</v>
      </c>
      <c r="B14" s="124">
        <v>147</v>
      </c>
    </row>
    <row r="15" spans="1:2">
      <c r="A15" s="34">
        <v>12</v>
      </c>
      <c r="B15" s="124">
        <v>221</v>
      </c>
    </row>
    <row r="16" spans="1:2">
      <c r="A16" s="34">
        <v>13</v>
      </c>
      <c r="B16" s="124">
        <v>269</v>
      </c>
    </row>
    <row r="17" spans="1:2">
      <c r="A17" s="34">
        <v>14</v>
      </c>
      <c r="B17" s="124">
        <v>213</v>
      </c>
    </row>
    <row r="18" spans="1:2">
      <c r="A18" s="34">
        <v>15</v>
      </c>
      <c r="B18" s="124">
        <v>218</v>
      </c>
    </row>
    <row r="19" spans="1:2">
      <c r="A19" s="34">
        <v>16</v>
      </c>
      <c r="B19" s="124">
        <v>317</v>
      </c>
    </row>
    <row r="20" spans="1:2">
      <c r="A20" s="34">
        <v>17</v>
      </c>
      <c r="B20" s="124">
        <v>437</v>
      </c>
    </row>
    <row r="21" spans="1:2">
      <c r="A21" s="34">
        <v>18</v>
      </c>
      <c r="B21" s="124">
        <v>526</v>
      </c>
    </row>
    <row r="22" spans="1:2">
      <c r="A22" s="34">
        <v>19</v>
      </c>
      <c r="B22" s="124">
        <v>353</v>
      </c>
    </row>
    <row r="23" spans="1:2">
      <c r="A23" s="34">
        <v>20</v>
      </c>
      <c r="B23" s="124">
        <v>157</v>
      </c>
    </row>
    <row r="24" spans="1:2">
      <c r="A24" s="34">
        <v>21</v>
      </c>
      <c r="B24" s="124">
        <v>105</v>
      </c>
    </row>
    <row r="25" spans="1:2">
      <c r="A25" s="34">
        <v>22</v>
      </c>
      <c r="B25" s="124">
        <v>69</v>
      </c>
    </row>
    <row r="26" spans="1:2">
      <c r="A26" s="34">
        <v>23</v>
      </c>
      <c r="B26" s="124">
        <v>60</v>
      </c>
    </row>
    <row r="27" spans="1:2">
      <c r="A27" s="34" t="s">
        <v>89</v>
      </c>
      <c r="B27" s="124">
        <v>4315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08BBC-EC71-45DC-8BE7-3C6265E79178}">
  <dimension ref="A3:B5"/>
  <sheetViews>
    <sheetView workbookViewId="0">
      <selection activeCell="B4" sqref="B4"/>
    </sheetView>
  </sheetViews>
  <sheetFormatPr defaultRowHeight="13.2"/>
  <cols>
    <col min="1" max="1" width="13.33203125" bestFit="1" customWidth="1"/>
    <col min="2" max="2" width="10.44140625" bestFit="1" customWidth="1"/>
  </cols>
  <sheetData>
    <row r="3" spans="1:2">
      <c r="A3" s="33" t="s">
        <v>88</v>
      </c>
      <c r="B3" t="s">
        <v>90</v>
      </c>
    </row>
    <row r="4" spans="1:2">
      <c r="A4" s="34">
        <v>2</v>
      </c>
      <c r="B4" s="124">
        <v>4315</v>
      </c>
    </row>
    <row r="5" spans="1:2">
      <c r="A5" s="34" t="s">
        <v>89</v>
      </c>
      <c r="B5" s="124">
        <v>4315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76555-FE2A-4FE5-AB3A-33B41DB58951}">
  <dimension ref="A3:B6"/>
  <sheetViews>
    <sheetView workbookViewId="0">
      <selection activeCell="B4" sqref="B4"/>
    </sheetView>
  </sheetViews>
  <sheetFormatPr defaultRowHeight="13.2"/>
  <cols>
    <col min="1" max="1" width="13.33203125" bestFit="1" customWidth="1"/>
    <col min="2" max="2" width="10.44140625" bestFit="1" customWidth="1"/>
  </cols>
  <sheetData>
    <row r="3" spans="1:2">
      <c r="A3" s="33" t="s">
        <v>88</v>
      </c>
      <c r="B3" t="s">
        <v>90</v>
      </c>
    </row>
    <row r="4" spans="1:2">
      <c r="A4" s="34">
        <v>1</v>
      </c>
      <c r="B4" s="124">
        <v>3117</v>
      </c>
    </row>
    <row r="5" spans="1:2">
      <c r="A5" s="34">
        <v>2</v>
      </c>
      <c r="B5" s="124">
        <v>1198</v>
      </c>
    </row>
    <row r="6" spans="1:2">
      <c r="A6" s="34" t="s">
        <v>89</v>
      </c>
      <c r="B6" s="124">
        <v>4315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5EDB7-8E06-4D58-8D1D-24BE07C84FC1}">
  <dimension ref="A3:B5"/>
  <sheetViews>
    <sheetView workbookViewId="0">
      <selection activeCell="B4" sqref="B4"/>
    </sheetView>
  </sheetViews>
  <sheetFormatPr defaultRowHeight="13.2"/>
  <cols>
    <col min="1" max="1" width="13.33203125" bestFit="1" customWidth="1"/>
    <col min="2" max="2" width="10.44140625" bestFit="1" customWidth="1"/>
  </cols>
  <sheetData>
    <row r="3" spans="1:2">
      <c r="A3" s="33" t="s">
        <v>88</v>
      </c>
      <c r="B3" t="s">
        <v>90</v>
      </c>
    </row>
    <row r="4" spans="1:2">
      <c r="A4" s="34">
        <v>1</v>
      </c>
      <c r="B4" s="124">
        <v>4315</v>
      </c>
    </row>
    <row r="5" spans="1:2">
      <c r="A5" s="34" t="s">
        <v>89</v>
      </c>
      <c r="B5" s="124">
        <v>4315</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85A38-464C-4465-94C2-06A96BC058A0}">
  <dimension ref="A1:H16"/>
  <sheetViews>
    <sheetView tabSelected="1" topLeftCell="A13" zoomScale="87" workbookViewId="0">
      <selection sqref="A1:H2"/>
    </sheetView>
  </sheetViews>
  <sheetFormatPr defaultRowHeight="13.2"/>
  <sheetData>
    <row r="1" spans="1:8">
      <c r="A1" s="112" t="s">
        <v>99</v>
      </c>
      <c r="B1" s="112"/>
      <c r="C1" s="112"/>
      <c r="D1" s="112"/>
      <c r="E1" s="112"/>
      <c r="F1" s="112"/>
      <c r="G1" s="112"/>
      <c r="H1" s="112"/>
    </row>
    <row r="2" spans="1:8">
      <c r="A2" s="112"/>
      <c r="B2" s="112"/>
      <c r="C2" s="112"/>
      <c r="D2" s="112"/>
      <c r="E2" s="112"/>
      <c r="F2" s="112"/>
      <c r="G2" s="112"/>
      <c r="H2" s="112"/>
    </row>
    <row r="4" spans="1:8" ht="13.2" customHeight="1">
      <c r="A4" s="39"/>
      <c r="B4" s="39"/>
      <c r="C4" s="39"/>
      <c r="D4" s="39"/>
    </row>
    <row r="5" spans="1:8" ht="13.2" customHeight="1">
      <c r="A5" s="40"/>
      <c r="B5" s="94" t="s">
        <v>94</v>
      </c>
      <c r="C5" s="95"/>
      <c r="D5" s="95"/>
      <c r="E5" s="96"/>
    </row>
    <row r="6" spans="1:8" ht="13.2" customHeight="1">
      <c r="A6" s="41"/>
      <c r="B6" s="97"/>
      <c r="C6" s="98"/>
      <c r="D6" s="98"/>
      <c r="E6" s="99"/>
    </row>
    <row r="7" spans="1:8" ht="13.2" customHeight="1">
      <c r="A7" s="41"/>
      <c r="B7" s="100" t="s">
        <v>91</v>
      </c>
      <c r="C7" s="101"/>
      <c r="D7" s="100" t="s">
        <v>92</v>
      </c>
      <c r="E7" s="101"/>
    </row>
    <row r="8" spans="1:8" ht="13.2" customHeight="1">
      <c r="A8" s="42"/>
      <c r="B8" s="102"/>
      <c r="C8" s="103"/>
      <c r="D8" s="102"/>
      <c r="E8" s="103"/>
    </row>
    <row r="9" spans="1:8" ht="13.2" customHeight="1">
      <c r="A9" s="42"/>
      <c r="B9" s="104" t="s">
        <v>95</v>
      </c>
      <c r="C9" s="105"/>
      <c r="D9" s="89">
        <f>SUM('mereged data 1,2and3'!P:P)</f>
        <v>58304</v>
      </c>
      <c r="E9" s="90"/>
    </row>
    <row r="10" spans="1:8" ht="13.2" customHeight="1">
      <c r="A10" s="43"/>
      <c r="B10" s="106"/>
      <c r="C10" s="107"/>
      <c r="D10" s="91"/>
      <c r="E10" s="92"/>
    </row>
    <row r="11" spans="1:8" ht="13.2" customHeight="1">
      <c r="A11" s="43"/>
      <c r="B11" s="108" t="s">
        <v>96</v>
      </c>
      <c r="C11" s="109"/>
      <c r="D11" s="89">
        <f>AVERAGE('mereged data 1,2and3'!P:P)</f>
        <v>58.304000000000002</v>
      </c>
      <c r="E11" s="90"/>
    </row>
    <row r="12" spans="1:8" ht="13.2" customHeight="1">
      <c r="A12" s="44"/>
      <c r="B12" s="110"/>
      <c r="C12" s="111"/>
      <c r="D12" s="91"/>
      <c r="E12" s="92"/>
    </row>
    <row r="13" spans="1:8" ht="13.2" customHeight="1">
      <c r="A13" s="44"/>
      <c r="B13" s="84" t="s">
        <v>97</v>
      </c>
      <c r="C13" s="85"/>
      <c r="D13" s="89">
        <f>MAX('mereged data 1,2and3'!P:P)</f>
        <v>249</v>
      </c>
      <c r="E13" s="90"/>
    </row>
    <row r="14" spans="1:8" ht="13.2" customHeight="1">
      <c r="A14" s="44"/>
      <c r="B14" s="86"/>
      <c r="C14" s="87"/>
      <c r="D14" s="91"/>
      <c r="E14" s="92"/>
    </row>
    <row r="15" spans="1:8" ht="13.2" customHeight="1">
      <c r="A15" s="44"/>
      <c r="B15" s="88" t="s">
        <v>98</v>
      </c>
      <c r="C15" s="88"/>
      <c r="D15" s="93">
        <f>MIN('mereged data 1,2and3'!P:P)</f>
        <v>1</v>
      </c>
      <c r="E15" s="93"/>
    </row>
    <row r="16" spans="1:8" ht="13.2" customHeight="1">
      <c r="A16" s="45"/>
      <c r="B16" s="88"/>
      <c r="C16" s="88"/>
      <c r="D16" s="93"/>
      <c r="E16" s="93"/>
    </row>
  </sheetData>
  <mergeCells count="12">
    <mergeCell ref="A1:H2"/>
    <mergeCell ref="B15:C16"/>
    <mergeCell ref="D15:E16"/>
    <mergeCell ref="B5:E6"/>
    <mergeCell ref="B7:C8"/>
    <mergeCell ref="B9:C10"/>
    <mergeCell ref="D7:E8"/>
    <mergeCell ref="D9:E10"/>
    <mergeCell ref="B11:C12"/>
    <mergeCell ref="D11:E12"/>
    <mergeCell ref="B13:C14"/>
    <mergeCell ref="D13:E1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1A5DA-8371-4FDD-87C7-E131DC919724}">
  <dimension ref="A2:B18"/>
  <sheetViews>
    <sheetView workbookViewId="0">
      <selection activeCell="A3" sqref="A3:B3"/>
    </sheetView>
  </sheetViews>
  <sheetFormatPr defaultRowHeight="13.2"/>
  <cols>
    <col min="1" max="1" width="14.44140625" customWidth="1"/>
    <col min="2" max="2" width="62" customWidth="1"/>
  </cols>
  <sheetData>
    <row r="2" spans="1:2" ht="24.6">
      <c r="A2" s="46"/>
    </row>
    <row r="3" spans="1:2" ht="27.6">
      <c r="A3" s="118" t="s">
        <v>100</v>
      </c>
      <c r="B3" s="118"/>
    </row>
    <row r="4" spans="1:2">
      <c r="A4" s="119" t="s">
        <v>101</v>
      </c>
      <c r="B4" s="121" t="s">
        <v>102</v>
      </c>
    </row>
    <row r="5" spans="1:2">
      <c r="A5" s="120"/>
      <c r="B5" s="122"/>
    </row>
    <row r="6" spans="1:2">
      <c r="A6" s="123">
        <v>1</v>
      </c>
      <c r="B6" s="48" t="s">
        <v>103</v>
      </c>
    </row>
    <row r="7" spans="1:2" ht="26.4">
      <c r="A7" s="117"/>
      <c r="B7" s="47" t="s">
        <v>104</v>
      </c>
    </row>
    <row r="8" spans="1:2">
      <c r="A8" s="115">
        <v>2</v>
      </c>
      <c r="B8" s="48" t="s">
        <v>105</v>
      </c>
    </row>
    <row r="9" spans="1:2" ht="39.6">
      <c r="A9" s="117"/>
      <c r="B9" s="49" t="s">
        <v>106</v>
      </c>
    </row>
    <row r="10" spans="1:2">
      <c r="A10" s="115">
        <v>3</v>
      </c>
      <c r="B10" s="48" t="s">
        <v>107</v>
      </c>
    </row>
    <row r="11" spans="1:2">
      <c r="A11" s="116"/>
      <c r="B11" s="113" t="s">
        <v>108</v>
      </c>
    </row>
    <row r="12" spans="1:2">
      <c r="A12" s="117"/>
      <c r="B12" s="113"/>
    </row>
    <row r="13" spans="1:2">
      <c r="A13" s="115">
        <v>4</v>
      </c>
      <c r="B13" s="48" t="s">
        <v>109</v>
      </c>
    </row>
    <row r="14" spans="1:2">
      <c r="A14" s="116"/>
      <c r="B14" s="50" t="s">
        <v>110</v>
      </c>
    </row>
    <row r="15" spans="1:2">
      <c r="A15" s="117"/>
      <c r="B15" s="51"/>
    </row>
    <row r="16" spans="1:2">
      <c r="A16" s="114">
        <v>5</v>
      </c>
      <c r="B16" s="48" t="s">
        <v>111</v>
      </c>
    </row>
    <row r="17" spans="1:2">
      <c r="A17" s="114"/>
      <c r="B17" s="113" t="s">
        <v>112</v>
      </c>
    </row>
    <row r="18" spans="1:2">
      <c r="A18" s="114"/>
      <c r="B18" s="113"/>
    </row>
  </sheetData>
  <mergeCells count="11">
    <mergeCell ref="A3:B3"/>
    <mergeCell ref="A4:A5"/>
    <mergeCell ref="B4:B5"/>
    <mergeCell ref="A6:A7"/>
    <mergeCell ref="A8:A9"/>
    <mergeCell ref="B17:B18"/>
    <mergeCell ref="A16:A18"/>
    <mergeCell ref="B11:B12"/>
    <mergeCell ref="A10:A12"/>
    <mergeCell ref="B14:B15"/>
    <mergeCell ref="A13:A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cleaned data set1</vt:lpstr>
      <vt:lpstr>cleaned dataset2</vt:lpstr>
      <vt:lpstr>insights data set1</vt:lpstr>
      <vt:lpstr>insights data set2</vt:lpstr>
      <vt:lpstr>data set1and2 merged</vt:lpstr>
      <vt:lpstr>cleaned dataset3</vt:lpstr>
      <vt:lpstr>mereged data 1,2and3</vt:lpstr>
      <vt:lpstr>Hour Wise Bike rentals</vt:lpstr>
      <vt:lpstr>Weather Wise Bike Rentals</vt:lpstr>
      <vt:lpstr>Month Wise Bike Rentals</vt:lpstr>
      <vt:lpstr>Season Wise Bike Rentals</vt:lpstr>
      <vt:lpstr>dashboard</vt:lpstr>
      <vt:lpstr>FINAL 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Anish Kumar tiwari</cp:lastModifiedBy>
  <dcterms:created xsi:type="dcterms:W3CDTF">2026-05-14T14:22:20Z</dcterms:created>
  <dcterms:modified xsi:type="dcterms:W3CDTF">2026-05-24T05:47:02Z</dcterms:modified>
</cp:coreProperties>
</file>